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m_Supplier" sheetId="2" state="visible" r:id="rId4"/>
    <sheet name="Lookup_Tables" sheetId="3" state="visible" r:id="rId5"/>
    <sheet name="PO_Transactions" sheetId="4" state="visible" r:id="rId6"/>
  </sheets>
  <definedNames>
    <definedName function="false" hidden="true" localSheetId="1" name="_xlnm._FilterDatabase" vbProcedure="false">Dim_Supplier!$A$1:$G$21</definedName>
    <definedName function="false" hidden="true" localSheetId="3" name="_xlnm._FilterDatabase" vbProcedure="false">PO_Transactions!$A$1:$V$1501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<sst xmlns="http://schemas.openxmlformats.org/spreadsheetml/2006/main" count="7669" uniqueCount="1636">
  <si>
    <t xml:space="preserve">PROCUREMENT SPEND ANALYSIS - SIMULATED DATASET</t>
  </si>
  <si>
    <t xml:space="preserve">DATA DISCLOSURE</t>
  </si>
  <si>
    <t xml:space="preserve">This dataset is fully simulated for portfolio/demonstration purposes. It does NOT represent</t>
  </si>
  <si>
    <t xml:space="preserve">a real company. Supplier names, prices, and transaction patterns were generated with a fixed</t>
  </si>
  <si>
    <t xml:space="preserve">random seed (42) so results are reproducible. It is designed to mimic realistic procurement</t>
  </si>
  <si>
    <t xml:space="preserve">patterns seen in Canadian mid-market manufacturing: spend concentration (Pareto effect),</t>
  </si>
  <si>
    <t xml:space="preserve">maverick (off-contract) spend, supplier delivery delays, and quality rejects.</t>
  </si>
  <si>
    <t xml:space="preserve">WORKBOOK STRUCTURE</t>
  </si>
  <si>
    <t xml:space="preserve">- Dim_Supplier: supplier master data (20 suppliers across 4 categories)</t>
  </si>
  <si>
    <t xml:space="preserve">- Lookup_Tables: category standard lead times used to calculate promised delivery dates</t>
  </si>
  <si>
    <t xml:space="preserve">- PO_Transactions: 1,500 simulated purchase order line items (the fact table)</t>
  </si>
  <si>
    <t xml:space="preserve">HOW THE FORMULAS WORK (PO_Transactions sheet)</t>
  </si>
  <si>
    <t xml:space="preserve">- Category / Supplier_Name are pulled from Dim_Supplier using INDEX/MATCH on Supplier_ID</t>
  </si>
  <si>
    <t xml:space="preserve">- Lead_Time_Days is pulled from Lookup_Tables using INDEX/MATCH on Category</t>
  </si>
  <si>
    <t xml:space="preserve">- Promised_Delivery_Date = Order_Date + Lead_Time_Days</t>
  </si>
  <si>
    <t xml:space="preserve">- Actual_Delivery_Date = Promised_Delivery_Date + Delay_Days (Delay_Days is a simulated input)</t>
  </si>
  <si>
    <t xml:space="preserve">- Negotiated_Contract_Price is pulled from Dim_Supplier using INDEX/MATCH on Supplier_ID</t>
  </si>
  <si>
    <t xml:space="preserve">- Unit_Price = Negotiated_Contract_Price x (1 + Price_Markup_Pct)</t>
  </si>
  <si>
    <t xml:space="preserve">- Total_PO_Value = Unit_Price x Quantity</t>
  </si>
  <si>
    <t xml:space="preserve">- Price_Variance_Pct = (Unit_Price - Negotiated_Contract_Price) / Negotiated_Contract_Price</t>
  </si>
  <si>
    <t xml:space="preserve">- OTIF_Flag = 1 if delivered on/before the promised date AND zero quality rejects, else 0</t>
  </si>
  <si>
    <t xml:space="preserve">- Maverick_Spend_Value = Total_PO_Value if On_Contract_Flag = 'No', else 0</t>
  </si>
  <si>
    <t xml:space="preserve">COLOR KEY</t>
  </si>
  <si>
    <t xml:space="preserve">- Blue text = simulated/raw input values</t>
  </si>
  <si>
    <t xml:space="preserve">- Black text = live Excel formulas (will recalculate if inputs change)</t>
  </si>
  <si>
    <t xml:space="preserve">HOW TO USE THIS FILE</t>
  </si>
  <si>
    <t xml:space="preserve">1. Open PO_Transactions and build Pivot Tables: spend by supplier, category, plant, quarter.</t>
  </si>
  <si>
    <t xml:space="preserve">2. Add a Pareto (80/20) analysis: rank suppliers by Total_PO_Value descending with a running %.</t>
  </si>
  <si>
    <t xml:space="preserve">3. Use Maverick_Spend_Value and Price_Variance_Pct to identify cost leakage.</t>
  </si>
  <si>
    <t xml:space="preserve">4. Use OTIF_Flag and Quality_Reject_Qty to build a supplier scorecard (weighted score).</t>
  </si>
  <si>
    <t xml:space="preserve">5. Load this workbook into Power BI (Get Data &gt; Excel Workbook) to build the dashboard.</t>
  </si>
  <si>
    <t xml:space="preserve">NEXT STEP</t>
  </si>
  <si>
    <t xml:space="preserve">Bring this file back into the chat and we will build the Power Query cleaning steps,</t>
  </si>
  <si>
    <t xml:space="preserve">Pareto analysis, and supplier scorecard formulas together, column by column.</t>
  </si>
  <si>
    <t xml:space="preserve">Supplier_ID</t>
  </si>
  <si>
    <t xml:space="preserve">Supplier_Name</t>
  </si>
  <si>
    <t xml:space="preserve">Category</t>
  </si>
  <si>
    <t xml:space="preserve">Country</t>
  </si>
  <si>
    <t xml:space="preserve">Risk_Tier</t>
  </si>
  <si>
    <t xml:space="preserve">Negotiated_Price</t>
  </si>
  <si>
    <t xml:space="preserve">Years_As_Vendor</t>
  </si>
  <si>
    <t xml:space="preserve">SUP-001</t>
  </si>
  <si>
    <t xml:space="preserve">Ontario Steel Partners</t>
  </si>
  <si>
    <t xml:space="preserve">Raw Materials</t>
  </si>
  <si>
    <t xml:space="preserve">Canada</t>
  </si>
  <si>
    <t xml:space="preserve">Low</t>
  </si>
  <si>
    <t xml:space="preserve">SUP-002</t>
  </si>
  <si>
    <t xml:space="preserve">Niagara Alloy Supply</t>
  </si>
  <si>
    <t xml:space="preserve">Medium</t>
  </si>
  <si>
    <t xml:space="preserve">SUP-003</t>
  </si>
  <si>
    <t xml:space="preserve">Great Lakes Polymer Co.</t>
  </si>
  <si>
    <t xml:space="preserve">High</t>
  </si>
  <si>
    <t xml:space="preserve">SUP-004</t>
  </si>
  <si>
    <t xml:space="preserve">Laurentian Metals Inc.</t>
  </si>
  <si>
    <t xml:space="preserve">SUP-005</t>
  </si>
  <si>
    <t xml:space="preserve">Northern Resin Solutions</t>
  </si>
  <si>
    <t xml:space="preserve">USA</t>
  </si>
  <si>
    <t xml:space="preserve">SUP-006</t>
  </si>
  <si>
    <t xml:space="preserve">Great Lakes Packaging Co.</t>
  </si>
  <si>
    <t xml:space="preserve">Packaging</t>
  </si>
  <si>
    <t xml:space="preserve">SUP-007</t>
  </si>
  <si>
    <t xml:space="preserve">Maple Leaf Box &amp; Crate</t>
  </si>
  <si>
    <t xml:space="preserve">SUP-008</t>
  </si>
  <si>
    <t xml:space="preserve">Trillium Packaging Solutions</t>
  </si>
  <si>
    <t xml:space="preserve">SUP-009</t>
  </si>
  <si>
    <t xml:space="preserve">Huron Pallet Works</t>
  </si>
  <si>
    <t xml:space="preserve">SUP-010</t>
  </si>
  <si>
    <t xml:space="preserve">EverGreen Wrap Industries</t>
  </si>
  <si>
    <t xml:space="preserve">SUP-011</t>
  </si>
  <si>
    <t xml:space="preserve">Precision Tool &amp; Supply</t>
  </si>
  <si>
    <t xml:space="preserve">MRO</t>
  </si>
  <si>
    <t xml:space="preserve">SUP-012</t>
  </si>
  <si>
    <t xml:space="preserve">CanSafe Equipment Ltd.</t>
  </si>
  <si>
    <t xml:space="preserve">SUP-013</t>
  </si>
  <si>
    <t xml:space="preserve">Frontier MRO Solutions</t>
  </si>
  <si>
    <t xml:space="preserve">SUP-014</t>
  </si>
  <si>
    <t xml:space="preserve">Sterling Lubricants Inc.</t>
  </si>
  <si>
    <t xml:space="preserve">SUP-015</t>
  </si>
  <si>
    <t xml:space="preserve">Apex Industrial Supply</t>
  </si>
  <si>
    <t xml:space="preserve">SUP-016</t>
  </si>
  <si>
    <t xml:space="preserve">Niagara Freight Solutions</t>
  </si>
  <si>
    <t xml:space="preserve">Logistics</t>
  </si>
  <si>
    <t xml:space="preserve">SUP-017</t>
  </si>
  <si>
    <t xml:space="preserve">Maple Route Logistics</t>
  </si>
  <si>
    <t xml:space="preserve">SUP-018</t>
  </si>
  <si>
    <t xml:space="preserve">Trans-Canada Carriers</t>
  </si>
  <si>
    <t xml:space="preserve">SUP-019</t>
  </si>
  <si>
    <t xml:space="preserve">Blue Water Customs Brokerage</t>
  </si>
  <si>
    <t xml:space="preserve">SUP-020</t>
  </si>
  <si>
    <t xml:space="preserve">Summit Last-Mile Delivery</t>
  </si>
  <si>
    <t xml:space="preserve">Standard_Lead_Time_Days</t>
  </si>
  <si>
    <t xml:space="preserve">PO_Number</t>
  </si>
  <si>
    <t xml:space="preserve">Order_Date</t>
  </si>
  <si>
    <t xml:space="preserve">Sub_Category</t>
  </si>
  <si>
    <t xml:space="preserve">Plant_Location</t>
  </si>
  <si>
    <t xml:space="preserve">Lead_Time_Days</t>
  </si>
  <si>
    <t xml:space="preserve">Promised_Delivery_Date</t>
  </si>
  <si>
    <t xml:space="preserve">Delay_Days</t>
  </si>
  <si>
    <t xml:space="preserve">Actual_Delivery_Date</t>
  </si>
  <si>
    <t xml:space="preserve">Quantity</t>
  </si>
  <si>
    <t xml:space="preserve">Negotiated_Contract_Price</t>
  </si>
  <si>
    <t xml:space="preserve">Price_Markup_Pct</t>
  </si>
  <si>
    <t xml:space="preserve">Unit_Price</t>
  </si>
  <si>
    <t xml:space="preserve">Total_PO_Value</t>
  </si>
  <si>
    <t xml:space="preserve">On_Contract_Flag</t>
  </si>
  <si>
    <t xml:space="preserve">Quality_Reject_Qty</t>
  </si>
  <si>
    <t xml:space="preserve">Payment_Terms_Days</t>
  </si>
  <si>
    <t xml:space="preserve">Price_Variance_Pct</t>
  </si>
  <si>
    <t xml:space="preserve">OTIF_Flag</t>
  </si>
  <si>
    <t xml:space="preserve">Maverick_Spend_Value</t>
  </si>
  <si>
    <t xml:space="preserve">PO-2024-00001</t>
  </si>
  <si>
    <t xml:space="preserve">Spare Parts</t>
  </si>
  <si>
    <t xml:space="preserve">Brampton, ON</t>
  </si>
  <si>
    <t xml:space="preserve">Yes</t>
  </si>
  <si>
    <t xml:space="preserve">PO-2024-00002</t>
  </si>
  <si>
    <t xml:space="preserve">Aluminum Sheet</t>
  </si>
  <si>
    <t xml:space="preserve">PO-2024-00003</t>
  </si>
  <si>
    <t xml:space="preserve">Corrugated Boxes</t>
  </si>
  <si>
    <t xml:space="preserve">PO-2024-00004</t>
  </si>
  <si>
    <t xml:space="preserve">Pallets</t>
  </si>
  <si>
    <t xml:space="preserve">Mississauga, ON</t>
  </si>
  <si>
    <t xml:space="preserve">PO-2024-00005</t>
  </si>
  <si>
    <t xml:space="preserve">Poly Bags</t>
  </si>
  <si>
    <t xml:space="preserve">PO-2024-00006</t>
  </si>
  <si>
    <t xml:space="preserve">Freight - LTL</t>
  </si>
  <si>
    <t xml:space="preserve">Montreal, QC</t>
  </si>
  <si>
    <t xml:space="preserve">PO-2024-00007</t>
  </si>
  <si>
    <t xml:space="preserve">Safety Equipment</t>
  </si>
  <si>
    <t xml:space="preserve">PO-2024-00008</t>
  </si>
  <si>
    <t xml:space="preserve">Cambridge, ON</t>
  </si>
  <si>
    <t xml:space="preserve">PO-2024-00009</t>
  </si>
  <si>
    <t xml:space="preserve">PO-2024-00010</t>
  </si>
  <si>
    <t xml:space="preserve">Cleaning Supplies</t>
  </si>
  <si>
    <t xml:space="preserve">No</t>
  </si>
  <si>
    <t xml:space="preserve">PO-2024-00011</t>
  </si>
  <si>
    <t xml:space="preserve">PO-2024-00012</t>
  </si>
  <si>
    <t xml:space="preserve">PO-2024-00013</t>
  </si>
  <si>
    <t xml:space="preserve">Labels</t>
  </si>
  <si>
    <t xml:space="preserve">PO-2024-00014</t>
  </si>
  <si>
    <t xml:space="preserve">Plastic Resin</t>
  </si>
  <si>
    <t xml:space="preserve">PO-2024-00015</t>
  </si>
  <si>
    <t xml:space="preserve">PO-2024-00016</t>
  </si>
  <si>
    <t xml:space="preserve">Industrial Chemicals</t>
  </si>
  <si>
    <t xml:space="preserve">PO-2024-00017</t>
  </si>
  <si>
    <t xml:space="preserve">Copper Wire</t>
  </si>
  <si>
    <t xml:space="preserve">PO-2024-00018</t>
  </si>
  <si>
    <t xml:space="preserve">Warehousing</t>
  </si>
  <si>
    <t xml:space="preserve">PO-2024-00019</t>
  </si>
  <si>
    <t xml:space="preserve">Steel Coil</t>
  </si>
  <si>
    <t xml:space="preserve">PO-2024-00020</t>
  </si>
  <si>
    <t xml:space="preserve">PO-2024-00021</t>
  </si>
  <si>
    <t xml:space="preserve">PO-2024-00022</t>
  </si>
  <si>
    <t xml:space="preserve">PO-2024-00023</t>
  </si>
  <si>
    <t xml:space="preserve">PO-2024-00024</t>
  </si>
  <si>
    <t xml:space="preserve">Freight - FTL</t>
  </si>
  <si>
    <t xml:space="preserve">PO-2024-00025</t>
  </si>
  <si>
    <t xml:space="preserve">PO-2024-00026</t>
  </si>
  <si>
    <t xml:space="preserve">PO-2024-00027</t>
  </si>
  <si>
    <t xml:space="preserve">Shrink Wrap</t>
  </si>
  <si>
    <t xml:space="preserve">PO-2024-00028</t>
  </si>
  <si>
    <t xml:space="preserve">PO-2024-00029</t>
  </si>
  <si>
    <t xml:space="preserve">PO-2024-00030</t>
  </si>
  <si>
    <t xml:space="preserve">PO-2024-00031</t>
  </si>
  <si>
    <t xml:space="preserve">PO-2024-00032</t>
  </si>
  <si>
    <t xml:space="preserve">Lubricants</t>
  </si>
  <si>
    <t xml:space="preserve">PO-2024-00033</t>
  </si>
  <si>
    <t xml:space="preserve">PO-2024-00034</t>
  </si>
  <si>
    <t xml:space="preserve">PO-2024-00035</t>
  </si>
  <si>
    <t xml:space="preserve">PO-2024-00036</t>
  </si>
  <si>
    <t xml:space="preserve">PO-2024-00037</t>
  </si>
  <si>
    <t xml:space="preserve">PO-2024-00038</t>
  </si>
  <si>
    <t xml:space="preserve">PO-2024-00039</t>
  </si>
  <si>
    <t xml:space="preserve">PO-2024-00040</t>
  </si>
  <si>
    <t xml:space="preserve">PO-2024-00041</t>
  </si>
  <si>
    <t xml:space="preserve">PO-2024-00042</t>
  </si>
  <si>
    <t xml:space="preserve">PO-2024-00043</t>
  </si>
  <si>
    <t xml:space="preserve">PO-2024-00044</t>
  </si>
  <si>
    <t xml:space="preserve">PO-2024-00045</t>
  </si>
  <si>
    <t xml:space="preserve">PO-2024-00046</t>
  </si>
  <si>
    <t xml:space="preserve">Tools</t>
  </si>
  <si>
    <t xml:space="preserve">PO-2024-00047</t>
  </si>
  <si>
    <t xml:space="preserve">PO-2024-00048</t>
  </si>
  <si>
    <t xml:space="preserve">PO-2024-00049</t>
  </si>
  <si>
    <t xml:space="preserve">PO-2024-00050</t>
  </si>
  <si>
    <t xml:space="preserve">PO-2024-00051</t>
  </si>
  <si>
    <t xml:space="preserve">Last-Mile Delivery</t>
  </si>
  <si>
    <t xml:space="preserve">PO-2024-00052</t>
  </si>
  <si>
    <t xml:space="preserve">PO-2024-00053</t>
  </si>
  <si>
    <t xml:space="preserve">PO-2024-00054</t>
  </si>
  <si>
    <t xml:space="preserve">PO-2024-00055</t>
  </si>
  <si>
    <t xml:space="preserve">PO-2024-00056</t>
  </si>
  <si>
    <t xml:space="preserve">PO-2024-00057</t>
  </si>
  <si>
    <t xml:space="preserve">PO-2024-00058</t>
  </si>
  <si>
    <t xml:space="preserve">PO-2024-00059</t>
  </si>
  <si>
    <t xml:space="preserve">PO-2024-00060</t>
  </si>
  <si>
    <t xml:space="preserve">PO-2024-00061</t>
  </si>
  <si>
    <t xml:space="preserve">PO-2024-00062</t>
  </si>
  <si>
    <t xml:space="preserve">PO-2024-00063</t>
  </si>
  <si>
    <t xml:space="preserve">PO-2024-00064</t>
  </si>
  <si>
    <t xml:space="preserve">PO-2024-00065</t>
  </si>
  <si>
    <t xml:space="preserve">PO-2024-00066</t>
  </si>
  <si>
    <t xml:space="preserve">PO-2024-00067</t>
  </si>
  <si>
    <t xml:space="preserve">PO-2024-00068</t>
  </si>
  <si>
    <t xml:space="preserve">PO-2024-00069</t>
  </si>
  <si>
    <t xml:space="preserve">PO-2024-00070</t>
  </si>
  <si>
    <t xml:space="preserve">PO-2024-00071</t>
  </si>
  <si>
    <t xml:space="preserve">PO-2024-00072</t>
  </si>
  <si>
    <t xml:space="preserve">PO-2024-00073</t>
  </si>
  <si>
    <t xml:space="preserve">PO-2024-00074</t>
  </si>
  <si>
    <t xml:space="preserve">PO-2024-00075</t>
  </si>
  <si>
    <t xml:space="preserve">PO-2024-00076</t>
  </si>
  <si>
    <t xml:space="preserve">PO-2024-00077</t>
  </si>
  <si>
    <t xml:space="preserve">PO-2024-00078</t>
  </si>
  <si>
    <t xml:space="preserve">PO-2024-00079</t>
  </si>
  <si>
    <t xml:space="preserve">PO-2024-00080</t>
  </si>
  <si>
    <t xml:space="preserve">PO-2024-00081</t>
  </si>
  <si>
    <t xml:space="preserve">PO-2024-00082</t>
  </si>
  <si>
    <t xml:space="preserve">PO-2024-00083</t>
  </si>
  <si>
    <t xml:space="preserve">PO-2024-00084</t>
  </si>
  <si>
    <t xml:space="preserve">PO-2024-00085</t>
  </si>
  <si>
    <t xml:space="preserve">PO-2024-00086</t>
  </si>
  <si>
    <t xml:space="preserve">PO-2024-00087</t>
  </si>
  <si>
    <t xml:space="preserve">PO-2024-00088</t>
  </si>
  <si>
    <t xml:space="preserve">PO-2024-00089</t>
  </si>
  <si>
    <t xml:space="preserve">PO-2024-00090</t>
  </si>
  <si>
    <t xml:space="preserve">PO-2024-00091</t>
  </si>
  <si>
    <t xml:space="preserve">PO-2024-00092</t>
  </si>
  <si>
    <t xml:space="preserve">PO-2024-00093</t>
  </si>
  <si>
    <t xml:space="preserve">PO-2024-00094</t>
  </si>
  <si>
    <t xml:space="preserve">PO-2024-00095</t>
  </si>
  <si>
    <t xml:space="preserve">PO-2024-00096</t>
  </si>
  <si>
    <t xml:space="preserve">PO-2024-00097</t>
  </si>
  <si>
    <t xml:space="preserve">PO-2024-00098</t>
  </si>
  <si>
    <t xml:space="preserve">PO-2024-00099</t>
  </si>
  <si>
    <t xml:space="preserve">PO-2024-00100</t>
  </si>
  <si>
    <t xml:space="preserve">PO-2024-00101</t>
  </si>
  <si>
    <t xml:space="preserve">PO-2024-00102</t>
  </si>
  <si>
    <t xml:space="preserve">Customs Brokerage</t>
  </si>
  <si>
    <t xml:space="preserve">PO-2024-00103</t>
  </si>
  <si>
    <t xml:space="preserve">PO-2024-00104</t>
  </si>
  <si>
    <t xml:space="preserve">PO-2024-00105</t>
  </si>
  <si>
    <t xml:space="preserve">PO-2024-00106</t>
  </si>
  <si>
    <t xml:space="preserve">PO-2024-00107</t>
  </si>
  <si>
    <t xml:space="preserve">PO-2024-00108</t>
  </si>
  <si>
    <t xml:space="preserve">PO-2024-00109</t>
  </si>
  <si>
    <t xml:space="preserve">PO-2024-00110</t>
  </si>
  <si>
    <t xml:space="preserve">PO-2024-00111</t>
  </si>
  <si>
    <t xml:space="preserve">PO-2024-00112</t>
  </si>
  <si>
    <t xml:space="preserve">PO-2024-00113</t>
  </si>
  <si>
    <t xml:space="preserve">PO-2024-00114</t>
  </si>
  <si>
    <t xml:space="preserve">PO-2024-00115</t>
  </si>
  <si>
    <t xml:space="preserve">PO-2024-00116</t>
  </si>
  <si>
    <t xml:space="preserve">PO-2024-00117</t>
  </si>
  <si>
    <t xml:space="preserve">PO-2024-00118</t>
  </si>
  <si>
    <t xml:space="preserve">PO-2024-00119</t>
  </si>
  <si>
    <t xml:space="preserve">PO-2024-00120</t>
  </si>
  <si>
    <t xml:space="preserve">PO-2024-00121</t>
  </si>
  <si>
    <t xml:space="preserve">PO-2024-00122</t>
  </si>
  <si>
    <t xml:space="preserve">PO-2024-00123</t>
  </si>
  <si>
    <t xml:space="preserve">PO-2024-00124</t>
  </si>
  <si>
    <t xml:space="preserve">PO-2024-00125</t>
  </si>
  <si>
    <t xml:space="preserve">PO-2024-00126</t>
  </si>
  <si>
    <t xml:space="preserve">PO-2024-00127</t>
  </si>
  <si>
    <t xml:space="preserve">PO-2024-00128</t>
  </si>
  <si>
    <t xml:space="preserve">PO-2024-00129</t>
  </si>
  <si>
    <t xml:space="preserve">PO-2024-00130</t>
  </si>
  <si>
    <t xml:space="preserve">PO-2024-00131</t>
  </si>
  <si>
    <t xml:space="preserve">PO-2024-00132</t>
  </si>
  <si>
    <t xml:space="preserve">PO-2024-00133</t>
  </si>
  <si>
    <t xml:space="preserve">PO-2024-00134</t>
  </si>
  <si>
    <t xml:space="preserve">PO-2024-00135</t>
  </si>
  <si>
    <t xml:space="preserve">PO-2024-00136</t>
  </si>
  <si>
    <t xml:space="preserve">PO-2024-00137</t>
  </si>
  <si>
    <t xml:space="preserve">PO-2024-00138</t>
  </si>
  <si>
    <t xml:space="preserve">PO-2024-00139</t>
  </si>
  <si>
    <t xml:space="preserve">PO-2024-00140</t>
  </si>
  <si>
    <t xml:space="preserve">PO-2024-00141</t>
  </si>
  <si>
    <t xml:space="preserve">PO-2024-00142</t>
  </si>
  <si>
    <t xml:space="preserve">PO-2024-00143</t>
  </si>
  <si>
    <t xml:space="preserve">PO-2024-00144</t>
  </si>
  <si>
    <t xml:space="preserve">PO-2024-00145</t>
  </si>
  <si>
    <t xml:space="preserve">PO-2024-00146</t>
  </si>
  <si>
    <t xml:space="preserve">PO-2024-00147</t>
  </si>
  <si>
    <t xml:space="preserve">PO-2024-00148</t>
  </si>
  <si>
    <t xml:space="preserve">PO-2024-00149</t>
  </si>
  <si>
    <t xml:space="preserve">PO-2024-00150</t>
  </si>
  <si>
    <t xml:space="preserve">PO-2024-00151</t>
  </si>
  <si>
    <t xml:space="preserve">PO-2024-00152</t>
  </si>
  <si>
    <t xml:space="preserve">PO-2024-00153</t>
  </si>
  <si>
    <t xml:space="preserve">PO-2024-00154</t>
  </si>
  <si>
    <t xml:space="preserve">PO-2024-00155</t>
  </si>
  <si>
    <t xml:space="preserve">PO-2024-00156</t>
  </si>
  <si>
    <t xml:space="preserve">PO-2024-00157</t>
  </si>
  <si>
    <t xml:space="preserve">PO-2024-00158</t>
  </si>
  <si>
    <t xml:space="preserve">PO-2024-00159</t>
  </si>
  <si>
    <t xml:space="preserve">PO-2024-00160</t>
  </si>
  <si>
    <t xml:space="preserve">PO-2024-00161</t>
  </si>
  <si>
    <t xml:space="preserve">PO-2024-00162</t>
  </si>
  <si>
    <t xml:space="preserve">PO-2024-00163</t>
  </si>
  <si>
    <t xml:space="preserve">PO-2024-00164</t>
  </si>
  <si>
    <t xml:space="preserve">PO-2024-00165</t>
  </si>
  <si>
    <t xml:space="preserve">PO-2024-00166</t>
  </si>
  <si>
    <t xml:space="preserve">PO-2024-00167</t>
  </si>
  <si>
    <t xml:space="preserve">PO-2024-00168</t>
  </si>
  <si>
    <t xml:space="preserve">PO-2024-00169</t>
  </si>
  <si>
    <t xml:space="preserve">PO-2024-00170</t>
  </si>
  <si>
    <t xml:space="preserve">PO-2024-00171</t>
  </si>
  <si>
    <t xml:space="preserve">PO-2024-00172</t>
  </si>
  <si>
    <t xml:space="preserve">PO-2024-00173</t>
  </si>
  <si>
    <t xml:space="preserve">PO-2024-00174</t>
  </si>
  <si>
    <t xml:space="preserve">PO-2024-00175</t>
  </si>
  <si>
    <t xml:space="preserve">PO-2024-00176</t>
  </si>
  <si>
    <t xml:space="preserve">PO-2024-00177</t>
  </si>
  <si>
    <t xml:space="preserve">PO-2024-00178</t>
  </si>
  <si>
    <t xml:space="preserve">PO-2024-00179</t>
  </si>
  <si>
    <t xml:space="preserve">PO-2024-00180</t>
  </si>
  <si>
    <t xml:space="preserve">PO-2024-00181</t>
  </si>
  <si>
    <t xml:space="preserve">PO-2024-00182</t>
  </si>
  <si>
    <t xml:space="preserve">PO-2024-00183</t>
  </si>
  <si>
    <t xml:space="preserve">PO-2024-00184</t>
  </si>
  <si>
    <t xml:space="preserve">PO-2024-00185</t>
  </si>
  <si>
    <t xml:space="preserve">PO-2024-00186</t>
  </si>
  <si>
    <t xml:space="preserve">PO-2024-00187</t>
  </si>
  <si>
    <t xml:space="preserve">PO-2024-00188</t>
  </si>
  <si>
    <t xml:space="preserve">PO-2024-00189</t>
  </si>
  <si>
    <t xml:space="preserve">PO-2024-00190</t>
  </si>
  <si>
    <t xml:space="preserve">PO-2024-00191</t>
  </si>
  <si>
    <t xml:space="preserve">PO-2024-00192</t>
  </si>
  <si>
    <t xml:space="preserve">PO-2024-00193</t>
  </si>
  <si>
    <t xml:space="preserve">PO-2024-00194</t>
  </si>
  <si>
    <t xml:space="preserve">PO-2024-00195</t>
  </si>
  <si>
    <t xml:space="preserve">PO-2024-00196</t>
  </si>
  <si>
    <t xml:space="preserve">PO-2024-00197</t>
  </si>
  <si>
    <t xml:space="preserve">PO-2024-00198</t>
  </si>
  <si>
    <t xml:space="preserve">PO-2024-00199</t>
  </si>
  <si>
    <t xml:space="preserve">PO-2024-00200</t>
  </si>
  <si>
    <t xml:space="preserve">PO-2024-00201</t>
  </si>
  <si>
    <t xml:space="preserve">PO-2024-00202</t>
  </si>
  <si>
    <t xml:space="preserve">PO-2024-00203</t>
  </si>
  <si>
    <t xml:space="preserve">PO-2024-00204</t>
  </si>
  <si>
    <t xml:space="preserve">PO-2024-00205</t>
  </si>
  <si>
    <t xml:space="preserve">PO-2024-00206</t>
  </si>
  <si>
    <t xml:space="preserve">PO-2024-00207</t>
  </si>
  <si>
    <t xml:space="preserve">PO-2024-00208</t>
  </si>
  <si>
    <t xml:space="preserve">PO-2024-00209</t>
  </si>
  <si>
    <t xml:space="preserve">PO-2024-00210</t>
  </si>
  <si>
    <t xml:space="preserve">PO-2024-00211</t>
  </si>
  <si>
    <t xml:space="preserve">PO-2024-00212</t>
  </si>
  <si>
    <t xml:space="preserve">PO-2024-00213</t>
  </si>
  <si>
    <t xml:space="preserve">PO-2024-00214</t>
  </si>
  <si>
    <t xml:space="preserve">PO-2024-00215</t>
  </si>
  <si>
    <t xml:space="preserve">PO-2024-00216</t>
  </si>
  <si>
    <t xml:space="preserve">PO-2024-00217</t>
  </si>
  <si>
    <t xml:space="preserve">PO-2024-00218</t>
  </si>
  <si>
    <t xml:space="preserve">PO-2024-00219</t>
  </si>
  <si>
    <t xml:space="preserve">PO-2024-00220</t>
  </si>
  <si>
    <t xml:space="preserve">PO-2024-00221</t>
  </si>
  <si>
    <t xml:space="preserve">PO-2024-00222</t>
  </si>
  <si>
    <t xml:space="preserve">PO-2024-00223</t>
  </si>
  <si>
    <t xml:space="preserve">PO-2024-00224</t>
  </si>
  <si>
    <t xml:space="preserve">PO-2024-00225</t>
  </si>
  <si>
    <t xml:space="preserve">PO-2024-00226</t>
  </si>
  <si>
    <t xml:space="preserve">PO-2024-00227</t>
  </si>
  <si>
    <t xml:space="preserve">PO-2024-00228</t>
  </si>
  <si>
    <t xml:space="preserve">PO-2024-00229</t>
  </si>
  <si>
    <t xml:space="preserve">PO-2024-00230</t>
  </si>
  <si>
    <t xml:space="preserve">PO-2024-00231</t>
  </si>
  <si>
    <t xml:space="preserve">PO-2024-00232</t>
  </si>
  <si>
    <t xml:space="preserve">PO-2024-00233</t>
  </si>
  <si>
    <t xml:space="preserve">PO-2024-00234</t>
  </si>
  <si>
    <t xml:space="preserve">PO-2024-00235</t>
  </si>
  <si>
    <t xml:space="preserve">PO-2024-00236</t>
  </si>
  <si>
    <t xml:space="preserve">PO-2024-00237</t>
  </si>
  <si>
    <t xml:space="preserve">PO-2024-00238</t>
  </si>
  <si>
    <t xml:space="preserve">PO-2024-00239</t>
  </si>
  <si>
    <t xml:space="preserve">PO-2024-00240</t>
  </si>
  <si>
    <t xml:space="preserve">PO-2024-00241</t>
  </si>
  <si>
    <t xml:space="preserve">PO-2024-00242</t>
  </si>
  <si>
    <t xml:space="preserve">PO-2024-00243</t>
  </si>
  <si>
    <t xml:space="preserve">PO-2024-00244</t>
  </si>
  <si>
    <t xml:space="preserve">PO-2024-00245</t>
  </si>
  <si>
    <t xml:space="preserve">PO-2024-00246</t>
  </si>
  <si>
    <t xml:space="preserve">PO-2024-00247</t>
  </si>
  <si>
    <t xml:space="preserve">PO-2024-00248</t>
  </si>
  <si>
    <t xml:space="preserve">PO-2024-00249</t>
  </si>
  <si>
    <t xml:space="preserve">PO-2024-00250</t>
  </si>
  <si>
    <t xml:space="preserve">PO-2024-00251</t>
  </si>
  <si>
    <t xml:space="preserve">PO-2024-00252</t>
  </si>
  <si>
    <t xml:space="preserve">PO-2024-00253</t>
  </si>
  <si>
    <t xml:space="preserve">PO-2024-00254</t>
  </si>
  <si>
    <t xml:space="preserve">PO-2024-00255</t>
  </si>
  <si>
    <t xml:space="preserve">PO-2024-00256</t>
  </si>
  <si>
    <t xml:space="preserve">PO-2024-00257</t>
  </si>
  <si>
    <t xml:space="preserve">PO-2024-00258</t>
  </si>
  <si>
    <t xml:space="preserve">PO-2024-00259</t>
  </si>
  <si>
    <t xml:space="preserve">PO-2024-00260</t>
  </si>
  <si>
    <t xml:space="preserve">PO-2024-00261</t>
  </si>
  <si>
    <t xml:space="preserve">PO-2024-00262</t>
  </si>
  <si>
    <t xml:space="preserve">PO-2024-00263</t>
  </si>
  <si>
    <t xml:space="preserve">PO-2024-00264</t>
  </si>
  <si>
    <t xml:space="preserve">PO-2024-00265</t>
  </si>
  <si>
    <t xml:space="preserve">PO-2024-00266</t>
  </si>
  <si>
    <t xml:space="preserve">PO-2024-00267</t>
  </si>
  <si>
    <t xml:space="preserve">PO-2024-00268</t>
  </si>
  <si>
    <t xml:space="preserve">PO-2024-00269</t>
  </si>
  <si>
    <t xml:space="preserve">PO-2024-00270</t>
  </si>
  <si>
    <t xml:space="preserve">PO-2024-00271</t>
  </si>
  <si>
    <t xml:space="preserve">PO-2024-00272</t>
  </si>
  <si>
    <t xml:space="preserve">PO-2024-00273</t>
  </si>
  <si>
    <t xml:space="preserve">PO-2024-00274</t>
  </si>
  <si>
    <t xml:space="preserve">PO-2024-00275</t>
  </si>
  <si>
    <t xml:space="preserve">PO-2024-00276</t>
  </si>
  <si>
    <t xml:space="preserve">PO-2024-00277</t>
  </si>
  <si>
    <t xml:space="preserve">PO-2024-00278</t>
  </si>
  <si>
    <t xml:space="preserve">PO-2024-00279</t>
  </si>
  <si>
    <t xml:space="preserve">PO-2024-00280</t>
  </si>
  <si>
    <t xml:space="preserve">PO-2024-00281</t>
  </si>
  <si>
    <t xml:space="preserve">PO-2024-00282</t>
  </si>
  <si>
    <t xml:space="preserve">PO-2024-00283</t>
  </si>
  <si>
    <t xml:space="preserve">PO-2024-00284</t>
  </si>
  <si>
    <t xml:space="preserve">PO-2024-00285</t>
  </si>
  <si>
    <t xml:space="preserve">PO-2024-00286</t>
  </si>
  <si>
    <t xml:space="preserve">PO-2024-00287</t>
  </si>
  <si>
    <t xml:space="preserve">PO-2024-00288</t>
  </si>
  <si>
    <t xml:space="preserve">PO-2024-00289</t>
  </si>
  <si>
    <t xml:space="preserve">PO-2024-00290</t>
  </si>
  <si>
    <t xml:space="preserve">PO-2024-00291</t>
  </si>
  <si>
    <t xml:space="preserve">PO-2024-00292</t>
  </si>
  <si>
    <t xml:space="preserve">PO-2024-00293</t>
  </si>
  <si>
    <t xml:space="preserve">PO-2024-00294</t>
  </si>
  <si>
    <t xml:space="preserve">PO-2024-00295</t>
  </si>
  <si>
    <t xml:space="preserve">PO-2024-00296</t>
  </si>
  <si>
    <t xml:space="preserve">PO-2024-00297</t>
  </si>
  <si>
    <t xml:space="preserve">PO-2024-00298</t>
  </si>
  <si>
    <t xml:space="preserve">PO-2024-00299</t>
  </si>
  <si>
    <t xml:space="preserve">PO-2024-00300</t>
  </si>
  <si>
    <t xml:space="preserve">PO-2024-00301</t>
  </si>
  <si>
    <t xml:space="preserve">PO-2024-00302</t>
  </si>
  <si>
    <t xml:space="preserve">PO-2024-00303</t>
  </si>
  <si>
    <t xml:space="preserve">PO-2024-00304</t>
  </si>
  <si>
    <t xml:space="preserve">PO-2024-00305</t>
  </si>
  <si>
    <t xml:space="preserve">PO-2024-00306</t>
  </si>
  <si>
    <t xml:space="preserve">PO-2024-00307</t>
  </si>
  <si>
    <t xml:space="preserve">PO-2024-00308</t>
  </si>
  <si>
    <t xml:space="preserve">PO-2024-00309</t>
  </si>
  <si>
    <t xml:space="preserve">PO-2024-00310</t>
  </si>
  <si>
    <t xml:space="preserve">PO-2024-00311</t>
  </si>
  <si>
    <t xml:space="preserve">PO-2024-00312</t>
  </si>
  <si>
    <t xml:space="preserve">PO-2024-00313</t>
  </si>
  <si>
    <t xml:space="preserve">PO-2024-00314</t>
  </si>
  <si>
    <t xml:space="preserve">PO-2024-00315</t>
  </si>
  <si>
    <t xml:space="preserve">PO-2024-00316</t>
  </si>
  <si>
    <t xml:space="preserve">PO-2024-00317</t>
  </si>
  <si>
    <t xml:space="preserve">PO-2024-00318</t>
  </si>
  <si>
    <t xml:space="preserve">PO-2024-00319</t>
  </si>
  <si>
    <t xml:space="preserve">PO-2024-00320</t>
  </si>
  <si>
    <t xml:space="preserve">PO-2024-00321</t>
  </si>
  <si>
    <t xml:space="preserve">PO-2024-00322</t>
  </si>
  <si>
    <t xml:space="preserve">PO-2024-00323</t>
  </si>
  <si>
    <t xml:space="preserve">PO-2024-00324</t>
  </si>
  <si>
    <t xml:space="preserve">PO-2024-00325</t>
  </si>
  <si>
    <t xml:space="preserve">PO-2024-00326</t>
  </si>
  <si>
    <t xml:space="preserve">PO-2024-00327</t>
  </si>
  <si>
    <t xml:space="preserve">PO-2024-00328</t>
  </si>
  <si>
    <t xml:space="preserve">PO-2024-00329</t>
  </si>
  <si>
    <t xml:space="preserve">PO-2024-00330</t>
  </si>
  <si>
    <t xml:space="preserve">PO-2024-00331</t>
  </si>
  <si>
    <t xml:space="preserve">PO-2024-00332</t>
  </si>
  <si>
    <t xml:space="preserve">PO-2024-00333</t>
  </si>
  <si>
    <t xml:space="preserve">PO-2024-00334</t>
  </si>
  <si>
    <t xml:space="preserve">PO-2024-00335</t>
  </si>
  <si>
    <t xml:space="preserve">PO-2024-00336</t>
  </si>
  <si>
    <t xml:space="preserve">PO-2024-00337</t>
  </si>
  <si>
    <t xml:space="preserve">PO-2024-00338</t>
  </si>
  <si>
    <t xml:space="preserve">PO-2024-00339</t>
  </si>
  <si>
    <t xml:space="preserve">PO-2024-00340</t>
  </si>
  <si>
    <t xml:space="preserve">PO-2024-00341</t>
  </si>
  <si>
    <t xml:space="preserve">PO-2024-00342</t>
  </si>
  <si>
    <t xml:space="preserve">PO-2024-00343</t>
  </si>
  <si>
    <t xml:space="preserve">PO-2024-00344</t>
  </si>
  <si>
    <t xml:space="preserve">PO-2024-00345</t>
  </si>
  <si>
    <t xml:space="preserve">PO-2024-00346</t>
  </si>
  <si>
    <t xml:space="preserve">PO-2024-00347</t>
  </si>
  <si>
    <t xml:space="preserve">PO-2024-00348</t>
  </si>
  <si>
    <t xml:space="preserve">PO-2024-00349</t>
  </si>
  <si>
    <t xml:space="preserve">PO-2024-00350</t>
  </si>
  <si>
    <t xml:space="preserve">PO-2024-00351</t>
  </si>
  <si>
    <t xml:space="preserve">PO-2024-00352</t>
  </si>
  <si>
    <t xml:space="preserve">PO-2024-00353</t>
  </si>
  <si>
    <t xml:space="preserve">PO-2024-00354</t>
  </si>
  <si>
    <t xml:space="preserve">PO-2024-00355</t>
  </si>
  <si>
    <t xml:space="preserve">PO-2024-00356</t>
  </si>
  <si>
    <t xml:space="preserve">PO-2024-00357</t>
  </si>
  <si>
    <t xml:space="preserve">PO-2024-00358</t>
  </si>
  <si>
    <t xml:space="preserve">PO-2024-00359</t>
  </si>
  <si>
    <t xml:space="preserve">PO-2024-00360</t>
  </si>
  <si>
    <t xml:space="preserve">PO-2024-00361</t>
  </si>
  <si>
    <t xml:space="preserve">PO-2024-00362</t>
  </si>
  <si>
    <t xml:space="preserve">PO-2024-00363</t>
  </si>
  <si>
    <t xml:space="preserve">PO-2024-00364</t>
  </si>
  <si>
    <t xml:space="preserve">PO-2024-00365</t>
  </si>
  <si>
    <t xml:space="preserve">PO-2024-00366</t>
  </si>
  <si>
    <t xml:space="preserve">PO-2024-00367</t>
  </si>
  <si>
    <t xml:space="preserve">PO-2024-00368</t>
  </si>
  <si>
    <t xml:space="preserve">PO-2024-00369</t>
  </si>
  <si>
    <t xml:space="preserve">PO-2024-00370</t>
  </si>
  <si>
    <t xml:space="preserve">PO-2024-00371</t>
  </si>
  <si>
    <t xml:space="preserve">PO-2024-00372</t>
  </si>
  <si>
    <t xml:space="preserve">PO-2024-00373</t>
  </si>
  <si>
    <t xml:space="preserve">PO-2024-00374</t>
  </si>
  <si>
    <t xml:space="preserve">PO-2024-00375</t>
  </si>
  <si>
    <t xml:space="preserve">PO-2024-00376</t>
  </si>
  <si>
    <t xml:space="preserve">PO-2024-00377</t>
  </si>
  <si>
    <t xml:space="preserve">PO-2024-00378</t>
  </si>
  <si>
    <t xml:space="preserve">PO-2024-00379</t>
  </si>
  <si>
    <t xml:space="preserve">PO-2024-00380</t>
  </si>
  <si>
    <t xml:space="preserve">PO-2024-00381</t>
  </si>
  <si>
    <t xml:space="preserve">PO-2024-00382</t>
  </si>
  <si>
    <t xml:space="preserve">PO-2024-00383</t>
  </si>
  <si>
    <t xml:space="preserve">PO-2024-00384</t>
  </si>
  <si>
    <t xml:space="preserve">PO-2024-00385</t>
  </si>
  <si>
    <t xml:space="preserve">PO-2024-00386</t>
  </si>
  <si>
    <t xml:space="preserve">PO-2024-00387</t>
  </si>
  <si>
    <t xml:space="preserve">PO-2024-00388</t>
  </si>
  <si>
    <t xml:space="preserve">PO-2024-00389</t>
  </si>
  <si>
    <t xml:space="preserve">PO-2024-00390</t>
  </si>
  <si>
    <t xml:space="preserve">PO-2024-00391</t>
  </si>
  <si>
    <t xml:space="preserve">PO-2024-00392</t>
  </si>
  <si>
    <t xml:space="preserve">PO-2024-00393</t>
  </si>
  <si>
    <t xml:space="preserve">PO-2024-00394</t>
  </si>
  <si>
    <t xml:space="preserve">PO-2024-00395</t>
  </si>
  <si>
    <t xml:space="preserve">PO-2024-00396</t>
  </si>
  <si>
    <t xml:space="preserve">PO-2024-00397</t>
  </si>
  <si>
    <t xml:space="preserve">PO-2024-00398</t>
  </si>
  <si>
    <t xml:space="preserve">PO-2024-00399</t>
  </si>
  <si>
    <t xml:space="preserve">PO-2024-00400</t>
  </si>
  <si>
    <t xml:space="preserve">PO-2024-00401</t>
  </si>
  <si>
    <t xml:space="preserve">PO-2024-00402</t>
  </si>
  <si>
    <t xml:space="preserve">PO-2024-00403</t>
  </si>
  <si>
    <t xml:space="preserve">PO-2024-00404</t>
  </si>
  <si>
    <t xml:space="preserve">PO-2024-00405</t>
  </si>
  <si>
    <t xml:space="preserve">PO-2024-00406</t>
  </si>
  <si>
    <t xml:space="preserve">PO-2024-00407</t>
  </si>
  <si>
    <t xml:space="preserve">PO-2024-00408</t>
  </si>
  <si>
    <t xml:space="preserve">PO-2024-00409</t>
  </si>
  <si>
    <t xml:space="preserve">PO-2024-00410</t>
  </si>
  <si>
    <t xml:space="preserve">PO-2024-00411</t>
  </si>
  <si>
    <t xml:space="preserve">PO-2024-00412</t>
  </si>
  <si>
    <t xml:space="preserve">PO-2024-00413</t>
  </si>
  <si>
    <t xml:space="preserve">PO-2024-00414</t>
  </si>
  <si>
    <t xml:space="preserve">PO-2024-00415</t>
  </si>
  <si>
    <t xml:space="preserve">PO-2024-00416</t>
  </si>
  <si>
    <t xml:space="preserve">PO-2024-00417</t>
  </si>
  <si>
    <t xml:space="preserve">PO-2024-00418</t>
  </si>
  <si>
    <t xml:space="preserve">PO-2024-00419</t>
  </si>
  <si>
    <t xml:space="preserve">PO-2024-00420</t>
  </si>
  <si>
    <t xml:space="preserve">PO-2024-00421</t>
  </si>
  <si>
    <t xml:space="preserve">PO-2024-00422</t>
  </si>
  <si>
    <t xml:space="preserve">PO-2024-00423</t>
  </si>
  <si>
    <t xml:space="preserve">PO-2024-00424</t>
  </si>
  <si>
    <t xml:space="preserve">PO-2024-00425</t>
  </si>
  <si>
    <t xml:space="preserve">PO-2024-00426</t>
  </si>
  <si>
    <t xml:space="preserve">PO-2024-00427</t>
  </si>
  <si>
    <t xml:space="preserve">PO-2024-00428</t>
  </si>
  <si>
    <t xml:space="preserve">PO-2024-00429</t>
  </si>
  <si>
    <t xml:space="preserve">PO-2024-00430</t>
  </si>
  <si>
    <t xml:space="preserve">PO-2024-00431</t>
  </si>
  <si>
    <t xml:space="preserve">PO-2024-00432</t>
  </si>
  <si>
    <t xml:space="preserve">PO-2024-00433</t>
  </si>
  <si>
    <t xml:space="preserve">PO-2024-00434</t>
  </si>
  <si>
    <t xml:space="preserve">PO-2024-00435</t>
  </si>
  <si>
    <t xml:space="preserve">PO-2024-00436</t>
  </si>
  <si>
    <t xml:space="preserve">PO-2024-00437</t>
  </si>
  <si>
    <t xml:space="preserve">PO-2024-00438</t>
  </si>
  <si>
    <t xml:space="preserve">PO-2024-00439</t>
  </si>
  <si>
    <t xml:space="preserve">PO-2024-00440</t>
  </si>
  <si>
    <t xml:space="preserve">PO-2024-00441</t>
  </si>
  <si>
    <t xml:space="preserve">PO-2024-00442</t>
  </si>
  <si>
    <t xml:space="preserve">PO-2024-00443</t>
  </si>
  <si>
    <t xml:space="preserve">PO-2024-00444</t>
  </si>
  <si>
    <t xml:space="preserve">PO-2024-00445</t>
  </si>
  <si>
    <t xml:space="preserve">PO-2024-00446</t>
  </si>
  <si>
    <t xml:space="preserve">PO-2024-00447</t>
  </si>
  <si>
    <t xml:space="preserve">PO-2024-00448</t>
  </si>
  <si>
    <t xml:space="preserve">PO-2024-00449</t>
  </si>
  <si>
    <t xml:space="preserve">PO-2024-00450</t>
  </si>
  <si>
    <t xml:space="preserve">PO-2024-00451</t>
  </si>
  <si>
    <t xml:space="preserve">PO-2024-00452</t>
  </si>
  <si>
    <t xml:space="preserve">PO-2024-00453</t>
  </si>
  <si>
    <t xml:space="preserve">PO-2024-00454</t>
  </si>
  <si>
    <t xml:space="preserve">PO-2024-00455</t>
  </si>
  <si>
    <t xml:space="preserve">PO-2024-00456</t>
  </si>
  <si>
    <t xml:space="preserve">PO-2024-00457</t>
  </si>
  <si>
    <t xml:space="preserve">PO-2024-00458</t>
  </si>
  <si>
    <t xml:space="preserve">PO-2024-00459</t>
  </si>
  <si>
    <t xml:space="preserve">PO-2024-00460</t>
  </si>
  <si>
    <t xml:space="preserve">PO-2024-00461</t>
  </si>
  <si>
    <t xml:space="preserve">PO-2024-00462</t>
  </si>
  <si>
    <t xml:space="preserve">PO-2024-00463</t>
  </si>
  <si>
    <t xml:space="preserve">PO-2024-00464</t>
  </si>
  <si>
    <t xml:space="preserve">PO-2024-00465</t>
  </si>
  <si>
    <t xml:space="preserve">PO-2024-00466</t>
  </si>
  <si>
    <t xml:space="preserve">PO-2024-00467</t>
  </si>
  <si>
    <t xml:space="preserve">PO-2024-00468</t>
  </si>
  <si>
    <t xml:space="preserve">PO-2024-00469</t>
  </si>
  <si>
    <t xml:space="preserve">PO-2024-00470</t>
  </si>
  <si>
    <t xml:space="preserve">PO-2024-00471</t>
  </si>
  <si>
    <t xml:space="preserve">PO-2024-00472</t>
  </si>
  <si>
    <t xml:space="preserve">PO-2024-00473</t>
  </si>
  <si>
    <t xml:space="preserve">PO-2024-00474</t>
  </si>
  <si>
    <t xml:space="preserve">PO-2024-00475</t>
  </si>
  <si>
    <t xml:space="preserve">PO-2024-00476</t>
  </si>
  <si>
    <t xml:space="preserve">PO-2024-00477</t>
  </si>
  <si>
    <t xml:space="preserve">PO-2024-00478</t>
  </si>
  <si>
    <t xml:space="preserve">PO-2024-00479</t>
  </si>
  <si>
    <t xml:space="preserve">PO-2024-00480</t>
  </si>
  <si>
    <t xml:space="preserve">PO-2024-00481</t>
  </si>
  <si>
    <t xml:space="preserve">PO-2024-00482</t>
  </si>
  <si>
    <t xml:space="preserve">PO-2024-00483</t>
  </si>
  <si>
    <t xml:space="preserve">PO-2024-00484</t>
  </si>
  <si>
    <t xml:space="preserve">PO-2024-00485</t>
  </si>
  <si>
    <t xml:space="preserve">PO-2024-00486</t>
  </si>
  <si>
    <t xml:space="preserve">PO-2024-00487</t>
  </si>
  <si>
    <t xml:space="preserve">PO-2024-00488</t>
  </si>
  <si>
    <t xml:space="preserve">PO-2024-00489</t>
  </si>
  <si>
    <t xml:space="preserve">PO-2024-00490</t>
  </si>
  <si>
    <t xml:space="preserve">PO-2024-00491</t>
  </si>
  <si>
    <t xml:space="preserve">PO-2024-00492</t>
  </si>
  <si>
    <t xml:space="preserve">PO-2024-00493</t>
  </si>
  <si>
    <t xml:space="preserve">PO-2024-00494</t>
  </si>
  <si>
    <t xml:space="preserve">PO-2024-00495</t>
  </si>
  <si>
    <t xml:space="preserve">PO-2024-00496</t>
  </si>
  <si>
    <t xml:space="preserve">PO-2024-00497</t>
  </si>
  <si>
    <t xml:space="preserve">PO-2024-00498</t>
  </si>
  <si>
    <t xml:space="preserve">PO-2024-00499</t>
  </si>
  <si>
    <t xml:space="preserve">PO-2024-00500</t>
  </si>
  <si>
    <t xml:space="preserve">PO-2024-00501</t>
  </si>
  <si>
    <t xml:space="preserve">PO-2024-00502</t>
  </si>
  <si>
    <t xml:space="preserve">PO-2024-00503</t>
  </si>
  <si>
    <t xml:space="preserve">PO-2024-00504</t>
  </si>
  <si>
    <t xml:space="preserve">PO-2024-00505</t>
  </si>
  <si>
    <t xml:space="preserve">PO-2024-00506</t>
  </si>
  <si>
    <t xml:space="preserve">PO-2024-00507</t>
  </si>
  <si>
    <t xml:space="preserve">PO-2024-00508</t>
  </si>
  <si>
    <t xml:space="preserve">PO-2024-00509</t>
  </si>
  <si>
    <t xml:space="preserve">PO-2024-00510</t>
  </si>
  <si>
    <t xml:space="preserve">PO-2024-00511</t>
  </si>
  <si>
    <t xml:space="preserve">PO-2024-00512</t>
  </si>
  <si>
    <t xml:space="preserve">PO-2024-00513</t>
  </si>
  <si>
    <t xml:space="preserve">PO-2024-00514</t>
  </si>
  <si>
    <t xml:space="preserve">PO-2024-00515</t>
  </si>
  <si>
    <t xml:space="preserve">PO-2024-00516</t>
  </si>
  <si>
    <t xml:space="preserve">PO-2024-00517</t>
  </si>
  <si>
    <t xml:space="preserve">PO-2024-00518</t>
  </si>
  <si>
    <t xml:space="preserve">PO-2024-00519</t>
  </si>
  <si>
    <t xml:space="preserve">PO-2024-00520</t>
  </si>
  <si>
    <t xml:space="preserve">PO-2024-00521</t>
  </si>
  <si>
    <t xml:space="preserve">PO-2024-00522</t>
  </si>
  <si>
    <t xml:space="preserve">PO-2024-00523</t>
  </si>
  <si>
    <t xml:space="preserve">PO-2024-00524</t>
  </si>
  <si>
    <t xml:space="preserve">PO-2024-00525</t>
  </si>
  <si>
    <t xml:space="preserve">PO-2024-00526</t>
  </si>
  <si>
    <t xml:space="preserve">PO-2024-00527</t>
  </si>
  <si>
    <t xml:space="preserve">PO-2024-00528</t>
  </si>
  <si>
    <t xml:space="preserve">PO-2024-00529</t>
  </si>
  <si>
    <t xml:space="preserve">PO-2024-00530</t>
  </si>
  <si>
    <t xml:space="preserve">PO-2024-00531</t>
  </si>
  <si>
    <t xml:space="preserve">PO-2024-00532</t>
  </si>
  <si>
    <t xml:space="preserve">PO-2024-00533</t>
  </si>
  <si>
    <t xml:space="preserve">PO-2024-00534</t>
  </si>
  <si>
    <t xml:space="preserve">PO-2024-00535</t>
  </si>
  <si>
    <t xml:space="preserve">PO-2024-00536</t>
  </si>
  <si>
    <t xml:space="preserve">PO-2024-00537</t>
  </si>
  <si>
    <t xml:space="preserve">PO-2024-00538</t>
  </si>
  <si>
    <t xml:space="preserve">PO-2024-00539</t>
  </si>
  <si>
    <t xml:space="preserve">PO-2024-00540</t>
  </si>
  <si>
    <t xml:space="preserve">PO-2024-00541</t>
  </si>
  <si>
    <t xml:space="preserve">PO-2024-00542</t>
  </si>
  <si>
    <t xml:space="preserve">PO-2024-00543</t>
  </si>
  <si>
    <t xml:space="preserve">PO-2024-00544</t>
  </si>
  <si>
    <t xml:space="preserve">PO-2024-00545</t>
  </si>
  <si>
    <t xml:space="preserve">PO-2024-00546</t>
  </si>
  <si>
    <t xml:space="preserve">PO-2024-00547</t>
  </si>
  <si>
    <t xml:space="preserve">PO-2024-00548</t>
  </si>
  <si>
    <t xml:space="preserve">PO-2024-00549</t>
  </si>
  <si>
    <t xml:space="preserve">PO-2024-00550</t>
  </si>
  <si>
    <t xml:space="preserve">PO-2024-00551</t>
  </si>
  <si>
    <t xml:space="preserve">PO-2024-00552</t>
  </si>
  <si>
    <t xml:space="preserve">PO-2024-00553</t>
  </si>
  <si>
    <t xml:space="preserve">PO-2024-00554</t>
  </si>
  <si>
    <t xml:space="preserve">PO-2024-00555</t>
  </si>
  <si>
    <t xml:space="preserve">PO-2024-00556</t>
  </si>
  <si>
    <t xml:space="preserve">PO-2024-00557</t>
  </si>
  <si>
    <t xml:space="preserve">PO-2024-00558</t>
  </si>
  <si>
    <t xml:space="preserve">PO-2024-00559</t>
  </si>
  <si>
    <t xml:space="preserve">PO-2024-00560</t>
  </si>
  <si>
    <t xml:space="preserve">PO-2024-00561</t>
  </si>
  <si>
    <t xml:space="preserve">PO-2024-00562</t>
  </si>
  <si>
    <t xml:space="preserve">PO-2024-00563</t>
  </si>
  <si>
    <t xml:space="preserve">PO-2024-00564</t>
  </si>
  <si>
    <t xml:space="preserve">PO-2024-00565</t>
  </si>
  <si>
    <t xml:space="preserve">PO-2024-00566</t>
  </si>
  <si>
    <t xml:space="preserve">PO-2024-00567</t>
  </si>
  <si>
    <t xml:space="preserve">PO-2024-00568</t>
  </si>
  <si>
    <t xml:space="preserve">PO-2024-00569</t>
  </si>
  <si>
    <t xml:space="preserve">PO-2024-00570</t>
  </si>
  <si>
    <t xml:space="preserve">PO-2024-00571</t>
  </si>
  <si>
    <t xml:space="preserve">PO-2024-00572</t>
  </si>
  <si>
    <t xml:space="preserve">PO-2024-00573</t>
  </si>
  <si>
    <t xml:space="preserve">PO-2024-00574</t>
  </si>
  <si>
    <t xml:space="preserve">PO-2024-00575</t>
  </si>
  <si>
    <t xml:space="preserve">PO-2024-00576</t>
  </si>
  <si>
    <t xml:space="preserve">PO-2024-00577</t>
  </si>
  <si>
    <t xml:space="preserve">PO-2024-00578</t>
  </si>
  <si>
    <t xml:space="preserve">PO-2024-00579</t>
  </si>
  <si>
    <t xml:space="preserve">PO-2024-00580</t>
  </si>
  <si>
    <t xml:space="preserve">PO-2024-00581</t>
  </si>
  <si>
    <t xml:space="preserve">PO-2024-00582</t>
  </si>
  <si>
    <t xml:space="preserve">PO-2024-00583</t>
  </si>
  <si>
    <t xml:space="preserve">PO-2024-00584</t>
  </si>
  <si>
    <t xml:space="preserve">PO-2024-00585</t>
  </si>
  <si>
    <t xml:space="preserve">PO-2024-00586</t>
  </si>
  <si>
    <t xml:space="preserve">PO-2024-00587</t>
  </si>
  <si>
    <t xml:space="preserve">PO-2024-00588</t>
  </si>
  <si>
    <t xml:space="preserve">PO-2024-00589</t>
  </si>
  <si>
    <t xml:space="preserve">PO-2024-00590</t>
  </si>
  <si>
    <t xml:space="preserve">PO-2024-00591</t>
  </si>
  <si>
    <t xml:space="preserve">PO-2024-00592</t>
  </si>
  <si>
    <t xml:space="preserve">PO-2024-00593</t>
  </si>
  <si>
    <t xml:space="preserve">PO-2024-00594</t>
  </si>
  <si>
    <t xml:space="preserve">PO-2024-00595</t>
  </si>
  <si>
    <t xml:space="preserve">PO-2024-00596</t>
  </si>
  <si>
    <t xml:space="preserve">PO-2024-00597</t>
  </si>
  <si>
    <t xml:space="preserve">PO-2024-00598</t>
  </si>
  <si>
    <t xml:space="preserve">PO-2024-00599</t>
  </si>
  <si>
    <t xml:space="preserve">PO-2024-00600</t>
  </si>
  <si>
    <t xml:space="preserve">PO-2024-00601</t>
  </si>
  <si>
    <t xml:space="preserve">PO-2024-00602</t>
  </si>
  <si>
    <t xml:space="preserve">PO-2024-00603</t>
  </si>
  <si>
    <t xml:space="preserve">PO-2024-00604</t>
  </si>
  <si>
    <t xml:space="preserve">PO-2024-00605</t>
  </si>
  <si>
    <t xml:space="preserve">PO-2024-00606</t>
  </si>
  <si>
    <t xml:space="preserve">PO-2024-00607</t>
  </si>
  <si>
    <t xml:space="preserve">PO-2024-00608</t>
  </si>
  <si>
    <t xml:space="preserve">PO-2024-00609</t>
  </si>
  <si>
    <t xml:space="preserve">PO-2024-00610</t>
  </si>
  <si>
    <t xml:space="preserve">PO-2024-00611</t>
  </si>
  <si>
    <t xml:space="preserve">PO-2024-00612</t>
  </si>
  <si>
    <t xml:space="preserve">PO-2024-00613</t>
  </si>
  <si>
    <t xml:space="preserve">PO-2024-00614</t>
  </si>
  <si>
    <t xml:space="preserve">PO-2024-00615</t>
  </si>
  <si>
    <t xml:space="preserve">PO-2024-00616</t>
  </si>
  <si>
    <t xml:space="preserve">PO-2024-00617</t>
  </si>
  <si>
    <t xml:space="preserve">PO-2024-00618</t>
  </si>
  <si>
    <t xml:space="preserve">PO-2024-00619</t>
  </si>
  <si>
    <t xml:space="preserve">PO-2024-00620</t>
  </si>
  <si>
    <t xml:space="preserve">PO-2024-00621</t>
  </si>
  <si>
    <t xml:space="preserve">PO-2024-00622</t>
  </si>
  <si>
    <t xml:space="preserve">PO-2024-00623</t>
  </si>
  <si>
    <t xml:space="preserve">PO-2024-00624</t>
  </si>
  <si>
    <t xml:space="preserve">PO-2024-00625</t>
  </si>
  <si>
    <t xml:space="preserve">PO-2024-00626</t>
  </si>
  <si>
    <t xml:space="preserve">PO-2024-00627</t>
  </si>
  <si>
    <t xml:space="preserve">PO-2024-00628</t>
  </si>
  <si>
    <t xml:space="preserve">PO-2024-00629</t>
  </si>
  <si>
    <t xml:space="preserve">PO-2024-00630</t>
  </si>
  <si>
    <t xml:space="preserve">PO-2024-00631</t>
  </si>
  <si>
    <t xml:space="preserve">PO-2024-00632</t>
  </si>
  <si>
    <t xml:space="preserve">PO-2024-00633</t>
  </si>
  <si>
    <t xml:space="preserve">PO-2024-00634</t>
  </si>
  <si>
    <t xml:space="preserve">PO-2024-00635</t>
  </si>
  <si>
    <t xml:space="preserve">PO-2024-00636</t>
  </si>
  <si>
    <t xml:space="preserve">PO-2024-00637</t>
  </si>
  <si>
    <t xml:space="preserve">PO-2024-00638</t>
  </si>
  <si>
    <t xml:space="preserve">PO-2024-00639</t>
  </si>
  <si>
    <t xml:space="preserve">PO-2024-00640</t>
  </si>
  <si>
    <t xml:space="preserve">PO-2024-00641</t>
  </si>
  <si>
    <t xml:space="preserve">PO-2024-00642</t>
  </si>
  <si>
    <t xml:space="preserve">PO-2024-00643</t>
  </si>
  <si>
    <t xml:space="preserve">PO-2024-00644</t>
  </si>
  <si>
    <t xml:space="preserve">PO-2024-00645</t>
  </si>
  <si>
    <t xml:space="preserve">PO-2024-00646</t>
  </si>
  <si>
    <t xml:space="preserve">PO-2024-00647</t>
  </si>
  <si>
    <t xml:space="preserve">PO-2024-00648</t>
  </si>
  <si>
    <t xml:space="preserve">PO-2024-00649</t>
  </si>
  <si>
    <t xml:space="preserve">PO-2024-00650</t>
  </si>
  <si>
    <t xml:space="preserve">PO-2024-00651</t>
  </si>
  <si>
    <t xml:space="preserve">PO-2024-00652</t>
  </si>
  <si>
    <t xml:space="preserve">PO-2024-00653</t>
  </si>
  <si>
    <t xml:space="preserve">PO-2024-00654</t>
  </si>
  <si>
    <t xml:space="preserve">PO-2024-00655</t>
  </si>
  <si>
    <t xml:space="preserve">PO-2024-00656</t>
  </si>
  <si>
    <t xml:space="preserve">PO-2024-00657</t>
  </si>
  <si>
    <t xml:space="preserve">PO-2024-00658</t>
  </si>
  <si>
    <t xml:space="preserve">PO-2024-00659</t>
  </si>
  <si>
    <t xml:space="preserve">PO-2024-00660</t>
  </si>
  <si>
    <t xml:space="preserve">PO-2024-00661</t>
  </si>
  <si>
    <t xml:space="preserve">PO-2024-00662</t>
  </si>
  <si>
    <t xml:space="preserve">PO-2024-00663</t>
  </si>
  <si>
    <t xml:space="preserve">PO-2024-00664</t>
  </si>
  <si>
    <t xml:space="preserve">PO-2024-00665</t>
  </si>
  <si>
    <t xml:space="preserve">PO-2024-00666</t>
  </si>
  <si>
    <t xml:space="preserve">PO-2024-00667</t>
  </si>
  <si>
    <t xml:space="preserve">PO-2024-00668</t>
  </si>
  <si>
    <t xml:space="preserve">PO-2024-00669</t>
  </si>
  <si>
    <t xml:space="preserve">PO-2024-00670</t>
  </si>
  <si>
    <t xml:space="preserve">PO-2024-00671</t>
  </si>
  <si>
    <t xml:space="preserve">PO-2024-00672</t>
  </si>
  <si>
    <t xml:space="preserve">PO-2024-00673</t>
  </si>
  <si>
    <t xml:space="preserve">PO-2024-00674</t>
  </si>
  <si>
    <t xml:space="preserve">PO-2024-00675</t>
  </si>
  <si>
    <t xml:space="preserve">PO-2024-00676</t>
  </si>
  <si>
    <t xml:space="preserve">PO-2024-00677</t>
  </si>
  <si>
    <t xml:space="preserve">PO-2024-00678</t>
  </si>
  <si>
    <t xml:space="preserve">PO-2024-00679</t>
  </si>
  <si>
    <t xml:space="preserve">PO-2024-00680</t>
  </si>
  <si>
    <t xml:space="preserve">PO-2024-00681</t>
  </si>
  <si>
    <t xml:space="preserve">PO-2024-00682</t>
  </si>
  <si>
    <t xml:space="preserve">PO-2024-00683</t>
  </si>
  <si>
    <t xml:space="preserve">PO-2024-00684</t>
  </si>
  <si>
    <t xml:space="preserve">PO-2024-00685</t>
  </si>
  <si>
    <t xml:space="preserve">PO-2024-00686</t>
  </si>
  <si>
    <t xml:space="preserve">PO-2024-00687</t>
  </si>
  <si>
    <t xml:space="preserve">PO-2024-00688</t>
  </si>
  <si>
    <t xml:space="preserve">PO-2024-00689</t>
  </si>
  <si>
    <t xml:space="preserve">PO-2024-00690</t>
  </si>
  <si>
    <t xml:space="preserve">PO-2024-00691</t>
  </si>
  <si>
    <t xml:space="preserve">PO-2024-00692</t>
  </si>
  <si>
    <t xml:space="preserve">PO-2024-00693</t>
  </si>
  <si>
    <t xml:space="preserve">PO-2024-00694</t>
  </si>
  <si>
    <t xml:space="preserve">PO-2024-00695</t>
  </si>
  <si>
    <t xml:space="preserve">PO-2024-00696</t>
  </si>
  <si>
    <t xml:space="preserve">PO-2024-00697</t>
  </si>
  <si>
    <t xml:space="preserve">PO-2024-00698</t>
  </si>
  <si>
    <t xml:space="preserve">PO-2024-00699</t>
  </si>
  <si>
    <t xml:space="preserve">PO-2024-00700</t>
  </si>
  <si>
    <t xml:space="preserve">PO-2024-00701</t>
  </si>
  <si>
    <t xml:space="preserve">PO-2024-00702</t>
  </si>
  <si>
    <t xml:space="preserve">PO-2024-00703</t>
  </si>
  <si>
    <t xml:space="preserve">PO-2024-00704</t>
  </si>
  <si>
    <t xml:space="preserve">PO-2024-00705</t>
  </si>
  <si>
    <t xml:space="preserve">PO-2024-00706</t>
  </si>
  <si>
    <t xml:space="preserve">PO-2024-00707</t>
  </si>
  <si>
    <t xml:space="preserve">PO-2024-00708</t>
  </si>
  <si>
    <t xml:space="preserve">PO-2024-00709</t>
  </si>
  <si>
    <t xml:space="preserve">PO-2024-00710</t>
  </si>
  <si>
    <t xml:space="preserve">PO-2024-00711</t>
  </si>
  <si>
    <t xml:space="preserve">PO-2024-00712</t>
  </si>
  <si>
    <t xml:space="preserve">PO-2024-00713</t>
  </si>
  <si>
    <t xml:space="preserve">PO-2024-00714</t>
  </si>
  <si>
    <t xml:space="preserve">PO-2024-00715</t>
  </si>
  <si>
    <t xml:space="preserve">PO-2024-00716</t>
  </si>
  <si>
    <t xml:space="preserve">PO-2024-00717</t>
  </si>
  <si>
    <t xml:space="preserve">PO-2024-00718</t>
  </si>
  <si>
    <t xml:space="preserve">PO-2024-00719</t>
  </si>
  <si>
    <t xml:space="preserve">PO-2024-00720</t>
  </si>
  <si>
    <t xml:space="preserve">PO-2024-00721</t>
  </si>
  <si>
    <t xml:space="preserve">PO-2024-00722</t>
  </si>
  <si>
    <t xml:space="preserve">PO-2024-00723</t>
  </si>
  <si>
    <t xml:space="preserve">PO-2024-00724</t>
  </si>
  <si>
    <t xml:space="preserve">PO-2024-00725</t>
  </si>
  <si>
    <t xml:space="preserve">PO-2024-00726</t>
  </si>
  <si>
    <t xml:space="preserve">PO-2024-00727</t>
  </si>
  <si>
    <t xml:space="preserve">PO-2024-00728</t>
  </si>
  <si>
    <t xml:space="preserve">PO-2024-00729</t>
  </si>
  <si>
    <t xml:space="preserve">PO-2024-00730</t>
  </si>
  <si>
    <t xml:space="preserve">PO-2024-00731</t>
  </si>
  <si>
    <t xml:space="preserve">PO-2024-00732</t>
  </si>
  <si>
    <t xml:space="preserve">PO-2024-00733</t>
  </si>
  <si>
    <t xml:space="preserve">PO-2024-00734</t>
  </si>
  <si>
    <t xml:space="preserve">PO-2024-00735</t>
  </si>
  <si>
    <t xml:space="preserve">PO-2024-00736</t>
  </si>
  <si>
    <t xml:space="preserve">PO-2024-00737</t>
  </si>
  <si>
    <t xml:space="preserve">PO-2024-00738</t>
  </si>
  <si>
    <t xml:space="preserve">PO-2024-00739</t>
  </si>
  <si>
    <t xml:space="preserve">PO-2024-00740</t>
  </si>
  <si>
    <t xml:space="preserve">PO-2024-00741</t>
  </si>
  <si>
    <t xml:space="preserve">PO-2024-00742</t>
  </si>
  <si>
    <t xml:space="preserve">PO-2024-00743</t>
  </si>
  <si>
    <t xml:space="preserve">PO-2024-00744</t>
  </si>
  <si>
    <t xml:space="preserve">PO-2024-00745</t>
  </si>
  <si>
    <t xml:space="preserve">PO-2024-00746</t>
  </si>
  <si>
    <t xml:space="preserve">PO-2024-00747</t>
  </si>
  <si>
    <t xml:space="preserve">PO-2024-00748</t>
  </si>
  <si>
    <t xml:space="preserve">PO-2024-00749</t>
  </si>
  <si>
    <t xml:space="preserve">PO-2025-00750</t>
  </si>
  <si>
    <t xml:space="preserve">PO-2025-00751</t>
  </si>
  <si>
    <t xml:space="preserve">PO-2025-00752</t>
  </si>
  <si>
    <t xml:space="preserve">PO-2025-00753</t>
  </si>
  <si>
    <t xml:space="preserve">PO-2025-00754</t>
  </si>
  <si>
    <t xml:space="preserve">PO-2025-00755</t>
  </si>
  <si>
    <t xml:space="preserve">PO-2025-00756</t>
  </si>
  <si>
    <t xml:space="preserve">PO-2025-00757</t>
  </si>
  <si>
    <t xml:space="preserve">PO-2025-00758</t>
  </si>
  <si>
    <t xml:space="preserve">PO-2025-00759</t>
  </si>
  <si>
    <t xml:space="preserve">PO-2025-00760</t>
  </si>
  <si>
    <t xml:space="preserve">PO-2025-00761</t>
  </si>
  <si>
    <t xml:space="preserve">PO-2025-00762</t>
  </si>
  <si>
    <t xml:space="preserve">PO-2025-00763</t>
  </si>
  <si>
    <t xml:space="preserve">PO-2025-00764</t>
  </si>
  <si>
    <t xml:space="preserve">PO-2025-00765</t>
  </si>
  <si>
    <t xml:space="preserve">PO-2025-00766</t>
  </si>
  <si>
    <t xml:space="preserve">PO-2025-00767</t>
  </si>
  <si>
    <t xml:space="preserve">PO-2025-00768</t>
  </si>
  <si>
    <t xml:space="preserve">PO-2025-00769</t>
  </si>
  <si>
    <t xml:space="preserve">PO-2025-00770</t>
  </si>
  <si>
    <t xml:space="preserve">PO-2025-00771</t>
  </si>
  <si>
    <t xml:space="preserve">PO-2025-00772</t>
  </si>
  <si>
    <t xml:space="preserve">PO-2025-00773</t>
  </si>
  <si>
    <t xml:space="preserve">PO-2025-00774</t>
  </si>
  <si>
    <t xml:space="preserve">PO-2025-00775</t>
  </si>
  <si>
    <t xml:space="preserve">PO-2025-00776</t>
  </si>
  <si>
    <t xml:space="preserve">PO-2025-00777</t>
  </si>
  <si>
    <t xml:space="preserve">PO-2025-00778</t>
  </si>
  <si>
    <t xml:space="preserve">PO-2025-00779</t>
  </si>
  <si>
    <t xml:space="preserve">PO-2025-00780</t>
  </si>
  <si>
    <t xml:space="preserve">PO-2025-00781</t>
  </si>
  <si>
    <t xml:space="preserve">PO-2025-00782</t>
  </si>
  <si>
    <t xml:space="preserve">PO-2025-00783</t>
  </si>
  <si>
    <t xml:space="preserve">PO-2025-00784</t>
  </si>
  <si>
    <t xml:space="preserve">PO-2025-00785</t>
  </si>
  <si>
    <t xml:space="preserve">PO-2025-00786</t>
  </si>
  <si>
    <t xml:space="preserve">PO-2025-00787</t>
  </si>
  <si>
    <t xml:space="preserve">PO-2025-00788</t>
  </si>
  <si>
    <t xml:space="preserve">PO-2025-00789</t>
  </si>
  <si>
    <t xml:space="preserve">PO-2025-00790</t>
  </si>
  <si>
    <t xml:space="preserve">PO-2025-00791</t>
  </si>
  <si>
    <t xml:space="preserve">PO-2025-00792</t>
  </si>
  <si>
    <t xml:space="preserve">PO-2025-00793</t>
  </si>
  <si>
    <t xml:space="preserve">PO-2025-00794</t>
  </si>
  <si>
    <t xml:space="preserve">PO-2025-00795</t>
  </si>
  <si>
    <t xml:space="preserve">PO-2025-00796</t>
  </si>
  <si>
    <t xml:space="preserve">PO-2025-00797</t>
  </si>
  <si>
    <t xml:space="preserve">PO-2025-00798</t>
  </si>
  <si>
    <t xml:space="preserve">PO-2025-00799</t>
  </si>
  <si>
    <t xml:space="preserve">PO-2025-00800</t>
  </si>
  <si>
    <t xml:space="preserve">PO-2025-00801</t>
  </si>
  <si>
    <t xml:space="preserve">PO-2025-00802</t>
  </si>
  <si>
    <t xml:space="preserve">PO-2025-00803</t>
  </si>
  <si>
    <t xml:space="preserve">PO-2025-00804</t>
  </si>
  <si>
    <t xml:space="preserve">PO-2025-00805</t>
  </si>
  <si>
    <t xml:space="preserve">PO-2025-00806</t>
  </si>
  <si>
    <t xml:space="preserve">PO-2025-00807</t>
  </si>
  <si>
    <t xml:space="preserve">PO-2025-00808</t>
  </si>
  <si>
    <t xml:space="preserve">PO-2025-00809</t>
  </si>
  <si>
    <t xml:space="preserve">PO-2025-00810</t>
  </si>
  <si>
    <t xml:space="preserve">PO-2025-00811</t>
  </si>
  <si>
    <t xml:space="preserve">PO-2025-00812</t>
  </si>
  <si>
    <t xml:space="preserve">PO-2025-00813</t>
  </si>
  <si>
    <t xml:space="preserve">PO-2025-00814</t>
  </si>
  <si>
    <t xml:space="preserve">PO-2025-00815</t>
  </si>
  <si>
    <t xml:space="preserve">PO-2025-00816</t>
  </si>
  <si>
    <t xml:space="preserve">PO-2025-00817</t>
  </si>
  <si>
    <t xml:space="preserve">PO-2025-00818</t>
  </si>
  <si>
    <t xml:space="preserve">PO-2025-00819</t>
  </si>
  <si>
    <t xml:space="preserve">PO-2025-00820</t>
  </si>
  <si>
    <t xml:space="preserve">PO-2025-00821</t>
  </si>
  <si>
    <t xml:space="preserve">PO-2025-00822</t>
  </si>
  <si>
    <t xml:space="preserve">PO-2025-00823</t>
  </si>
  <si>
    <t xml:space="preserve">PO-2025-00824</t>
  </si>
  <si>
    <t xml:space="preserve">PO-2025-00825</t>
  </si>
  <si>
    <t xml:space="preserve">PO-2025-00826</t>
  </si>
  <si>
    <t xml:space="preserve">PO-2025-00827</t>
  </si>
  <si>
    <t xml:space="preserve">PO-2025-00828</t>
  </si>
  <si>
    <t xml:space="preserve">PO-2025-00829</t>
  </si>
  <si>
    <t xml:space="preserve">PO-2025-00830</t>
  </si>
  <si>
    <t xml:space="preserve">PO-2025-00831</t>
  </si>
  <si>
    <t xml:space="preserve">PO-2025-00832</t>
  </si>
  <si>
    <t xml:space="preserve">PO-2025-00833</t>
  </si>
  <si>
    <t xml:space="preserve">PO-2025-00834</t>
  </si>
  <si>
    <t xml:space="preserve">PO-2025-00835</t>
  </si>
  <si>
    <t xml:space="preserve">PO-2025-00836</t>
  </si>
  <si>
    <t xml:space="preserve">PO-2025-00837</t>
  </si>
  <si>
    <t xml:space="preserve">PO-2025-00838</t>
  </si>
  <si>
    <t xml:space="preserve">PO-2025-00839</t>
  </si>
  <si>
    <t xml:space="preserve">PO-2025-00840</t>
  </si>
  <si>
    <t xml:space="preserve">PO-2025-00841</t>
  </si>
  <si>
    <t xml:space="preserve">PO-2025-00842</t>
  </si>
  <si>
    <t xml:space="preserve">PO-2025-00843</t>
  </si>
  <si>
    <t xml:space="preserve">PO-2025-00844</t>
  </si>
  <si>
    <t xml:space="preserve">PO-2025-00845</t>
  </si>
  <si>
    <t xml:space="preserve">PO-2025-00846</t>
  </si>
  <si>
    <t xml:space="preserve">PO-2025-00847</t>
  </si>
  <si>
    <t xml:space="preserve">PO-2025-00848</t>
  </si>
  <si>
    <t xml:space="preserve">PO-2025-00849</t>
  </si>
  <si>
    <t xml:space="preserve">PO-2025-00850</t>
  </si>
  <si>
    <t xml:space="preserve">PO-2025-00851</t>
  </si>
  <si>
    <t xml:space="preserve">PO-2025-00852</t>
  </si>
  <si>
    <t xml:space="preserve">PO-2025-00853</t>
  </si>
  <si>
    <t xml:space="preserve">PO-2025-00854</t>
  </si>
  <si>
    <t xml:space="preserve">PO-2025-00855</t>
  </si>
  <si>
    <t xml:space="preserve">PO-2025-00856</t>
  </si>
  <si>
    <t xml:space="preserve">PO-2025-00857</t>
  </si>
  <si>
    <t xml:space="preserve">PO-2025-00858</t>
  </si>
  <si>
    <t xml:space="preserve">PO-2025-00859</t>
  </si>
  <si>
    <t xml:space="preserve">PO-2025-00860</t>
  </si>
  <si>
    <t xml:space="preserve">PO-2025-00861</t>
  </si>
  <si>
    <t xml:space="preserve">PO-2025-00862</t>
  </si>
  <si>
    <t xml:space="preserve">PO-2025-00863</t>
  </si>
  <si>
    <t xml:space="preserve">PO-2025-00864</t>
  </si>
  <si>
    <t xml:space="preserve">PO-2025-00865</t>
  </si>
  <si>
    <t xml:space="preserve">PO-2025-00866</t>
  </si>
  <si>
    <t xml:space="preserve">PO-2025-00867</t>
  </si>
  <si>
    <t xml:space="preserve">PO-2025-00868</t>
  </si>
  <si>
    <t xml:space="preserve">PO-2025-00869</t>
  </si>
  <si>
    <t xml:space="preserve">PO-2025-00870</t>
  </si>
  <si>
    <t xml:space="preserve">PO-2025-00871</t>
  </si>
  <si>
    <t xml:space="preserve">PO-2025-00872</t>
  </si>
  <si>
    <t xml:space="preserve">PO-2025-00873</t>
  </si>
  <si>
    <t xml:space="preserve">PO-2025-00874</t>
  </si>
  <si>
    <t xml:space="preserve">PO-2025-00875</t>
  </si>
  <si>
    <t xml:space="preserve">PO-2025-00876</t>
  </si>
  <si>
    <t xml:space="preserve">PO-2025-00877</t>
  </si>
  <si>
    <t xml:space="preserve">PO-2025-00878</t>
  </si>
  <si>
    <t xml:space="preserve">PO-2025-00879</t>
  </si>
  <si>
    <t xml:space="preserve">PO-2025-00880</t>
  </si>
  <si>
    <t xml:space="preserve">PO-2025-00881</t>
  </si>
  <si>
    <t xml:space="preserve">PO-2025-00882</t>
  </si>
  <si>
    <t xml:space="preserve">PO-2025-00883</t>
  </si>
  <si>
    <t xml:space="preserve">PO-2025-00884</t>
  </si>
  <si>
    <t xml:space="preserve">PO-2025-00885</t>
  </si>
  <si>
    <t xml:space="preserve">PO-2025-00886</t>
  </si>
  <si>
    <t xml:space="preserve">PO-2025-00887</t>
  </si>
  <si>
    <t xml:space="preserve">PO-2025-00888</t>
  </si>
  <si>
    <t xml:space="preserve">PO-2025-00889</t>
  </si>
  <si>
    <t xml:space="preserve">PO-2025-00890</t>
  </si>
  <si>
    <t xml:space="preserve">PO-2025-00891</t>
  </si>
  <si>
    <t xml:space="preserve">PO-2025-00892</t>
  </si>
  <si>
    <t xml:space="preserve">PO-2025-00893</t>
  </si>
  <si>
    <t xml:space="preserve">PO-2025-00894</t>
  </si>
  <si>
    <t xml:space="preserve">PO-2025-00895</t>
  </si>
  <si>
    <t xml:space="preserve">PO-2025-00896</t>
  </si>
  <si>
    <t xml:space="preserve">PO-2025-00897</t>
  </si>
  <si>
    <t xml:space="preserve">PO-2025-00898</t>
  </si>
  <si>
    <t xml:space="preserve">PO-2025-00899</t>
  </si>
  <si>
    <t xml:space="preserve">PO-2025-00900</t>
  </si>
  <si>
    <t xml:space="preserve">PO-2025-00901</t>
  </si>
  <si>
    <t xml:space="preserve">PO-2025-00902</t>
  </si>
  <si>
    <t xml:space="preserve">PO-2025-00903</t>
  </si>
  <si>
    <t xml:space="preserve">PO-2025-00904</t>
  </si>
  <si>
    <t xml:space="preserve">PO-2025-00905</t>
  </si>
  <si>
    <t xml:space="preserve">PO-2025-00906</t>
  </si>
  <si>
    <t xml:space="preserve">PO-2025-00907</t>
  </si>
  <si>
    <t xml:space="preserve">PO-2025-00908</t>
  </si>
  <si>
    <t xml:space="preserve">PO-2025-00909</t>
  </si>
  <si>
    <t xml:space="preserve">PO-2025-00910</t>
  </si>
  <si>
    <t xml:space="preserve">PO-2025-00911</t>
  </si>
  <si>
    <t xml:space="preserve">PO-2025-00912</t>
  </si>
  <si>
    <t xml:space="preserve">PO-2025-00913</t>
  </si>
  <si>
    <t xml:space="preserve">PO-2025-00914</t>
  </si>
  <si>
    <t xml:space="preserve">PO-2025-00915</t>
  </si>
  <si>
    <t xml:space="preserve">PO-2025-00916</t>
  </si>
  <si>
    <t xml:space="preserve">PO-2025-00917</t>
  </si>
  <si>
    <t xml:space="preserve">PO-2025-00918</t>
  </si>
  <si>
    <t xml:space="preserve">PO-2025-00919</t>
  </si>
  <si>
    <t xml:space="preserve">PO-2025-00920</t>
  </si>
  <si>
    <t xml:space="preserve">PO-2025-00921</t>
  </si>
  <si>
    <t xml:space="preserve">PO-2025-00922</t>
  </si>
  <si>
    <t xml:space="preserve">PO-2025-00923</t>
  </si>
  <si>
    <t xml:space="preserve">PO-2025-00924</t>
  </si>
  <si>
    <t xml:space="preserve">PO-2025-00925</t>
  </si>
  <si>
    <t xml:space="preserve">PO-2025-00926</t>
  </si>
  <si>
    <t xml:space="preserve">PO-2025-00927</t>
  </si>
  <si>
    <t xml:space="preserve">PO-2025-00928</t>
  </si>
  <si>
    <t xml:space="preserve">PO-2025-00929</t>
  </si>
  <si>
    <t xml:space="preserve">PO-2025-00930</t>
  </si>
  <si>
    <t xml:space="preserve">PO-2025-00931</t>
  </si>
  <si>
    <t xml:space="preserve">PO-2025-00932</t>
  </si>
  <si>
    <t xml:space="preserve">PO-2025-00933</t>
  </si>
  <si>
    <t xml:space="preserve">PO-2025-00934</t>
  </si>
  <si>
    <t xml:space="preserve">PO-2025-00935</t>
  </si>
  <si>
    <t xml:space="preserve">PO-2025-00936</t>
  </si>
  <si>
    <t xml:space="preserve">PO-2025-00937</t>
  </si>
  <si>
    <t xml:space="preserve">PO-2025-00938</t>
  </si>
  <si>
    <t xml:space="preserve">PO-2025-00939</t>
  </si>
  <si>
    <t xml:space="preserve">PO-2025-00940</t>
  </si>
  <si>
    <t xml:space="preserve">PO-2025-00941</t>
  </si>
  <si>
    <t xml:space="preserve">PO-2025-00942</t>
  </si>
  <si>
    <t xml:space="preserve">PO-2025-00943</t>
  </si>
  <si>
    <t xml:space="preserve">PO-2025-00944</t>
  </si>
  <si>
    <t xml:space="preserve">PO-2025-00945</t>
  </si>
  <si>
    <t xml:space="preserve">PO-2025-00946</t>
  </si>
  <si>
    <t xml:space="preserve">PO-2025-00947</t>
  </si>
  <si>
    <t xml:space="preserve">PO-2025-00948</t>
  </si>
  <si>
    <t xml:space="preserve">PO-2025-00949</t>
  </si>
  <si>
    <t xml:space="preserve">PO-2025-00950</t>
  </si>
  <si>
    <t xml:space="preserve">PO-2025-00951</t>
  </si>
  <si>
    <t xml:space="preserve">PO-2025-00952</t>
  </si>
  <si>
    <t xml:space="preserve">PO-2025-00953</t>
  </si>
  <si>
    <t xml:space="preserve">PO-2025-00954</t>
  </si>
  <si>
    <t xml:space="preserve">PO-2025-00955</t>
  </si>
  <si>
    <t xml:space="preserve">PO-2025-00956</t>
  </si>
  <si>
    <t xml:space="preserve">PO-2025-00957</t>
  </si>
  <si>
    <t xml:space="preserve">PO-2025-00958</t>
  </si>
  <si>
    <t xml:space="preserve">PO-2025-00959</t>
  </si>
  <si>
    <t xml:space="preserve">PO-2025-00960</t>
  </si>
  <si>
    <t xml:space="preserve">PO-2025-00961</t>
  </si>
  <si>
    <t xml:space="preserve">PO-2025-00962</t>
  </si>
  <si>
    <t xml:space="preserve">PO-2025-00963</t>
  </si>
  <si>
    <t xml:space="preserve">PO-2025-00964</t>
  </si>
  <si>
    <t xml:space="preserve">PO-2025-00965</t>
  </si>
  <si>
    <t xml:space="preserve">PO-2025-00966</t>
  </si>
  <si>
    <t xml:space="preserve">PO-2025-00967</t>
  </si>
  <si>
    <t xml:space="preserve">PO-2025-00968</t>
  </si>
  <si>
    <t xml:space="preserve">PO-2025-00969</t>
  </si>
  <si>
    <t xml:space="preserve">PO-2025-00970</t>
  </si>
  <si>
    <t xml:space="preserve">PO-2025-00971</t>
  </si>
  <si>
    <t xml:space="preserve">PO-2025-00972</t>
  </si>
  <si>
    <t xml:space="preserve">PO-2025-00973</t>
  </si>
  <si>
    <t xml:space="preserve">PO-2025-00974</t>
  </si>
  <si>
    <t xml:space="preserve">PO-2025-00975</t>
  </si>
  <si>
    <t xml:space="preserve">PO-2025-00976</t>
  </si>
  <si>
    <t xml:space="preserve">PO-2025-00977</t>
  </si>
  <si>
    <t xml:space="preserve">PO-2025-00978</t>
  </si>
  <si>
    <t xml:space="preserve">PO-2025-00979</t>
  </si>
  <si>
    <t xml:space="preserve">PO-2025-00980</t>
  </si>
  <si>
    <t xml:space="preserve">PO-2025-00981</t>
  </si>
  <si>
    <t xml:space="preserve">PO-2025-00982</t>
  </si>
  <si>
    <t xml:space="preserve">PO-2025-00983</t>
  </si>
  <si>
    <t xml:space="preserve">PO-2025-00984</t>
  </si>
  <si>
    <t xml:space="preserve">PO-2025-00985</t>
  </si>
  <si>
    <t xml:space="preserve">PO-2025-00986</t>
  </si>
  <si>
    <t xml:space="preserve">PO-2025-00987</t>
  </si>
  <si>
    <t xml:space="preserve">PO-2025-00988</t>
  </si>
  <si>
    <t xml:space="preserve">PO-2025-00989</t>
  </si>
  <si>
    <t xml:space="preserve">PO-2025-00990</t>
  </si>
  <si>
    <t xml:space="preserve">PO-2025-00991</t>
  </si>
  <si>
    <t xml:space="preserve">PO-2025-00992</t>
  </si>
  <si>
    <t xml:space="preserve">PO-2025-00993</t>
  </si>
  <si>
    <t xml:space="preserve">PO-2025-00994</t>
  </si>
  <si>
    <t xml:space="preserve">PO-2025-00995</t>
  </si>
  <si>
    <t xml:space="preserve">PO-2025-00996</t>
  </si>
  <si>
    <t xml:space="preserve">PO-2025-00997</t>
  </si>
  <si>
    <t xml:space="preserve">PO-2025-00998</t>
  </si>
  <si>
    <t xml:space="preserve">PO-2025-00999</t>
  </si>
  <si>
    <t xml:space="preserve">PO-2025-01000</t>
  </si>
  <si>
    <t xml:space="preserve">PO-2025-01001</t>
  </si>
  <si>
    <t xml:space="preserve">PO-2025-01002</t>
  </si>
  <si>
    <t xml:space="preserve">PO-2025-01003</t>
  </si>
  <si>
    <t xml:space="preserve">PO-2025-01004</t>
  </si>
  <si>
    <t xml:space="preserve">PO-2025-01005</t>
  </si>
  <si>
    <t xml:space="preserve">PO-2025-01006</t>
  </si>
  <si>
    <t xml:space="preserve">PO-2025-01007</t>
  </si>
  <si>
    <t xml:space="preserve">PO-2025-01008</t>
  </si>
  <si>
    <t xml:space="preserve">PO-2025-01009</t>
  </si>
  <si>
    <t xml:space="preserve">PO-2025-01010</t>
  </si>
  <si>
    <t xml:space="preserve">PO-2025-01011</t>
  </si>
  <si>
    <t xml:space="preserve">PO-2025-01012</t>
  </si>
  <si>
    <t xml:space="preserve">PO-2025-01013</t>
  </si>
  <si>
    <t xml:space="preserve">PO-2025-01014</t>
  </si>
  <si>
    <t xml:space="preserve">PO-2025-01015</t>
  </si>
  <si>
    <t xml:space="preserve">PO-2025-01016</t>
  </si>
  <si>
    <t xml:space="preserve">PO-2025-01017</t>
  </si>
  <si>
    <t xml:space="preserve">PO-2025-01018</t>
  </si>
  <si>
    <t xml:space="preserve">PO-2025-01019</t>
  </si>
  <si>
    <t xml:space="preserve">PO-2025-01020</t>
  </si>
  <si>
    <t xml:space="preserve">PO-2025-01021</t>
  </si>
  <si>
    <t xml:space="preserve">PO-2025-01022</t>
  </si>
  <si>
    <t xml:space="preserve">PO-2025-01023</t>
  </si>
  <si>
    <t xml:space="preserve">PO-2025-01024</t>
  </si>
  <si>
    <t xml:space="preserve">PO-2025-01025</t>
  </si>
  <si>
    <t xml:space="preserve">PO-2025-01026</t>
  </si>
  <si>
    <t xml:space="preserve">PO-2025-01027</t>
  </si>
  <si>
    <t xml:space="preserve">PO-2025-01028</t>
  </si>
  <si>
    <t xml:space="preserve">PO-2025-01029</t>
  </si>
  <si>
    <t xml:space="preserve">PO-2025-01030</t>
  </si>
  <si>
    <t xml:space="preserve">PO-2025-01031</t>
  </si>
  <si>
    <t xml:space="preserve">PO-2025-01032</t>
  </si>
  <si>
    <t xml:space="preserve">PO-2025-01033</t>
  </si>
  <si>
    <t xml:space="preserve">PO-2025-01034</t>
  </si>
  <si>
    <t xml:space="preserve">PO-2025-01035</t>
  </si>
  <si>
    <t xml:space="preserve">PO-2025-01036</t>
  </si>
  <si>
    <t xml:space="preserve">PO-2025-01037</t>
  </si>
  <si>
    <t xml:space="preserve">PO-2025-01038</t>
  </si>
  <si>
    <t xml:space="preserve">PO-2025-01039</t>
  </si>
  <si>
    <t xml:space="preserve">PO-2025-01040</t>
  </si>
  <si>
    <t xml:space="preserve">PO-2025-01041</t>
  </si>
  <si>
    <t xml:space="preserve">PO-2025-01042</t>
  </si>
  <si>
    <t xml:space="preserve">PO-2025-01043</t>
  </si>
  <si>
    <t xml:space="preserve">PO-2025-01044</t>
  </si>
  <si>
    <t xml:space="preserve">PO-2025-01045</t>
  </si>
  <si>
    <t xml:space="preserve">PO-2025-01046</t>
  </si>
  <si>
    <t xml:space="preserve">PO-2025-01047</t>
  </si>
  <si>
    <t xml:space="preserve">PO-2025-01048</t>
  </si>
  <si>
    <t xml:space="preserve">PO-2025-01049</t>
  </si>
  <si>
    <t xml:space="preserve">PO-2025-01050</t>
  </si>
  <si>
    <t xml:space="preserve">PO-2025-01051</t>
  </si>
  <si>
    <t xml:space="preserve">PO-2025-01052</t>
  </si>
  <si>
    <t xml:space="preserve">PO-2025-01053</t>
  </si>
  <si>
    <t xml:space="preserve">PO-2025-01054</t>
  </si>
  <si>
    <t xml:space="preserve">PO-2025-01055</t>
  </si>
  <si>
    <t xml:space="preserve">PO-2025-01056</t>
  </si>
  <si>
    <t xml:space="preserve">PO-2025-01057</t>
  </si>
  <si>
    <t xml:space="preserve">PO-2025-01058</t>
  </si>
  <si>
    <t xml:space="preserve">PO-2025-01059</t>
  </si>
  <si>
    <t xml:space="preserve">PO-2025-01060</t>
  </si>
  <si>
    <t xml:space="preserve">PO-2025-01061</t>
  </si>
  <si>
    <t xml:space="preserve">PO-2025-01062</t>
  </si>
  <si>
    <t xml:space="preserve">PO-2025-01063</t>
  </si>
  <si>
    <t xml:space="preserve">PO-2025-01064</t>
  </si>
  <si>
    <t xml:space="preserve">PO-2025-01065</t>
  </si>
  <si>
    <t xml:space="preserve">PO-2025-01066</t>
  </si>
  <si>
    <t xml:space="preserve">PO-2025-01067</t>
  </si>
  <si>
    <t xml:space="preserve">PO-2025-01068</t>
  </si>
  <si>
    <t xml:space="preserve">PO-2025-01069</t>
  </si>
  <si>
    <t xml:space="preserve">PO-2025-01070</t>
  </si>
  <si>
    <t xml:space="preserve">PO-2025-01071</t>
  </si>
  <si>
    <t xml:space="preserve">PO-2025-01072</t>
  </si>
  <si>
    <t xml:space="preserve">PO-2025-01073</t>
  </si>
  <si>
    <t xml:space="preserve">PO-2025-01074</t>
  </si>
  <si>
    <t xml:space="preserve">PO-2025-01075</t>
  </si>
  <si>
    <t xml:space="preserve">PO-2025-01076</t>
  </si>
  <si>
    <t xml:space="preserve">PO-2025-01077</t>
  </si>
  <si>
    <t xml:space="preserve">PO-2025-01078</t>
  </si>
  <si>
    <t xml:space="preserve">PO-2025-01079</t>
  </si>
  <si>
    <t xml:space="preserve">PO-2025-01080</t>
  </si>
  <si>
    <t xml:space="preserve">PO-2025-01081</t>
  </si>
  <si>
    <t xml:space="preserve">PO-2025-01082</t>
  </si>
  <si>
    <t xml:space="preserve">PO-2025-01083</t>
  </si>
  <si>
    <t xml:space="preserve">PO-2025-01084</t>
  </si>
  <si>
    <t xml:space="preserve">PO-2025-01085</t>
  </si>
  <si>
    <t xml:space="preserve">PO-2025-01086</t>
  </si>
  <si>
    <t xml:space="preserve">PO-2025-01087</t>
  </si>
  <si>
    <t xml:space="preserve">PO-2025-01088</t>
  </si>
  <si>
    <t xml:space="preserve">PO-2025-01089</t>
  </si>
  <si>
    <t xml:space="preserve">PO-2025-01090</t>
  </si>
  <si>
    <t xml:space="preserve">PO-2025-01091</t>
  </si>
  <si>
    <t xml:space="preserve">PO-2025-01092</t>
  </si>
  <si>
    <t xml:space="preserve">PO-2025-01093</t>
  </si>
  <si>
    <t xml:space="preserve">PO-2025-01094</t>
  </si>
  <si>
    <t xml:space="preserve">PO-2025-01095</t>
  </si>
  <si>
    <t xml:space="preserve">PO-2025-01096</t>
  </si>
  <si>
    <t xml:space="preserve">PO-2025-01097</t>
  </si>
  <si>
    <t xml:space="preserve">PO-2025-01098</t>
  </si>
  <si>
    <t xml:space="preserve">PO-2025-01099</t>
  </si>
  <si>
    <t xml:space="preserve">PO-2025-01100</t>
  </si>
  <si>
    <t xml:space="preserve">PO-2025-01101</t>
  </si>
  <si>
    <t xml:space="preserve">PO-2025-01102</t>
  </si>
  <si>
    <t xml:space="preserve">PO-2025-01103</t>
  </si>
  <si>
    <t xml:space="preserve">PO-2025-01104</t>
  </si>
  <si>
    <t xml:space="preserve">PO-2025-01105</t>
  </si>
  <si>
    <t xml:space="preserve">PO-2025-01106</t>
  </si>
  <si>
    <t xml:space="preserve">PO-2025-01107</t>
  </si>
  <si>
    <t xml:space="preserve">PO-2025-01108</t>
  </si>
  <si>
    <t xml:space="preserve">PO-2025-01109</t>
  </si>
  <si>
    <t xml:space="preserve">PO-2025-01110</t>
  </si>
  <si>
    <t xml:space="preserve">PO-2025-01111</t>
  </si>
  <si>
    <t xml:space="preserve">PO-2025-01112</t>
  </si>
  <si>
    <t xml:space="preserve">PO-2025-01113</t>
  </si>
  <si>
    <t xml:space="preserve">PO-2025-01114</t>
  </si>
  <si>
    <t xml:space="preserve">PO-2025-01115</t>
  </si>
  <si>
    <t xml:space="preserve">PO-2025-01116</t>
  </si>
  <si>
    <t xml:space="preserve">PO-2025-01117</t>
  </si>
  <si>
    <t xml:space="preserve">PO-2025-01118</t>
  </si>
  <si>
    <t xml:space="preserve">PO-2025-01119</t>
  </si>
  <si>
    <t xml:space="preserve">PO-2025-01120</t>
  </si>
  <si>
    <t xml:space="preserve">PO-2025-01121</t>
  </si>
  <si>
    <t xml:space="preserve">PO-2025-01122</t>
  </si>
  <si>
    <t xml:space="preserve">PO-2025-01123</t>
  </si>
  <si>
    <t xml:space="preserve">PO-2025-01124</t>
  </si>
  <si>
    <t xml:space="preserve">PO-2025-01125</t>
  </si>
  <si>
    <t xml:space="preserve">PO-2025-01126</t>
  </si>
  <si>
    <t xml:space="preserve">PO-2025-01127</t>
  </si>
  <si>
    <t xml:space="preserve">PO-2025-01128</t>
  </si>
  <si>
    <t xml:space="preserve">PO-2025-01129</t>
  </si>
  <si>
    <t xml:space="preserve">PO-2025-01130</t>
  </si>
  <si>
    <t xml:space="preserve">PO-2025-01131</t>
  </si>
  <si>
    <t xml:space="preserve">PO-2025-01132</t>
  </si>
  <si>
    <t xml:space="preserve">PO-2025-01133</t>
  </si>
  <si>
    <t xml:space="preserve">PO-2025-01134</t>
  </si>
  <si>
    <t xml:space="preserve">PO-2025-01135</t>
  </si>
  <si>
    <t xml:space="preserve">PO-2025-01136</t>
  </si>
  <si>
    <t xml:space="preserve">PO-2025-01137</t>
  </si>
  <si>
    <t xml:space="preserve">PO-2025-01138</t>
  </si>
  <si>
    <t xml:space="preserve">PO-2025-01139</t>
  </si>
  <si>
    <t xml:space="preserve">PO-2025-01140</t>
  </si>
  <si>
    <t xml:space="preserve">PO-2025-01141</t>
  </si>
  <si>
    <t xml:space="preserve">PO-2025-01142</t>
  </si>
  <si>
    <t xml:space="preserve">PO-2025-01143</t>
  </si>
  <si>
    <t xml:space="preserve">PO-2025-01144</t>
  </si>
  <si>
    <t xml:space="preserve">PO-2025-01145</t>
  </si>
  <si>
    <t xml:space="preserve">PO-2025-01146</t>
  </si>
  <si>
    <t xml:space="preserve">PO-2025-01147</t>
  </si>
  <si>
    <t xml:space="preserve">PO-2025-01148</t>
  </si>
  <si>
    <t xml:space="preserve">PO-2025-01149</t>
  </si>
  <si>
    <t xml:space="preserve">PO-2025-01150</t>
  </si>
  <si>
    <t xml:space="preserve">PO-2025-01151</t>
  </si>
  <si>
    <t xml:space="preserve">PO-2025-01152</t>
  </si>
  <si>
    <t xml:space="preserve">PO-2025-01153</t>
  </si>
  <si>
    <t xml:space="preserve">PO-2025-01154</t>
  </si>
  <si>
    <t xml:space="preserve">PO-2025-01155</t>
  </si>
  <si>
    <t xml:space="preserve">PO-2025-01156</t>
  </si>
  <si>
    <t xml:space="preserve">PO-2025-01157</t>
  </si>
  <si>
    <t xml:space="preserve">PO-2025-01158</t>
  </si>
  <si>
    <t xml:space="preserve">PO-2025-01159</t>
  </si>
  <si>
    <t xml:space="preserve">PO-2025-01160</t>
  </si>
  <si>
    <t xml:space="preserve">PO-2025-01161</t>
  </si>
  <si>
    <t xml:space="preserve">PO-2025-01162</t>
  </si>
  <si>
    <t xml:space="preserve">PO-2025-01163</t>
  </si>
  <si>
    <t xml:space="preserve">PO-2025-01164</t>
  </si>
  <si>
    <t xml:space="preserve">PO-2025-01165</t>
  </si>
  <si>
    <t xml:space="preserve">PO-2025-01166</t>
  </si>
  <si>
    <t xml:space="preserve">PO-2025-01167</t>
  </si>
  <si>
    <t xml:space="preserve">PO-2025-01168</t>
  </si>
  <si>
    <t xml:space="preserve">PO-2025-01169</t>
  </si>
  <si>
    <t xml:space="preserve">PO-2025-01170</t>
  </si>
  <si>
    <t xml:space="preserve">PO-2025-01171</t>
  </si>
  <si>
    <t xml:space="preserve">PO-2025-01172</t>
  </si>
  <si>
    <t xml:space="preserve">PO-2025-01173</t>
  </si>
  <si>
    <t xml:space="preserve">PO-2025-01174</t>
  </si>
  <si>
    <t xml:space="preserve">PO-2025-01175</t>
  </si>
  <si>
    <t xml:space="preserve">PO-2025-01176</t>
  </si>
  <si>
    <t xml:space="preserve">PO-2025-01177</t>
  </si>
  <si>
    <t xml:space="preserve">PO-2025-01178</t>
  </si>
  <si>
    <t xml:space="preserve">PO-2025-01179</t>
  </si>
  <si>
    <t xml:space="preserve">PO-2025-01180</t>
  </si>
  <si>
    <t xml:space="preserve">PO-2025-01181</t>
  </si>
  <si>
    <t xml:space="preserve">PO-2025-01182</t>
  </si>
  <si>
    <t xml:space="preserve">PO-2025-01183</t>
  </si>
  <si>
    <t xml:space="preserve">PO-2025-01184</t>
  </si>
  <si>
    <t xml:space="preserve">PO-2025-01185</t>
  </si>
  <si>
    <t xml:space="preserve">PO-2025-01186</t>
  </si>
  <si>
    <t xml:space="preserve">PO-2025-01187</t>
  </si>
  <si>
    <t xml:space="preserve">PO-2025-01188</t>
  </si>
  <si>
    <t xml:space="preserve">PO-2025-01189</t>
  </si>
  <si>
    <t xml:space="preserve">PO-2025-01190</t>
  </si>
  <si>
    <t xml:space="preserve">PO-2025-01191</t>
  </si>
  <si>
    <t xml:space="preserve">PO-2025-01192</t>
  </si>
  <si>
    <t xml:space="preserve">PO-2025-01193</t>
  </si>
  <si>
    <t xml:space="preserve">PO-2025-01194</t>
  </si>
  <si>
    <t xml:space="preserve">PO-2025-01195</t>
  </si>
  <si>
    <t xml:space="preserve">PO-2025-01196</t>
  </si>
  <si>
    <t xml:space="preserve">PO-2025-01197</t>
  </si>
  <si>
    <t xml:space="preserve">PO-2025-01198</t>
  </si>
  <si>
    <t xml:space="preserve">PO-2025-01199</t>
  </si>
  <si>
    <t xml:space="preserve">PO-2025-01200</t>
  </si>
  <si>
    <t xml:space="preserve">PO-2025-01201</t>
  </si>
  <si>
    <t xml:space="preserve">PO-2025-01202</t>
  </si>
  <si>
    <t xml:space="preserve">PO-2025-01203</t>
  </si>
  <si>
    <t xml:space="preserve">PO-2025-01204</t>
  </si>
  <si>
    <t xml:space="preserve">PO-2025-01205</t>
  </si>
  <si>
    <t xml:space="preserve">PO-2025-01206</t>
  </si>
  <si>
    <t xml:space="preserve">PO-2025-01207</t>
  </si>
  <si>
    <t xml:space="preserve">PO-2025-01208</t>
  </si>
  <si>
    <t xml:space="preserve">PO-2025-01209</t>
  </si>
  <si>
    <t xml:space="preserve">PO-2025-01210</t>
  </si>
  <si>
    <t xml:space="preserve">PO-2025-01211</t>
  </si>
  <si>
    <t xml:space="preserve">PO-2025-01212</t>
  </si>
  <si>
    <t xml:space="preserve">PO-2025-01213</t>
  </si>
  <si>
    <t xml:space="preserve">PO-2025-01214</t>
  </si>
  <si>
    <t xml:space="preserve">PO-2025-01215</t>
  </si>
  <si>
    <t xml:space="preserve">PO-2025-01216</t>
  </si>
  <si>
    <t xml:space="preserve">PO-2025-01217</t>
  </si>
  <si>
    <t xml:space="preserve">PO-2025-01218</t>
  </si>
  <si>
    <t xml:space="preserve">PO-2025-01219</t>
  </si>
  <si>
    <t xml:space="preserve">PO-2025-01220</t>
  </si>
  <si>
    <t xml:space="preserve">PO-2025-01221</t>
  </si>
  <si>
    <t xml:space="preserve">PO-2025-01222</t>
  </si>
  <si>
    <t xml:space="preserve">PO-2025-01223</t>
  </si>
  <si>
    <t xml:space="preserve">PO-2025-01224</t>
  </si>
  <si>
    <t xml:space="preserve">PO-2025-01225</t>
  </si>
  <si>
    <t xml:space="preserve">PO-2025-01226</t>
  </si>
  <si>
    <t xml:space="preserve">PO-2025-01227</t>
  </si>
  <si>
    <t xml:space="preserve">PO-2025-01228</t>
  </si>
  <si>
    <t xml:space="preserve">PO-2025-01229</t>
  </si>
  <si>
    <t xml:space="preserve">PO-2025-01230</t>
  </si>
  <si>
    <t xml:space="preserve">PO-2025-01231</t>
  </si>
  <si>
    <t xml:space="preserve">PO-2025-01232</t>
  </si>
  <si>
    <t xml:space="preserve">PO-2025-01233</t>
  </si>
  <si>
    <t xml:space="preserve">PO-2025-01234</t>
  </si>
  <si>
    <t xml:space="preserve">PO-2025-01235</t>
  </si>
  <si>
    <t xml:space="preserve">PO-2025-01236</t>
  </si>
  <si>
    <t xml:space="preserve">PO-2025-01237</t>
  </si>
  <si>
    <t xml:space="preserve">PO-2025-01238</t>
  </si>
  <si>
    <t xml:space="preserve">PO-2025-01239</t>
  </si>
  <si>
    <t xml:space="preserve">PO-2025-01240</t>
  </si>
  <si>
    <t xml:space="preserve">PO-2025-01241</t>
  </si>
  <si>
    <t xml:space="preserve">PO-2025-01242</t>
  </si>
  <si>
    <t xml:space="preserve">PO-2025-01243</t>
  </si>
  <si>
    <t xml:space="preserve">PO-2025-01244</t>
  </si>
  <si>
    <t xml:space="preserve">PO-2025-01245</t>
  </si>
  <si>
    <t xml:space="preserve">PO-2025-01246</t>
  </si>
  <si>
    <t xml:space="preserve">PO-2025-01247</t>
  </si>
  <si>
    <t xml:space="preserve">PO-2025-01248</t>
  </si>
  <si>
    <t xml:space="preserve">PO-2025-01249</t>
  </si>
  <si>
    <t xml:space="preserve">PO-2025-01250</t>
  </si>
  <si>
    <t xml:space="preserve">PO-2025-01251</t>
  </si>
  <si>
    <t xml:space="preserve">PO-2025-01252</t>
  </si>
  <si>
    <t xml:space="preserve">PO-2025-01253</t>
  </si>
  <si>
    <t xml:space="preserve">PO-2025-01254</t>
  </si>
  <si>
    <t xml:space="preserve">PO-2025-01255</t>
  </si>
  <si>
    <t xml:space="preserve">PO-2025-01256</t>
  </si>
  <si>
    <t xml:space="preserve">PO-2025-01257</t>
  </si>
  <si>
    <t xml:space="preserve">PO-2025-01258</t>
  </si>
  <si>
    <t xml:space="preserve">PO-2025-01259</t>
  </si>
  <si>
    <t xml:space="preserve">PO-2025-01260</t>
  </si>
  <si>
    <t xml:space="preserve">PO-2025-01261</t>
  </si>
  <si>
    <t xml:space="preserve">PO-2025-01262</t>
  </si>
  <si>
    <t xml:space="preserve">PO-2025-01263</t>
  </si>
  <si>
    <t xml:space="preserve">PO-2025-01264</t>
  </si>
  <si>
    <t xml:space="preserve">PO-2025-01265</t>
  </si>
  <si>
    <t xml:space="preserve">PO-2025-01266</t>
  </si>
  <si>
    <t xml:space="preserve">PO-2025-01267</t>
  </si>
  <si>
    <t xml:space="preserve">PO-2025-01268</t>
  </si>
  <si>
    <t xml:space="preserve">PO-2025-01269</t>
  </si>
  <si>
    <t xml:space="preserve">PO-2025-01270</t>
  </si>
  <si>
    <t xml:space="preserve">PO-2025-01271</t>
  </si>
  <si>
    <t xml:space="preserve">PO-2025-01272</t>
  </si>
  <si>
    <t xml:space="preserve">PO-2025-01273</t>
  </si>
  <si>
    <t xml:space="preserve">PO-2025-01274</t>
  </si>
  <si>
    <t xml:space="preserve">PO-2025-01275</t>
  </si>
  <si>
    <t xml:space="preserve">PO-2025-01276</t>
  </si>
  <si>
    <t xml:space="preserve">PO-2025-01277</t>
  </si>
  <si>
    <t xml:space="preserve">PO-2025-01278</t>
  </si>
  <si>
    <t xml:space="preserve">PO-2025-01279</t>
  </si>
  <si>
    <t xml:space="preserve">PO-2025-01280</t>
  </si>
  <si>
    <t xml:space="preserve">PO-2025-01281</t>
  </si>
  <si>
    <t xml:space="preserve">PO-2025-01282</t>
  </si>
  <si>
    <t xml:space="preserve">PO-2025-01283</t>
  </si>
  <si>
    <t xml:space="preserve">PO-2025-01284</t>
  </si>
  <si>
    <t xml:space="preserve">PO-2025-01285</t>
  </si>
  <si>
    <t xml:space="preserve">PO-2025-01286</t>
  </si>
  <si>
    <t xml:space="preserve">PO-2025-01287</t>
  </si>
  <si>
    <t xml:space="preserve">PO-2025-01288</t>
  </si>
  <si>
    <t xml:space="preserve">PO-2025-01289</t>
  </si>
  <si>
    <t xml:space="preserve">PO-2025-01290</t>
  </si>
  <si>
    <t xml:space="preserve">PO-2025-01291</t>
  </si>
  <si>
    <t xml:space="preserve">PO-2025-01292</t>
  </si>
  <si>
    <t xml:space="preserve">PO-2025-01293</t>
  </si>
  <si>
    <t xml:space="preserve">PO-2025-01294</t>
  </si>
  <si>
    <t xml:space="preserve">PO-2025-01295</t>
  </si>
  <si>
    <t xml:space="preserve">PO-2025-01296</t>
  </si>
  <si>
    <t xml:space="preserve">PO-2025-01297</t>
  </si>
  <si>
    <t xml:space="preserve">PO-2025-01298</t>
  </si>
  <si>
    <t xml:space="preserve">PO-2025-01299</t>
  </si>
  <si>
    <t xml:space="preserve">PO-2025-01300</t>
  </si>
  <si>
    <t xml:space="preserve">PO-2025-01301</t>
  </si>
  <si>
    <t xml:space="preserve">PO-2025-01302</t>
  </si>
  <si>
    <t xml:space="preserve">PO-2025-01303</t>
  </si>
  <si>
    <t xml:space="preserve">PO-2025-01304</t>
  </si>
  <si>
    <t xml:space="preserve">PO-2025-01305</t>
  </si>
  <si>
    <t xml:space="preserve">PO-2025-01306</t>
  </si>
  <si>
    <t xml:space="preserve">PO-2025-01307</t>
  </si>
  <si>
    <t xml:space="preserve">PO-2025-01308</t>
  </si>
  <si>
    <t xml:space="preserve">PO-2025-01309</t>
  </si>
  <si>
    <t xml:space="preserve">PO-2025-01310</t>
  </si>
  <si>
    <t xml:space="preserve">PO-2025-01311</t>
  </si>
  <si>
    <t xml:space="preserve">PO-2025-01312</t>
  </si>
  <si>
    <t xml:space="preserve">PO-2025-01313</t>
  </si>
  <si>
    <t xml:space="preserve">PO-2025-01314</t>
  </si>
  <si>
    <t xml:space="preserve">PO-2025-01315</t>
  </si>
  <si>
    <t xml:space="preserve">PO-2025-01316</t>
  </si>
  <si>
    <t xml:space="preserve">PO-2025-01317</t>
  </si>
  <si>
    <t xml:space="preserve">PO-2025-01318</t>
  </si>
  <si>
    <t xml:space="preserve">PO-2025-01319</t>
  </si>
  <si>
    <t xml:space="preserve">PO-2025-01320</t>
  </si>
  <si>
    <t xml:space="preserve">PO-2025-01321</t>
  </si>
  <si>
    <t xml:space="preserve">PO-2025-01322</t>
  </si>
  <si>
    <t xml:space="preserve">PO-2025-01323</t>
  </si>
  <si>
    <t xml:space="preserve">PO-2025-01324</t>
  </si>
  <si>
    <t xml:space="preserve">PO-2025-01325</t>
  </si>
  <si>
    <t xml:space="preserve">PO-2025-01326</t>
  </si>
  <si>
    <t xml:space="preserve">PO-2025-01327</t>
  </si>
  <si>
    <t xml:space="preserve">PO-2025-01328</t>
  </si>
  <si>
    <t xml:space="preserve">PO-2025-01329</t>
  </si>
  <si>
    <t xml:space="preserve">PO-2025-01330</t>
  </si>
  <si>
    <t xml:space="preserve">PO-2025-01331</t>
  </si>
  <si>
    <t xml:space="preserve">PO-2025-01332</t>
  </si>
  <si>
    <t xml:space="preserve">PO-2025-01333</t>
  </si>
  <si>
    <t xml:space="preserve">PO-2025-01334</t>
  </si>
  <si>
    <t xml:space="preserve">PO-2025-01335</t>
  </si>
  <si>
    <t xml:space="preserve">PO-2025-01336</t>
  </si>
  <si>
    <t xml:space="preserve">PO-2025-01337</t>
  </si>
  <si>
    <t xml:space="preserve">PO-2025-01338</t>
  </si>
  <si>
    <t xml:space="preserve">PO-2025-01339</t>
  </si>
  <si>
    <t xml:space="preserve">PO-2025-01340</t>
  </si>
  <si>
    <t xml:space="preserve">PO-2025-01341</t>
  </si>
  <si>
    <t xml:space="preserve">PO-2025-01342</t>
  </si>
  <si>
    <t xml:space="preserve">PO-2025-01343</t>
  </si>
  <si>
    <t xml:space="preserve">PO-2025-01344</t>
  </si>
  <si>
    <t xml:space="preserve">PO-2025-01345</t>
  </si>
  <si>
    <t xml:space="preserve">PO-2025-01346</t>
  </si>
  <si>
    <t xml:space="preserve">PO-2025-01347</t>
  </si>
  <si>
    <t xml:space="preserve">PO-2025-01348</t>
  </si>
  <si>
    <t xml:space="preserve">PO-2025-01349</t>
  </si>
  <si>
    <t xml:space="preserve">PO-2025-01350</t>
  </si>
  <si>
    <t xml:space="preserve">PO-2025-01351</t>
  </si>
  <si>
    <t xml:space="preserve">PO-2025-01352</t>
  </si>
  <si>
    <t xml:space="preserve">PO-2025-01353</t>
  </si>
  <si>
    <t xml:space="preserve">PO-2025-01354</t>
  </si>
  <si>
    <t xml:space="preserve">PO-2025-01355</t>
  </si>
  <si>
    <t xml:space="preserve">PO-2025-01356</t>
  </si>
  <si>
    <t xml:space="preserve">PO-2025-01357</t>
  </si>
  <si>
    <t xml:space="preserve">PO-2025-01358</t>
  </si>
  <si>
    <t xml:space="preserve">PO-2025-01359</t>
  </si>
  <si>
    <t xml:space="preserve">PO-2025-01360</t>
  </si>
  <si>
    <t xml:space="preserve">PO-2025-01361</t>
  </si>
  <si>
    <t xml:space="preserve">PO-2025-01362</t>
  </si>
  <si>
    <t xml:space="preserve">PO-2025-01363</t>
  </si>
  <si>
    <t xml:space="preserve">PO-2025-01364</t>
  </si>
  <si>
    <t xml:space="preserve">PO-2025-01365</t>
  </si>
  <si>
    <t xml:space="preserve">PO-2025-01366</t>
  </si>
  <si>
    <t xml:space="preserve">PO-2025-01367</t>
  </si>
  <si>
    <t xml:space="preserve">PO-2025-01368</t>
  </si>
  <si>
    <t xml:space="preserve">PO-2025-01369</t>
  </si>
  <si>
    <t xml:space="preserve">PO-2025-01370</t>
  </si>
  <si>
    <t xml:space="preserve">PO-2025-01371</t>
  </si>
  <si>
    <t xml:space="preserve">PO-2025-01372</t>
  </si>
  <si>
    <t xml:space="preserve">PO-2025-01373</t>
  </si>
  <si>
    <t xml:space="preserve">PO-2025-01374</t>
  </si>
  <si>
    <t xml:space="preserve">PO-2025-01375</t>
  </si>
  <si>
    <t xml:space="preserve">PO-2025-01376</t>
  </si>
  <si>
    <t xml:space="preserve">PO-2025-01377</t>
  </si>
  <si>
    <t xml:space="preserve">PO-2025-01378</t>
  </si>
  <si>
    <t xml:space="preserve">PO-2025-01379</t>
  </si>
  <si>
    <t xml:space="preserve">PO-2025-01380</t>
  </si>
  <si>
    <t xml:space="preserve">PO-2025-01381</t>
  </si>
  <si>
    <t xml:space="preserve">PO-2025-01382</t>
  </si>
  <si>
    <t xml:space="preserve">PO-2025-01383</t>
  </si>
  <si>
    <t xml:space="preserve">PO-2025-01384</t>
  </si>
  <si>
    <t xml:space="preserve">PO-2025-01385</t>
  </si>
  <si>
    <t xml:space="preserve">PO-2025-01386</t>
  </si>
  <si>
    <t xml:space="preserve">PO-2025-01387</t>
  </si>
  <si>
    <t xml:space="preserve">PO-2025-01388</t>
  </si>
  <si>
    <t xml:space="preserve">PO-2025-01389</t>
  </si>
  <si>
    <t xml:space="preserve">PO-2025-01390</t>
  </si>
  <si>
    <t xml:space="preserve">PO-2025-01391</t>
  </si>
  <si>
    <t xml:space="preserve">PO-2025-01392</t>
  </si>
  <si>
    <t xml:space="preserve">PO-2025-01393</t>
  </si>
  <si>
    <t xml:space="preserve">PO-2025-01394</t>
  </si>
  <si>
    <t xml:space="preserve">PO-2025-01395</t>
  </si>
  <si>
    <t xml:space="preserve">PO-2025-01396</t>
  </si>
  <si>
    <t xml:space="preserve">PO-2025-01397</t>
  </si>
  <si>
    <t xml:space="preserve">PO-2025-01398</t>
  </si>
  <si>
    <t xml:space="preserve">PO-2025-01399</t>
  </si>
  <si>
    <t xml:space="preserve">PO-2025-01400</t>
  </si>
  <si>
    <t xml:space="preserve">PO-2025-01401</t>
  </si>
  <si>
    <t xml:space="preserve">PO-2025-01402</t>
  </si>
  <si>
    <t xml:space="preserve">PO-2025-01403</t>
  </si>
  <si>
    <t xml:space="preserve">PO-2025-01404</t>
  </si>
  <si>
    <t xml:space="preserve">PO-2025-01405</t>
  </si>
  <si>
    <t xml:space="preserve">PO-2025-01406</t>
  </si>
  <si>
    <t xml:space="preserve">PO-2025-01407</t>
  </si>
  <si>
    <t xml:space="preserve">PO-2025-01408</t>
  </si>
  <si>
    <t xml:space="preserve">PO-2025-01409</t>
  </si>
  <si>
    <t xml:space="preserve">PO-2025-01410</t>
  </si>
  <si>
    <t xml:space="preserve">PO-2025-01411</t>
  </si>
  <si>
    <t xml:space="preserve">PO-2025-01412</t>
  </si>
  <si>
    <t xml:space="preserve">PO-2025-01413</t>
  </si>
  <si>
    <t xml:space="preserve">PO-2025-01414</t>
  </si>
  <si>
    <t xml:space="preserve">PO-2025-01415</t>
  </si>
  <si>
    <t xml:space="preserve">PO-2025-01416</t>
  </si>
  <si>
    <t xml:space="preserve">PO-2025-01417</t>
  </si>
  <si>
    <t xml:space="preserve">PO-2025-01418</t>
  </si>
  <si>
    <t xml:space="preserve">PO-2025-01419</t>
  </si>
  <si>
    <t xml:space="preserve">PO-2025-01420</t>
  </si>
  <si>
    <t xml:space="preserve">PO-2025-01421</t>
  </si>
  <si>
    <t xml:space="preserve">PO-2025-01422</t>
  </si>
  <si>
    <t xml:space="preserve">PO-2025-01423</t>
  </si>
  <si>
    <t xml:space="preserve">PO-2025-01424</t>
  </si>
  <si>
    <t xml:space="preserve">PO-2025-01425</t>
  </si>
  <si>
    <t xml:space="preserve">PO-2025-01426</t>
  </si>
  <si>
    <t xml:space="preserve">PO-2025-01427</t>
  </si>
  <si>
    <t xml:space="preserve">PO-2025-01428</t>
  </si>
  <si>
    <t xml:space="preserve">PO-2025-01429</t>
  </si>
  <si>
    <t xml:space="preserve">PO-2025-01430</t>
  </si>
  <si>
    <t xml:space="preserve">PO-2025-01431</t>
  </si>
  <si>
    <t xml:space="preserve">PO-2025-01432</t>
  </si>
  <si>
    <t xml:space="preserve">PO-2025-01433</t>
  </si>
  <si>
    <t xml:space="preserve">PO-2025-01434</t>
  </si>
  <si>
    <t xml:space="preserve">PO-2025-01435</t>
  </si>
  <si>
    <t xml:space="preserve">PO-2025-01436</t>
  </si>
  <si>
    <t xml:space="preserve">PO-2025-01437</t>
  </si>
  <si>
    <t xml:space="preserve">PO-2025-01438</t>
  </si>
  <si>
    <t xml:space="preserve">PO-2025-01439</t>
  </si>
  <si>
    <t xml:space="preserve">PO-2025-01440</t>
  </si>
  <si>
    <t xml:space="preserve">PO-2025-01441</t>
  </si>
  <si>
    <t xml:space="preserve">PO-2025-01442</t>
  </si>
  <si>
    <t xml:space="preserve">PO-2025-01443</t>
  </si>
  <si>
    <t xml:space="preserve">PO-2025-01444</t>
  </si>
  <si>
    <t xml:space="preserve">PO-2025-01445</t>
  </si>
  <si>
    <t xml:space="preserve">PO-2025-01446</t>
  </si>
  <si>
    <t xml:space="preserve">PO-2025-01447</t>
  </si>
  <si>
    <t xml:space="preserve">PO-2025-01448</t>
  </si>
  <si>
    <t xml:space="preserve">PO-2025-01449</t>
  </si>
  <si>
    <t xml:space="preserve">PO-2025-01450</t>
  </si>
  <si>
    <t xml:space="preserve">PO-2025-01451</t>
  </si>
  <si>
    <t xml:space="preserve">PO-2025-01452</t>
  </si>
  <si>
    <t xml:space="preserve">PO-2025-01453</t>
  </si>
  <si>
    <t xml:space="preserve">PO-2025-01454</t>
  </si>
  <si>
    <t xml:space="preserve">PO-2025-01455</t>
  </si>
  <si>
    <t xml:space="preserve">PO-2025-01456</t>
  </si>
  <si>
    <t xml:space="preserve">PO-2025-01457</t>
  </si>
  <si>
    <t xml:space="preserve">PO-2025-01458</t>
  </si>
  <si>
    <t xml:space="preserve">PO-2025-01459</t>
  </si>
  <si>
    <t xml:space="preserve">PO-2025-01460</t>
  </si>
  <si>
    <t xml:space="preserve">PO-2025-01461</t>
  </si>
  <si>
    <t xml:space="preserve">PO-2025-01462</t>
  </si>
  <si>
    <t xml:space="preserve">PO-2025-01463</t>
  </si>
  <si>
    <t xml:space="preserve">PO-2025-01464</t>
  </si>
  <si>
    <t xml:space="preserve">PO-2025-01465</t>
  </si>
  <si>
    <t xml:space="preserve">PO-2025-01466</t>
  </si>
  <si>
    <t xml:space="preserve">PO-2025-01467</t>
  </si>
  <si>
    <t xml:space="preserve">PO-2025-01468</t>
  </si>
  <si>
    <t xml:space="preserve">PO-2025-01469</t>
  </si>
  <si>
    <t xml:space="preserve">PO-2025-01470</t>
  </si>
  <si>
    <t xml:space="preserve">PO-2025-01471</t>
  </si>
  <si>
    <t xml:space="preserve">PO-2025-01472</t>
  </si>
  <si>
    <t xml:space="preserve">PO-2025-01473</t>
  </si>
  <si>
    <t xml:space="preserve">PO-2025-01474</t>
  </si>
  <si>
    <t xml:space="preserve">PO-2025-01475</t>
  </si>
  <si>
    <t xml:space="preserve">PO-2025-01476</t>
  </si>
  <si>
    <t xml:space="preserve">PO-2025-01477</t>
  </si>
  <si>
    <t xml:space="preserve">PO-2025-01478</t>
  </si>
  <si>
    <t xml:space="preserve">PO-2025-01479</t>
  </si>
  <si>
    <t xml:space="preserve">PO-2025-01480</t>
  </si>
  <si>
    <t xml:space="preserve">PO-2025-01481</t>
  </si>
  <si>
    <t xml:space="preserve">PO-2025-01482</t>
  </si>
  <si>
    <t xml:space="preserve">PO-2025-01483</t>
  </si>
  <si>
    <t xml:space="preserve">PO-2025-01484</t>
  </si>
  <si>
    <t xml:space="preserve">PO-2025-01485</t>
  </si>
  <si>
    <t xml:space="preserve">PO-2025-01486</t>
  </si>
  <si>
    <t xml:space="preserve">PO-2025-01487</t>
  </si>
  <si>
    <t xml:space="preserve">PO-2025-01488</t>
  </si>
  <si>
    <t xml:space="preserve">PO-2025-01489</t>
  </si>
  <si>
    <t xml:space="preserve">PO-2025-01490</t>
  </si>
  <si>
    <t xml:space="preserve">PO-2025-01491</t>
  </si>
  <si>
    <t xml:space="preserve">PO-2025-01492</t>
  </si>
  <si>
    <t xml:space="preserve">PO-2025-01493</t>
  </si>
  <si>
    <t xml:space="preserve">PO-2025-01494</t>
  </si>
  <si>
    <t xml:space="preserve">PO-2025-01495</t>
  </si>
  <si>
    <t xml:space="preserve">PO-2025-01496</t>
  </si>
  <si>
    <t xml:space="preserve">PO-2025-01497</t>
  </si>
  <si>
    <t xml:space="preserve">PO-2025-01498</t>
  </si>
  <si>
    <t xml:space="preserve">PO-2025-01499</t>
  </si>
  <si>
    <t xml:space="preserve">PO-2026-01500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</si>
</sst>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yyyy\-mm\-dd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3" t="s">
        <v>31</v>
      </c>
    </row>
    <row r="39" customFormat="false" ht="15" hidden="false" customHeight="false" outlineLevel="0" collapsed="false">
      <c r="A39" s="2" t="s">
        <v>32</v>
      </c>
    </row>
    <row r="40" customFormat="false" ht="15" hidden="false" customHeight="false" outlineLevel="0" collapsed="false">
      <c r="A40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7" min="6" style="0" width="16"/>
  </cols>
  <sheetData>
    <row r="1" customFormat="false" ht="26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</row>
    <row r="2" customFormat="false" ht="15" hidden="false" customHeight="false" outlineLevel="0" collapsed="false">
      <c r="A2" s="5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6" t="n">
        <v>58</v>
      </c>
      <c r="G2" s="5" t="n">
        <v>9</v>
      </c>
    </row>
    <row r="3" customFormat="false" ht="15" hidden="false" customHeight="false" outlineLevel="0" collapsed="false">
      <c r="A3" s="5" t="s">
        <v>46</v>
      </c>
      <c r="B3" s="5" t="s">
        <v>47</v>
      </c>
      <c r="C3" s="5" t="s">
        <v>43</v>
      </c>
      <c r="D3" s="5" t="s">
        <v>44</v>
      </c>
      <c r="E3" s="5" t="s">
        <v>48</v>
      </c>
      <c r="F3" s="6" t="n">
        <v>46.5</v>
      </c>
      <c r="G3" s="5" t="n">
        <v>6</v>
      </c>
    </row>
    <row r="4" customFormat="false" ht="15" hidden="false" customHeight="false" outlineLevel="0" collapsed="false">
      <c r="A4" s="5" t="s">
        <v>49</v>
      </c>
      <c r="B4" s="5" t="s">
        <v>50</v>
      </c>
      <c r="C4" s="5" t="s">
        <v>43</v>
      </c>
      <c r="D4" s="5" t="s">
        <v>44</v>
      </c>
      <c r="E4" s="5" t="s">
        <v>51</v>
      </c>
      <c r="F4" s="6" t="n">
        <v>32.75</v>
      </c>
      <c r="G4" s="5" t="n">
        <v>3</v>
      </c>
    </row>
    <row r="5" customFormat="false" ht="15" hidden="false" customHeight="false" outlineLevel="0" collapsed="false">
      <c r="A5" s="5" t="s">
        <v>52</v>
      </c>
      <c r="B5" s="5" t="s">
        <v>53</v>
      </c>
      <c r="C5" s="5" t="s">
        <v>43</v>
      </c>
      <c r="D5" s="5" t="s">
        <v>44</v>
      </c>
      <c r="E5" s="5" t="s">
        <v>45</v>
      </c>
      <c r="F5" s="6" t="n">
        <v>61.2</v>
      </c>
      <c r="G5" s="5" t="n">
        <v>11</v>
      </c>
    </row>
    <row r="6" customFormat="false" ht="15" hidden="false" customHeight="false" outlineLevel="0" collapsed="false">
      <c r="A6" s="5" t="s">
        <v>54</v>
      </c>
      <c r="B6" s="5" t="s">
        <v>55</v>
      </c>
      <c r="C6" s="5" t="s">
        <v>43</v>
      </c>
      <c r="D6" s="5" t="s">
        <v>56</v>
      </c>
      <c r="E6" s="5" t="s">
        <v>48</v>
      </c>
      <c r="F6" s="6" t="n">
        <v>38.9</v>
      </c>
      <c r="G6" s="5" t="n">
        <v>4</v>
      </c>
    </row>
    <row r="7" customFormat="false" ht="15" hidden="false" customHeight="false" outlineLevel="0" collapsed="false">
      <c r="A7" s="5" t="s">
        <v>57</v>
      </c>
      <c r="B7" s="5" t="s">
        <v>58</v>
      </c>
      <c r="C7" s="5" t="s">
        <v>59</v>
      </c>
      <c r="D7" s="5" t="s">
        <v>44</v>
      </c>
      <c r="E7" s="5" t="s">
        <v>45</v>
      </c>
      <c r="F7" s="6" t="n">
        <v>4.35</v>
      </c>
      <c r="G7" s="5" t="n">
        <v>8</v>
      </c>
    </row>
    <row r="8" customFormat="false" ht="15" hidden="false" customHeight="false" outlineLevel="0" collapsed="false">
      <c r="A8" s="5" t="s">
        <v>60</v>
      </c>
      <c r="B8" s="5" t="s">
        <v>61</v>
      </c>
      <c r="C8" s="5" t="s">
        <v>59</v>
      </c>
      <c r="D8" s="5" t="s">
        <v>44</v>
      </c>
      <c r="E8" s="5" t="s">
        <v>48</v>
      </c>
      <c r="F8" s="6" t="n">
        <v>3.1</v>
      </c>
      <c r="G8" s="5" t="n">
        <v>5</v>
      </c>
    </row>
    <row r="9" customFormat="false" ht="15" hidden="false" customHeight="false" outlineLevel="0" collapsed="false">
      <c r="A9" s="5" t="s">
        <v>62</v>
      </c>
      <c r="B9" s="5" t="s">
        <v>63</v>
      </c>
      <c r="C9" s="5" t="s">
        <v>59</v>
      </c>
      <c r="D9" s="5" t="s">
        <v>44</v>
      </c>
      <c r="E9" s="5" t="s">
        <v>45</v>
      </c>
      <c r="F9" s="6" t="n">
        <v>5.6</v>
      </c>
      <c r="G9" s="5" t="n">
        <v>7</v>
      </c>
    </row>
    <row r="10" customFormat="false" ht="15" hidden="false" customHeight="false" outlineLevel="0" collapsed="false">
      <c r="A10" s="5" t="s">
        <v>64</v>
      </c>
      <c r="B10" s="5" t="s">
        <v>65</v>
      </c>
      <c r="C10" s="5" t="s">
        <v>59</v>
      </c>
      <c r="D10" s="5" t="s">
        <v>44</v>
      </c>
      <c r="E10" s="5" t="s">
        <v>51</v>
      </c>
      <c r="F10" s="6" t="n">
        <v>2.25</v>
      </c>
      <c r="G10" s="5" t="n">
        <v>2</v>
      </c>
    </row>
    <row r="11" customFormat="false" ht="15" hidden="false" customHeight="false" outlineLevel="0" collapsed="false">
      <c r="A11" s="5" t="s">
        <v>66</v>
      </c>
      <c r="B11" s="5" t="s">
        <v>67</v>
      </c>
      <c r="C11" s="5" t="s">
        <v>59</v>
      </c>
      <c r="D11" s="5" t="s">
        <v>56</v>
      </c>
      <c r="E11" s="5" t="s">
        <v>48</v>
      </c>
      <c r="F11" s="6" t="n">
        <v>6.8</v>
      </c>
      <c r="G11" s="5" t="n">
        <v>4</v>
      </c>
    </row>
    <row r="12" customFormat="false" ht="15" hidden="false" customHeight="false" outlineLevel="0" collapsed="false">
      <c r="A12" s="5" t="s">
        <v>68</v>
      </c>
      <c r="B12" s="5" t="s">
        <v>69</v>
      </c>
      <c r="C12" s="5" t="s">
        <v>70</v>
      </c>
      <c r="D12" s="5" t="s">
        <v>44</v>
      </c>
      <c r="E12" s="5" t="s">
        <v>45</v>
      </c>
      <c r="F12" s="6" t="n">
        <v>22.4</v>
      </c>
      <c r="G12" s="5" t="n">
        <v>10</v>
      </c>
    </row>
    <row r="13" customFormat="false" ht="15" hidden="false" customHeight="false" outlineLevel="0" collapsed="false">
      <c r="A13" s="5" t="s">
        <v>71</v>
      </c>
      <c r="B13" s="5" t="s">
        <v>72</v>
      </c>
      <c r="C13" s="5" t="s">
        <v>70</v>
      </c>
      <c r="D13" s="5" t="s">
        <v>44</v>
      </c>
      <c r="E13" s="5" t="s">
        <v>48</v>
      </c>
      <c r="F13" s="6" t="n">
        <v>18.75</v>
      </c>
      <c r="G13" s="5" t="n">
        <v>6</v>
      </c>
    </row>
    <row r="14" customFormat="false" ht="15" hidden="false" customHeight="false" outlineLevel="0" collapsed="false">
      <c r="A14" s="5" t="s">
        <v>73</v>
      </c>
      <c r="B14" s="5" t="s">
        <v>74</v>
      </c>
      <c r="C14" s="5" t="s">
        <v>70</v>
      </c>
      <c r="D14" s="5" t="s">
        <v>44</v>
      </c>
      <c r="E14" s="5" t="s">
        <v>51</v>
      </c>
      <c r="F14" s="6" t="n">
        <v>15.9</v>
      </c>
      <c r="G14" s="5" t="n">
        <v>2</v>
      </c>
    </row>
    <row r="15" customFormat="false" ht="15" hidden="false" customHeight="false" outlineLevel="0" collapsed="false">
      <c r="A15" s="5" t="s">
        <v>75</v>
      </c>
      <c r="B15" s="5" t="s">
        <v>76</v>
      </c>
      <c r="C15" s="5" t="s">
        <v>70</v>
      </c>
      <c r="D15" s="5" t="s">
        <v>44</v>
      </c>
      <c r="E15" s="5" t="s">
        <v>45</v>
      </c>
      <c r="F15" s="6" t="n">
        <v>27.1</v>
      </c>
      <c r="G15" s="5" t="n">
        <v>8</v>
      </c>
    </row>
    <row r="16" customFormat="false" ht="15" hidden="false" customHeight="false" outlineLevel="0" collapsed="false">
      <c r="A16" s="5" t="s">
        <v>77</v>
      </c>
      <c r="B16" s="5" t="s">
        <v>78</v>
      </c>
      <c r="C16" s="5" t="s">
        <v>70</v>
      </c>
      <c r="D16" s="5" t="s">
        <v>56</v>
      </c>
      <c r="E16" s="5" t="s">
        <v>48</v>
      </c>
      <c r="F16" s="6" t="n">
        <v>24.6</v>
      </c>
      <c r="G16" s="5" t="n">
        <v>5</v>
      </c>
    </row>
    <row r="17" customFormat="false" ht="15" hidden="false" customHeight="false" outlineLevel="0" collapsed="false">
      <c r="A17" s="5" t="s">
        <v>79</v>
      </c>
      <c r="B17" s="5" t="s">
        <v>80</v>
      </c>
      <c r="C17" s="5" t="s">
        <v>81</v>
      </c>
      <c r="D17" s="5" t="s">
        <v>44</v>
      </c>
      <c r="E17" s="5" t="s">
        <v>45</v>
      </c>
      <c r="F17" s="6" t="n">
        <v>340</v>
      </c>
      <c r="G17" s="5" t="n">
        <v>9</v>
      </c>
    </row>
    <row r="18" customFormat="false" ht="15" hidden="false" customHeight="false" outlineLevel="0" collapsed="false">
      <c r="A18" s="5" t="s">
        <v>82</v>
      </c>
      <c r="B18" s="5" t="s">
        <v>83</v>
      </c>
      <c r="C18" s="5" t="s">
        <v>81</v>
      </c>
      <c r="D18" s="5" t="s">
        <v>44</v>
      </c>
      <c r="E18" s="5" t="s">
        <v>48</v>
      </c>
      <c r="F18" s="6" t="n">
        <v>285</v>
      </c>
      <c r="G18" s="5" t="n">
        <v>6</v>
      </c>
    </row>
    <row r="19" customFormat="false" ht="15" hidden="false" customHeight="false" outlineLevel="0" collapsed="false">
      <c r="A19" s="5" t="s">
        <v>84</v>
      </c>
      <c r="B19" s="5" t="s">
        <v>85</v>
      </c>
      <c r="C19" s="5" t="s">
        <v>81</v>
      </c>
      <c r="D19" s="5" t="s">
        <v>44</v>
      </c>
      <c r="E19" s="5" t="s">
        <v>51</v>
      </c>
      <c r="F19" s="6" t="n">
        <v>210</v>
      </c>
      <c r="G19" s="5" t="n">
        <v>3</v>
      </c>
    </row>
    <row r="20" customFormat="false" ht="15" hidden="false" customHeight="false" outlineLevel="0" collapsed="false">
      <c r="A20" s="5" t="s">
        <v>86</v>
      </c>
      <c r="B20" s="5" t="s">
        <v>87</v>
      </c>
      <c r="C20" s="5" t="s">
        <v>81</v>
      </c>
      <c r="D20" s="5" t="s">
        <v>44</v>
      </c>
      <c r="E20" s="5" t="s">
        <v>45</v>
      </c>
      <c r="F20" s="6" t="n">
        <v>175</v>
      </c>
      <c r="G20" s="5" t="n">
        <v>12</v>
      </c>
    </row>
    <row r="21" customFormat="false" ht="15" hidden="false" customHeight="false" outlineLevel="0" collapsed="false">
      <c r="A21" s="5" t="s">
        <v>88</v>
      </c>
      <c r="B21" s="5" t="s">
        <v>89</v>
      </c>
      <c r="C21" s="5" t="s">
        <v>81</v>
      </c>
      <c r="D21" s="5" t="s">
        <v>44</v>
      </c>
      <c r="E21" s="5" t="s">
        <v>48</v>
      </c>
      <c r="F21" s="6" t="n">
        <v>95</v>
      </c>
      <c r="G21" s="5" t="n">
        <v>4</v>
      </c>
    </row>
  </sheetData>
  <autoFilter ref="A1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</cols>
  <sheetData>
    <row r="1" customFormat="false" ht="26.85" hidden="false" customHeight="false" outlineLevel="0" collapsed="false">
      <c r="A1" s="4" t="s">
        <v>36</v>
      </c>
      <c r="B1" s="4" t="s">
        <v>90</v>
      </c>
    </row>
    <row r="2" customFormat="false" ht="15" hidden="false" customHeight="false" outlineLevel="0" collapsed="false">
      <c r="A2" s="5" t="s">
        <v>43</v>
      </c>
      <c r="B2" s="5" t="n">
        <v>21</v>
      </c>
    </row>
    <row r="3" customFormat="false" ht="15" hidden="false" customHeight="false" outlineLevel="0" collapsed="false">
      <c r="A3" s="5" t="s">
        <v>59</v>
      </c>
      <c r="B3" s="5" t="n">
        <v>14</v>
      </c>
    </row>
    <row r="4" customFormat="false" ht="15" hidden="false" customHeight="false" outlineLevel="0" collapsed="false">
      <c r="A4" s="5" t="s">
        <v>70</v>
      </c>
      <c r="B4" s="5" t="n">
        <v>10</v>
      </c>
    </row>
    <row r="5" customFormat="false" ht="15" hidden="false" customHeight="false" outlineLevel="0" collapsed="false">
      <c r="A5" s="5" t="s">
        <v>81</v>
      </c>
      <c r="B5" s="5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20" min="16" style="0" width="14"/>
    <col collapsed="false" customWidth="true" hidden="false" outlineLevel="0" max="21" min="21" style="0" width="10"/>
    <col collapsed="false" customWidth="true" hidden="false" outlineLevel="0" max="22" min="22" style="0" width="16"/>
  </cols>
  <sheetData>
    <row r="1" customFormat="false" ht="39.55" hidden="false" customHeight="false" outlineLevel="0" collapsed="false">
      <c r="A1" s="4" t="s">
        <v>91</v>
      </c>
      <c r="B1" s="4" t="s">
        <v>34</v>
      </c>
      <c r="C1" s="4" t="s">
        <v>92</v>
      </c>
      <c r="D1" s="4" t="s">
        <v>36</v>
      </c>
      <c r="E1" s="4" t="s">
        <v>35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98</v>
      </c>
      <c r="L1" s="4" t="s">
        <v>99</v>
      </c>
      <c r="M1" s="4" t="s">
        <v>100</v>
      </c>
      <c r="N1" s="4" t="s">
        <v>101</v>
      </c>
      <c r="O1" s="4" t="s">
        <v>102</v>
      </c>
      <c r="P1" s="4" t="s">
        <v>103</v>
      </c>
      <c r="Q1" s="4" t="s">
        <v>104</v>
      </c>
      <c r="R1" s="4" t="s">
        <v>105</v>
      </c>
      <c r="S1" s="4" t="s">
        <v>106</v>
      </c>
      <c r="T1" s="4" t="s">
        <v>107</v>
      </c>
      <c r="U1" s="4" t="s">
        <v>108</v>
      </c>
      <c r="V1" s="4" t="s">
        <v>109</v>
      </c>
    </row>
    <row r="2" customFormat="false" ht="15" hidden="false" customHeight="false" outlineLevel="0" collapsed="false">
      <c r="A2" s="5" t="s">
        <v>110</v>
      </c>
      <c r="B2" s="5" t="s">
        <v>71</v>
      </c>
      <c r="C2" s="7" t="n">
        <v>45317</v>
      </c>
      <c r="D2" s="8" t="str">
        <f aca="false">INDEX(Dim_Supplier!$C$2:$C$21,MATCH(B2,Dim_Supplier!$A$2:$A$21,0))</f>
        <v>MRO</v>
      </c>
      <c r="E2" s="8" t="str">
        <f aca="false">INDEX(Dim_Supplier!$B$2:$B$21,MATCH(B2,Dim_Supplier!$A$2:$A$21,0))</f>
        <v>CanSafe Equipment Ltd.</v>
      </c>
      <c r="F2" s="5" t="s">
        <v>111</v>
      </c>
      <c r="G2" s="5" t="s">
        <v>112</v>
      </c>
      <c r="H2" s="8" t="n">
        <f aca="false">INDEX(Lookup_Tables!$B$2:$B$5,MATCH(D2,Lookup_Tables!$A$2:$A$5,0))</f>
        <v>10</v>
      </c>
      <c r="I2" s="9" t="n">
        <f aca="false">C2+H2</f>
        <v>45327</v>
      </c>
      <c r="J2" s="5" t="n">
        <v>0</v>
      </c>
      <c r="K2" s="9" t="n">
        <f aca="false">I2+J2</f>
        <v>45327</v>
      </c>
      <c r="L2" s="5" t="n">
        <v>178</v>
      </c>
      <c r="M2" s="10" t="n">
        <f aca="false">INDEX(Dim_Supplier!$F$2:$F$21,MATCH(B2,Dim_Supplier!$A$2:$A$21,0))</f>
        <v>18.75</v>
      </c>
      <c r="N2" s="11" t="n">
        <v>0.0622</v>
      </c>
      <c r="O2" s="10" t="n">
        <f aca="false">M2*(1+N2)</f>
        <v>19.91625</v>
      </c>
      <c r="P2" s="10" t="n">
        <f aca="false">O2*L2</f>
        <v>3545.0925</v>
      </c>
      <c r="Q2" s="5" t="s">
        <v>113</v>
      </c>
      <c r="R2" s="5" t="n">
        <v>0</v>
      </c>
      <c r="S2" s="5" t="n">
        <v>45</v>
      </c>
      <c r="T2" s="12" t="n">
        <f aca="false">(O2-M2)/M2</f>
        <v>0.0622000000000001</v>
      </c>
      <c r="U2" s="8" t="n">
        <f aca="false">IF(AND(K2&lt;=I2,R2=0),1,0)</f>
        <v>1</v>
      </c>
      <c r="V2" s="10" t="n">
        <f aca="false">IF(Q2="No",P2,0)</f>
        <v>0</v>
      </c>
    </row>
    <row r="3" customFormat="false" ht="15" hidden="false" customHeight="false" outlineLevel="0" collapsed="false">
      <c r="A3" s="5" t="s">
        <v>114</v>
      </c>
      <c r="B3" s="5" t="s">
        <v>41</v>
      </c>
      <c r="C3" s="7" t="n">
        <v>45387</v>
      </c>
      <c r="D3" s="8" t="str">
        <f aca="false">INDEX(Dim_Supplier!$C$2:$C$21,MATCH(B3,Dim_Supplier!$A$2:$A$21,0))</f>
        <v>Raw Materials</v>
      </c>
      <c r="E3" s="8" t="str">
        <f aca="false">INDEX(Dim_Supplier!$B$2:$B$21,MATCH(B3,Dim_Supplier!$A$2:$A$21,0))</f>
        <v>Ontario Steel Partners</v>
      </c>
      <c r="F3" s="5" t="s">
        <v>115</v>
      </c>
      <c r="G3" s="5" t="s">
        <v>112</v>
      </c>
      <c r="H3" s="8" t="n">
        <f aca="false">INDEX(Lookup_Tables!$B$2:$B$5,MATCH(D3,Lookup_Tables!$A$2:$A$5,0))</f>
        <v>21</v>
      </c>
      <c r="I3" s="9" t="n">
        <f aca="false">C3+H3</f>
        <v>45408</v>
      </c>
      <c r="J3" s="5" t="n">
        <v>-3</v>
      </c>
      <c r="K3" s="9" t="n">
        <f aca="false">I3+J3</f>
        <v>45405</v>
      </c>
      <c r="L3" s="5" t="n">
        <v>507</v>
      </c>
      <c r="M3" s="10" t="n">
        <f aca="false">INDEX(Dim_Supplier!$F$2:$F$21,MATCH(B3,Dim_Supplier!$A$2:$A$21,0))</f>
        <v>58</v>
      </c>
      <c r="N3" s="11" t="n">
        <v>0.0098</v>
      </c>
      <c r="O3" s="10" t="n">
        <f aca="false">M3*(1+N3)</f>
        <v>58.5684</v>
      </c>
      <c r="P3" s="10" t="n">
        <f aca="false">O3*L3</f>
        <v>29694.1788</v>
      </c>
      <c r="Q3" s="5" t="s">
        <v>113</v>
      </c>
      <c r="R3" s="5" t="n">
        <v>0</v>
      </c>
      <c r="S3" s="5" t="n">
        <v>30</v>
      </c>
      <c r="T3" s="12" t="n">
        <f aca="false">(O3-M3)/M3</f>
        <v>0.00980000000000007</v>
      </c>
      <c r="U3" s="8" t="n">
        <f aca="false">IF(AND(K3&lt;=I3,R3=0),1,0)</f>
        <v>1</v>
      </c>
      <c r="V3" s="10" t="n">
        <f aca="false">IF(Q3="No",P3,0)</f>
        <v>0</v>
      </c>
    </row>
    <row r="4" customFormat="false" ht="15" hidden="false" customHeight="false" outlineLevel="0" collapsed="false">
      <c r="A4" s="5" t="s">
        <v>116</v>
      </c>
      <c r="B4" s="5" t="s">
        <v>62</v>
      </c>
      <c r="C4" s="7" t="n">
        <v>45576</v>
      </c>
      <c r="D4" s="8" t="str">
        <f aca="false">INDEX(Dim_Supplier!$C$2:$C$21,MATCH(B4,Dim_Supplier!$A$2:$A$21,0))</f>
        <v>Packaging</v>
      </c>
      <c r="E4" s="8" t="str">
        <f aca="false">INDEX(Dim_Supplier!$B$2:$B$21,MATCH(B4,Dim_Supplier!$A$2:$A$21,0))</f>
        <v>Trillium Packaging Solutions</v>
      </c>
      <c r="F4" s="5" t="s">
        <v>117</v>
      </c>
      <c r="G4" s="5" t="s">
        <v>112</v>
      </c>
      <c r="H4" s="8" t="n">
        <f aca="false">INDEX(Lookup_Tables!$B$2:$B$5,MATCH(D4,Lookup_Tables!$A$2:$A$5,0))</f>
        <v>14</v>
      </c>
      <c r="I4" s="9" t="n">
        <f aca="false">C4+H4</f>
        <v>45590</v>
      </c>
      <c r="J4" s="5" t="n">
        <v>-4</v>
      </c>
      <c r="K4" s="9" t="n">
        <f aca="false">I4+J4</f>
        <v>45586</v>
      </c>
      <c r="L4" s="5" t="n">
        <v>1773</v>
      </c>
      <c r="M4" s="10" t="n">
        <f aca="false">INDEX(Dim_Supplier!$F$2:$F$21,MATCH(B4,Dim_Supplier!$A$2:$A$21,0))</f>
        <v>5.6</v>
      </c>
      <c r="N4" s="11" t="n">
        <v>0.0027</v>
      </c>
      <c r="O4" s="10" t="n">
        <f aca="false">M4*(1+N4)</f>
        <v>5.61512</v>
      </c>
      <c r="P4" s="10" t="n">
        <f aca="false">O4*L4</f>
        <v>9955.60776</v>
      </c>
      <c r="Q4" s="5" t="s">
        <v>113</v>
      </c>
      <c r="R4" s="5" t="n">
        <v>0</v>
      </c>
      <c r="S4" s="5" t="n">
        <v>30</v>
      </c>
      <c r="T4" s="12" t="n">
        <f aca="false">(O4-M4)/M4</f>
        <v>0.00269999999999992</v>
      </c>
      <c r="U4" s="8" t="n">
        <f aca="false">IF(AND(K4&lt;=I4,R4=0),1,0)</f>
        <v>1</v>
      </c>
      <c r="V4" s="10" t="n">
        <f aca="false">IF(Q4="No",P4,0)</f>
        <v>0</v>
      </c>
    </row>
    <row r="5" customFormat="false" ht="15" hidden="false" customHeight="false" outlineLevel="0" collapsed="false">
      <c r="A5" s="5" t="s">
        <v>118</v>
      </c>
      <c r="B5" s="5" t="s">
        <v>60</v>
      </c>
      <c r="C5" s="7" t="n">
        <v>45659</v>
      </c>
      <c r="D5" s="8" t="str">
        <f aca="false">INDEX(Dim_Supplier!$C$2:$C$21,MATCH(B5,Dim_Supplier!$A$2:$A$21,0))</f>
        <v>Packaging</v>
      </c>
      <c r="E5" s="8" t="str">
        <f aca="false">INDEX(Dim_Supplier!$B$2:$B$21,MATCH(B5,Dim_Supplier!$A$2:$A$21,0))</f>
        <v>Maple Leaf Box &amp; Crate</v>
      </c>
      <c r="F5" s="5" t="s">
        <v>119</v>
      </c>
      <c r="G5" s="5" t="s">
        <v>120</v>
      </c>
      <c r="H5" s="8" t="n">
        <f aca="false">INDEX(Lookup_Tables!$B$2:$B$5,MATCH(D5,Lookup_Tables!$A$2:$A$5,0))</f>
        <v>14</v>
      </c>
      <c r="I5" s="9" t="n">
        <f aca="false">C5+H5</f>
        <v>45673</v>
      </c>
      <c r="J5" s="5" t="n">
        <v>0</v>
      </c>
      <c r="K5" s="9" t="n">
        <f aca="false">I5+J5</f>
        <v>45673</v>
      </c>
      <c r="L5" s="5" t="n">
        <v>4892</v>
      </c>
      <c r="M5" s="10" t="n">
        <f aca="false">INDEX(Dim_Supplier!$F$2:$F$21,MATCH(B5,Dim_Supplier!$A$2:$A$21,0))</f>
        <v>3.1</v>
      </c>
      <c r="N5" s="11" t="n">
        <v>0.0097</v>
      </c>
      <c r="O5" s="10" t="n">
        <f aca="false">M5*(1+N5)</f>
        <v>3.13007</v>
      </c>
      <c r="P5" s="10" t="n">
        <f aca="false">O5*L5</f>
        <v>15312.30244</v>
      </c>
      <c r="Q5" s="5" t="s">
        <v>113</v>
      </c>
      <c r="R5" s="5" t="n">
        <v>0</v>
      </c>
      <c r="S5" s="5" t="n">
        <v>30</v>
      </c>
      <c r="T5" s="12" t="n">
        <f aca="false">(O5-M5)/M5</f>
        <v>0.00970000000000009</v>
      </c>
      <c r="U5" s="8" t="n">
        <f aca="false">IF(AND(K5&lt;=I5,R5=0),1,0)</f>
        <v>1</v>
      </c>
      <c r="V5" s="10" t="n">
        <f aca="false">IF(Q5="No",P5,0)</f>
        <v>0</v>
      </c>
    </row>
    <row r="6" customFormat="false" ht="15" hidden="false" customHeight="false" outlineLevel="0" collapsed="false">
      <c r="A6" s="5" t="s">
        <v>121</v>
      </c>
      <c r="B6" s="5" t="s">
        <v>57</v>
      </c>
      <c r="C6" s="7" t="n">
        <v>45935</v>
      </c>
      <c r="D6" s="8" t="str">
        <f aca="false">INDEX(Dim_Supplier!$C$2:$C$21,MATCH(B6,Dim_Supplier!$A$2:$A$21,0))</f>
        <v>Packaging</v>
      </c>
      <c r="E6" s="8" t="str">
        <f aca="false">INDEX(Dim_Supplier!$B$2:$B$21,MATCH(B6,Dim_Supplier!$A$2:$A$21,0))</f>
        <v>Great Lakes Packaging Co.</v>
      </c>
      <c r="F6" s="5" t="s">
        <v>122</v>
      </c>
      <c r="G6" s="5" t="s">
        <v>120</v>
      </c>
      <c r="H6" s="8" t="n">
        <f aca="false">INDEX(Lookup_Tables!$B$2:$B$5,MATCH(D6,Lookup_Tables!$A$2:$A$5,0))</f>
        <v>14</v>
      </c>
      <c r="I6" s="9" t="n">
        <f aca="false">C6+H6</f>
        <v>45949</v>
      </c>
      <c r="J6" s="5" t="n">
        <v>-4</v>
      </c>
      <c r="K6" s="9" t="n">
        <f aca="false">I6+J6</f>
        <v>45945</v>
      </c>
      <c r="L6" s="5" t="n">
        <v>875</v>
      </c>
      <c r="M6" s="10" t="n">
        <f aca="false">INDEX(Dim_Supplier!$F$2:$F$21,MATCH(B6,Dim_Supplier!$A$2:$A$21,0))</f>
        <v>4.35</v>
      </c>
      <c r="N6" s="11" t="n">
        <v>-0.0046</v>
      </c>
      <c r="O6" s="10" t="n">
        <f aca="false">M6*(1+N6)</f>
        <v>4.32999</v>
      </c>
      <c r="P6" s="10" t="n">
        <f aca="false">O6*L6</f>
        <v>3788.74125</v>
      </c>
      <c r="Q6" s="5" t="s">
        <v>113</v>
      </c>
      <c r="R6" s="5" t="n">
        <v>0</v>
      </c>
      <c r="S6" s="5" t="n">
        <v>60</v>
      </c>
      <c r="T6" s="12" t="n">
        <f aca="false">(O6-M6)/M6</f>
        <v>-0.00460000000000002</v>
      </c>
      <c r="U6" s="8" t="n">
        <f aca="false">IF(AND(K6&lt;=I6,R6=0),1,0)</f>
        <v>1</v>
      </c>
      <c r="V6" s="10" t="n">
        <f aca="false">IF(Q6="No",P6,0)</f>
        <v>0</v>
      </c>
    </row>
    <row r="7" customFormat="false" ht="15" hidden="false" customHeight="false" outlineLevel="0" collapsed="false">
      <c r="A7" s="5" t="s">
        <v>123</v>
      </c>
      <c r="B7" s="5" t="s">
        <v>82</v>
      </c>
      <c r="C7" s="7" t="n">
        <v>46179</v>
      </c>
      <c r="D7" s="8" t="str">
        <f aca="false">INDEX(Dim_Supplier!$C$2:$C$21,MATCH(B7,Dim_Supplier!$A$2:$A$21,0))</f>
        <v>Logistics</v>
      </c>
      <c r="E7" s="8" t="str">
        <f aca="false">INDEX(Dim_Supplier!$B$2:$B$21,MATCH(B7,Dim_Supplier!$A$2:$A$21,0))</f>
        <v>Maple Route Logistics</v>
      </c>
      <c r="F7" s="5" t="s">
        <v>124</v>
      </c>
      <c r="G7" s="5" t="s">
        <v>125</v>
      </c>
      <c r="H7" s="8" t="n">
        <f aca="false">INDEX(Lookup_Tables!$B$2:$B$5,MATCH(D7,Lookup_Tables!$A$2:$A$5,0))</f>
        <v>5</v>
      </c>
      <c r="I7" s="9" t="n">
        <f aca="false">C7+H7</f>
        <v>46184</v>
      </c>
      <c r="J7" s="5" t="n">
        <v>-1</v>
      </c>
      <c r="K7" s="9" t="n">
        <f aca="false">I7+J7</f>
        <v>46183</v>
      </c>
      <c r="L7" s="5" t="n">
        <v>24</v>
      </c>
      <c r="M7" s="10" t="n">
        <f aca="false">INDEX(Dim_Supplier!$F$2:$F$21,MATCH(B7,Dim_Supplier!$A$2:$A$21,0))</f>
        <v>285</v>
      </c>
      <c r="N7" s="11" t="n">
        <v>0.058</v>
      </c>
      <c r="O7" s="10" t="n">
        <f aca="false">M7*(1+N7)</f>
        <v>301.53</v>
      </c>
      <c r="P7" s="10" t="n">
        <f aca="false">O7*L7</f>
        <v>7236.72</v>
      </c>
      <c r="Q7" s="5" t="s">
        <v>113</v>
      </c>
      <c r="R7" s="5" t="n">
        <v>0</v>
      </c>
      <c r="S7" s="5" t="n">
        <v>45</v>
      </c>
      <c r="T7" s="12" t="n">
        <f aca="false">(O7-M7)/M7</f>
        <v>0.0580000000000001</v>
      </c>
      <c r="U7" s="8" t="n">
        <f aca="false">IF(AND(K7&lt;=I7,R7=0),1,0)</f>
        <v>1</v>
      </c>
      <c r="V7" s="10" t="n">
        <f aca="false">IF(Q7="No",P7,0)</f>
        <v>0</v>
      </c>
    </row>
    <row r="8" customFormat="false" ht="15" hidden="false" customHeight="false" outlineLevel="0" collapsed="false">
      <c r="A8" s="5" t="s">
        <v>126</v>
      </c>
      <c r="B8" s="5" t="s">
        <v>75</v>
      </c>
      <c r="C8" s="7" t="n">
        <v>45991</v>
      </c>
      <c r="D8" s="8" t="str">
        <f aca="false">INDEX(Dim_Supplier!$C$2:$C$21,MATCH(B8,Dim_Supplier!$A$2:$A$21,0))</f>
        <v>MRO</v>
      </c>
      <c r="E8" s="8" t="str">
        <f aca="false">INDEX(Dim_Supplier!$B$2:$B$21,MATCH(B8,Dim_Supplier!$A$2:$A$21,0))</f>
        <v>Sterling Lubricants Inc.</v>
      </c>
      <c r="F8" s="5" t="s">
        <v>127</v>
      </c>
      <c r="G8" s="5" t="s">
        <v>112</v>
      </c>
      <c r="H8" s="8" t="n">
        <f aca="false">INDEX(Lookup_Tables!$B$2:$B$5,MATCH(D8,Lookup_Tables!$A$2:$A$5,0))</f>
        <v>10</v>
      </c>
      <c r="I8" s="9" t="n">
        <f aca="false">C8+H8</f>
        <v>46001</v>
      </c>
      <c r="J8" s="5" t="n">
        <v>-4</v>
      </c>
      <c r="K8" s="9" t="n">
        <f aca="false">I8+J8</f>
        <v>45997</v>
      </c>
      <c r="L8" s="5" t="n">
        <v>123</v>
      </c>
      <c r="M8" s="10" t="n">
        <f aca="false">INDEX(Dim_Supplier!$F$2:$F$21,MATCH(B8,Dim_Supplier!$A$2:$A$21,0))</f>
        <v>27.1</v>
      </c>
      <c r="N8" s="11" t="n">
        <v>0.0168</v>
      </c>
      <c r="O8" s="10" t="n">
        <f aca="false">M8*(1+N8)</f>
        <v>27.55528</v>
      </c>
      <c r="P8" s="10" t="n">
        <f aca="false">O8*L8</f>
        <v>3389.29944</v>
      </c>
      <c r="Q8" s="5" t="s">
        <v>113</v>
      </c>
      <c r="R8" s="5" t="n">
        <v>0</v>
      </c>
      <c r="S8" s="5" t="n">
        <v>45</v>
      </c>
      <c r="T8" s="12" t="n">
        <f aca="false">(O8-M8)/M8</f>
        <v>0.0167999999999999</v>
      </c>
      <c r="U8" s="8" t="n">
        <f aca="false">IF(AND(K8&lt;=I8,R8=0),1,0)</f>
        <v>1</v>
      </c>
      <c r="V8" s="10" t="n">
        <f aca="false">IF(Q8="No",P8,0)</f>
        <v>0</v>
      </c>
    </row>
    <row r="9" customFormat="false" ht="15" hidden="false" customHeight="false" outlineLevel="0" collapsed="false">
      <c r="A9" s="5" t="s">
        <v>128</v>
      </c>
      <c r="B9" s="5" t="s">
        <v>68</v>
      </c>
      <c r="C9" s="7" t="n">
        <v>45993</v>
      </c>
      <c r="D9" s="8" t="str">
        <f aca="false">INDEX(Dim_Supplier!$C$2:$C$21,MATCH(B9,Dim_Supplier!$A$2:$A$21,0))</f>
        <v>MRO</v>
      </c>
      <c r="E9" s="8" t="str">
        <f aca="false">INDEX(Dim_Supplier!$B$2:$B$21,MATCH(B9,Dim_Supplier!$A$2:$A$21,0))</f>
        <v>Precision Tool &amp; Supply</v>
      </c>
      <c r="F9" s="5" t="s">
        <v>111</v>
      </c>
      <c r="G9" s="5" t="s">
        <v>129</v>
      </c>
      <c r="H9" s="8" t="n">
        <f aca="false">INDEX(Lookup_Tables!$B$2:$B$5,MATCH(D9,Lookup_Tables!$A$2:$A$5,0))</f>
        <v>10</v>
      </c>
      <c r="I9" s="9" t="n">
        <f aca="false">C9+H9</f>
        <v>46003</v>
      </c>
      <c r="J9" s="5" t="n">
        <v>-3</v>
      </c>
      <c r="K9" s="9" t="n">
        <f aca="false">I9+J9</f>
        <v>46000</v>
      </c>
      <c r="L9" s="5" t="n">
        <v>85</v>
      </c>
      <c r="M9" s="10" t="n">
        <f aca="false">INDEX(Dim_Supplier!$F$2:$F$21,MATCH(B9,Dim_Supplier!$A$2:$A$21,0))</f>
        <v>22.4</v>
      </c>
      <c r="N9" s="11" t="n">
        <v>0.0151</v>
      </c>
      <c r="O9" s="10" t="n">
        <f aca="false">M9*(1+N9)</f>
        <v>22.73824</v>
      </c>
      <c r="P9" s="10" t="n">
        <f aca="false">O9*L9</f>
        <v>1932.7504</v>
      </c>
      <c r="Q9" s="5" t="s">
        <v>113</v>
      </c>
      <c r="R9" s="5" t="n">
        <v>0</v>
      </c>
      <c r="S9" s="5" t="n">
        <v>60</v>
      </c>
      <c r="T9" s="12" t="n">
        <f aca="false">(O9-M9)/M9</f>
        <v>0.0151</v>
      </c>
      <c r="U9" s="8" t="n">
        <f aca="false">IF(AND(K9&lt;=I9,R9=0),1,0)</f>
        <v>1</v>
      </c>
      <c r="V9" s="10" t="n">
        <f aca="false">IF(Q9="No",P9,0)</f>
        <v>0</v>
      </c>
    </row>
    <row r="10" customFormat="false" ht="15" hidden="false" customHeight="false" outlineLevel="0" collapsed="false">
      <c r="A10" s="5" t="s">
        <v>130</v>
      </c>
      <c r="B10" s="5" t="s">
        <v>68</v>
      </c>
      <c r="C10" s="7" t="n">
        <v>46027</v>
      </c>
      <c r="D10" s="8" t="str">
        <f aca="false">INDEX(Dim_Supplier!$C$2:$C$21,MATCH(B10,Dim_Supplier!$A$2:$A$21,0))</f>
        <v>MRO</v>
      </c>
      <c r="E10" s="8" t="str">
        <f aca="false">INDEX(Dim_Supplier!$B$2:$B$21,MATCH(B10,Dim_Supplier!$A$2:$A$21,0))</f>
        <v>Precision Tool &amp; Supply</v>
      </c>
      <c r="F10" s="5" t="s">
        <v>111</v>
      </c>
      <c r="G10" s="5" t="s">
        <v>112</v>
      </c>
      <c r="H10" s="8" t="n">
        <f aca="false">INDEX(Lookup_Tables!$B$2:$B$5,MATCH(D10,Lookup_Tables!$A$2:$A$5,0))</f>
        <v>10</v>
      </c>
      <c r="I10" s="9" t="n">
        <f aca="false">C10+H10</f>
        <v>46037</v>
      </c>
      <c r="J10" s="5" t="n">
        <v>-4</v>
      </c>
      <c r="K10" s="9" t="n">
        <f aca="false">I10+J10</f>
        <v>46033</v>
      </c>
      <c r="L10" s="5" t="n">
        <v>169</v>
      </c>
      <c r="M10" s="10" t="n">
        <f aca="false">INDEX(Dim_Supplier!$F$2:$F$21,MATCH(B10,Dim_Supplier!$A$2:$A$21,0))</f>
        <v>22.4</v>
      </c>
      <c r="N10" s="11" t="n">
        <v>-0.0066</v>
      </c>
      <c r="O10" s="10" t="n">
        <f aca="false">M10*(1+N10)</f>
        <v>22.25216</v>
      </c>
      <c r="P10" s="10" t="n">
        <f aca="false">O10*L10</f>
        <v>3760.61504</v>
      </c>
      <c r="Q10" s="5" t="s">
        <v>113</v>
      </c>
      <c r="R10" s="5" t="n">
        <v>0</v>
      </c>
      <c r="S10" s="5" t="n">
        <v>30</v>
      </c>
      <c r="T10" s="12" t="n">
        <f aca="false">(O10-M10)/M10</f>
        <v>-0.0066000000000001</v>
      </c>
      <c r="U10" s="8" t="n">
        <f aca="false">IF(AND(K10&lt;=I10,R10=0),1,0)</f>
        <v>1</v>
      </c>
      <c r="V10" s="10" t="n">
        <f aca="false">IF(Q10="No",P10,0)</f>
        <v>0</v>
      </c>
    </row>
    <row r="11" customFormat="false" ht="15" hidden="false" customHeight="false" outlineLevel="0" collapsed="false">
      <c r="A11" s="5" t="s">
        <v>131</v>
      </c>
      <c r="B11" s="5" t="s">
        <v>68</v>
      </c>
      <c r="C11" s="7" t="n">
        <v>45561</v>
      </c>
      <c r="D11" s="8" t="str">
        <f aca="false">INDEX(Dim_Supplier!$C$2:$C$21,MATCH(B11,Dim_Supplier!$A$2:$A$21,0))</f>
        <v>MRO</v>
      </c>
      <c r="E11" s="8" t="str">
        <f aca="false">INDEX(Dim_Supplier!$B$2:$B$21,MATCH(B11,Dim_Supplier!$A$2:$A$21,0))</f>
        <v>Precision Tool &amp; Supply</v>
      </c>
      <c r="F11" s="5" t="s">
        <v>132</v>
      </c>
      <c r="G11" s="5" t="s">
        <v>125</v>
      </c>
      <c r="H11" s="8" t="n">
        <f aca="false">INDEX(Lookup_Tables!$B$2:$B$5,MATCH(D11,Lookup_Tables!$A$2:$A$5,0))</f>
        <v>10</v>
      </c>
      <c r="I11" s="9" t="n">
        <f aca="false">C11+H11</f>
        <v>45571</v>
      </c>
      <c r="J11" s="5" t="n">
        <v>-1</v>
      </c>
      <c r="K11" s="9" t="n">
        <f aca="false">I11+J11</f>
        <v>45570</v>
      </c>
      <c r="L11" s="5" t="n">
        <v>61</v>
      </c>
      <c r="M11" s="10" t="n">
        <f aca="false">INDEX(Dim_Supplier!$F$2:$F$21,MATCH(B11,Dim_Supplier!$A$2:$A$21,0))</f>
        <v>22.4</v>
      </c>
      <c r="N11" s="11" t="n">
        <v>-0.0021</v>
      </c>
      <c r="O11" s="10" t="n">
        <f aca="false">M11*(1+N11)</f>
        <v>22.35296</v>
      </c>
      <c r="P11" s="10" t="n">
        <f aca="false">O11*L11</f>
        <v>1363.53056</v>
      </c>
      <c r="Q11" s="5" t="s">
        <v>133</v>
      </c>
      <c r="R11" s="5" t="n">
        <v>0</v>
      </c>
      <c r="S11" s="5" t="n">
        <v>30</v>
      </c>
      <c r="T11" s="12" t="n">
        <f aca="false">(O11-M11)/M11</f>
        <v>-0.00209999999999996</v>
      </c>
      <c r="U11" s="8" t="n">
        <f aca="false">IF(AND(K11&lt;=I11,R11=0),1,0)</f>
        <v>1</v>
      </c>
      <c r="V11" s="10" t="n">
        <f aca="false">IF(Q11="No",P11,0)</f>
        <v>1363.53056</v>
      </c>
    </row>
    <row r="12" customFormat="false" ht="15" hidden="false" customHeight="false" outlineLevel="0" collapsed="false">
      <c r="A12" s="5" t="s">
        <v>134</v>
      </c>
      <c r="B12" s="5" t="s">
        <v>79</v>
      </c>
      <c r="C12" s="7" t="n">
        <v>46173</v>
      </c>
      <c r="D12" s="8" t="str">
        <f aca="false">INDEX(Dim_Supplier!$C$2:$C$21,MATCH(B12,Dim_Supplier!$A$2:$A$21,0))</f>
        <v>Logistics</v>
      </c>
      <c r="E12" s="8" t="str">
        <f aca="false">INDEX(Dim_Supplier!$B$2:$B$21,MATCH(B12,Dim_Supplier!$A$2:$A$21,0))</f>
        <v>Niagara Freight Solutions</v>
      </c>
      <c r="F12" s="5" t="s">
        <v>124</v>
      </c>
      <c r="G12" s="5" t="s">
        <v>112</v>
      </c>
      <c r="H12" s="8" t="n">
        <f aca="false">INDEX(Lookup_Tables!$B$2:$B$5,MATCH(D12,Lookup_Tables!$A$2:$A$5,0))</f>
        <v>5</v>
      </c>
      <c r="I12" s="9" t="n">
        <f aca="false">C12+H12</f>
        <v>46178</v>
      </c>
      <c r="J12" s="5" t="n">
        <v>-4</v>
      </c>
      <c r="K12" s="9" t="n">
        <f aca="false">I12+J12</f>
        <v>46174</v>
      </c>
      <c r="L12" s="5" t="n">
        <v>28</v>
      </c>
      <c r="M12" s="10" t="n">
        <f aca="false">INDEX(Dim_Supplier!$F$2:$F$21,MATCH(B12,Dim_Supplier!$A$2:$A$21,0))</f>
        <v>340</v>
      </c>
      <c r="N12" s="11" t="n">
        <v>-0.0154</v>
      </c>
      <c r="O12" s="10" t="n">
        <f aca="false">M12*(1+N12)</f>
        <v>334.764</v>
      </c>
      <c r="P12" s="10" t="n">
        <f aca="false">O12*L12</f>
        <v>9373.392</v>
      </c>
      <c r="Q12" s="5" t="s">
        <v>113</v>
      </c>
      <c r="R12" s="5" t="n">
        <v>0</v>
      </c>
      <c r="S12" s="5" t="n">
        <v>45</v>
      </c>
      <c r="T12" s="12" t="n">
        <f aca="false">(O12-M12)/M12</f>
        <v>-0.0154</v>
      </c>
      <c r="U12" s="8" t="n">
        <f aca="false">IF(AND(K12&lt;=I12,R12=0),1,0)</f>
        <v>1</v>
      </c>
      <c r="V12" s="10" t="n">
        <f aca="false">IF(Q12="No",P12,0)</f>
        <v>0</v>
      </c>
    </row>
    <row r="13" customFormat="false" ht="15" hidden="false" customHeight="false" outlineLevel="0" collapsed="false">
      <c r="A13" s="5" t="s">
        <v>135</v>
      </c>
      <c r="B13" s="5" t="s">
        <v>62</v>
      </c>
      <c r="C13" s="7" t="n">
        <v>45549</v>
      </c>
      <c r="D13" s="8" t="str">
        <f aca="false">INDEX(Dim_Supplier!$C$2:$C$21,MATCH(B13,Dim_Supplier!$A$2:$A$21,0))</f>
        <v>Packaging</v>
      </c>
      <c r="E13" s="8" t="str">
        <f aca="false">INDEX(Dim_Supplier!$B$2:$B$21,MATCH(B13,Dim_Supplier!$A$2:$A$21,0))</f>
        <v>Trillium Packaging Solutions</v>
      </c>
      <c r="F13" s="5" t="s">
        <v>122</v>
      </c>
      <c r="G13" s="5" t="s">
        <v>129</v>
      </c>
      <c r="H13" s="8" t="n">
        <f aca="false">INDEX(Lookup_Tables!$B$2:$B$5,MATCH(D13,Lookup_Tables!$A$2:$A$5,0))</f>
        <v>14</v>
      </c>
      <c r="I13" s="9" t="n">
        <f aca="false">C13+H13</f>
        <v>45563</v>
      </c>
      <c r="J13" s="5" t="n">
        <v>-3</v>
      </c>
      <c r="K13" s="9" t="n">
        <f aca="false">I13+J13</f>
        <v>45560</v>
      </c>
      <c r="L13" s="5" t="n">
        <v>4898</v>
      </c>
      <c r="M13" s="10" t="n">
        <f aca="false">INDEX(Dim_Supplier!$F$2:$F$21,MATCH(B13,Dim_Supplier!$A$2:$A$21,0))</f>
        <v>5.6</v>
      </c>
      <c r="N13" s="11" t="n">
        <v>0.0111</v>
      </c>
      <c r="O13" s="10" t="n">
        <f aca="false">M13*(1+N13)</f>
        <v>5.66216</v>
      </c>
      <c r="P13" s="10" t="n">
        <f aca="false">O13*L13</f>
        <v>27733.25968</v>
      </c>
      <c r="Q13" s="5" t="s">
        <v>113</v>
      </c>
      <c r="R13" s="5" t="n">
        <v>0</v>
      </c>
      <c r="S13" s="5" t="n">
        <v>30</v>
      </c>
      <c r="T13" s="12" t="n">
        <f aca="false">(O13-M13)/M13</f>
        <v>0.0111000000000001</v>
      </c>
      <c r="U13" s="8" t="n">
        <f aca="false">IF(AND(K13&lt;=I13,R13=0),1,0)</f>
        <v>1</v>
      </c>
      <c r="V13" s="10" t="n">
        <f aca="false">IF(Q13="No",P13,0)</f>
        <v>0</v>
      </c>
    </row>
    <row r="14" customFormat="false" ht="15" hidden="false" customHeight="false" outlineLevel="0" collapsed="false">
      <c r="A14" s="5" t="s">
        <v>136</v>
      </c>
      <c r="B14" s="5" t="s">
        <v>57</v>
      </c>
      <c r="C14" s="7" t="n">
        <v>45453</v>
      </c>
      <c r="D14" s="8" t="str">
        <f aca="false">INDEX(Dim_Supplier!$C$2:$C$21,MATCH(B14,Dim_Supplier!$A$2:$A$21,0))</f>
        <v>Packaging</v>
      </c>
      <c r="E14" s="8" t="str">
        <f aca="false">INDEX(Dim_Supplier!$B$2:$B$21,MATCH(B14,Dim_Supplier!$A$2:$A$21,0))</f>
        <v>Great Lakes Packaging Co.</v>
      </c>
      <c r="F14" s="5" t="s">
        <v>137</v>
      </c>
      <c r="G14" s="5" t="s">
        <v>129</v>
      </c>
      <c r="H14" s="8" t="n">
        <f aca="false">INDEX(Lookup_Tables!$B$2:$B$5,MATCH(D14,Lookup_Tables!$A$2:$A$5,0))</f>
        <v>14</v>
      </c>
      <c r="I14" s="9" t="n">
        <f aca="false">C14+H14</f>
        <v>45467</v>
      </c>
      <c r="J14" s="5" t="n">
        <v>1</v>
      </c>
      <c r="K14" s="9" t="n">
        <f aca="false">I14+J14</f>
        <v>45468</v>
      </c>
      <c r="L14" s="5" t="n">
        <v>2657</v>
      </c>
      <c r="M14" s="10" t="n">
        <f aca="false">INDEX(Dim_Supplier!$F$2:$F$21,MATCH(B14,Dim_Supplier!$A$2:$A$21,0))</f>
        <v>4.35</v>
      </c>
      <c r="N14" s="11" t="n">
        <v>-0.0017</v>
      </c>
      <c r="O14" s="10" t="n">
        <f aca="false">M14*(1+N14)</f>
        <v>4.342605</v>
      </c>
      <c r="P14" s="10" t="n">
        <f aca="false">O14*L14</f>
        <v>11538.301485</v>
      </c>
      <c r="Q14" s="5" t="s">
        <v>133</v>
      </c>
      <c r="R14" s="5" t="n">
        <v>0</v>
      </c>
      <c r="S14" s="5" t="n">
        <v>45</v>
      </c>
      <c r="T14" s="12" t="n">
        <f aca="false">(O14-M14)/M14</f>
        <v>-0.00169999999999996</v>
      </c>
      <c r="U14" s="8" t="n">
        <f aca="false">IF(AND(K14&lt;=I14,R14=0),1,0)</f>
        <v>0</v>
      </c>
      <c r="V14" s="10" t="n">
        <f aca="false">IF(Q14="No",P14,0)</f>
        <v>11538.301485</v>
      </c>
    </row>
    <row r="15" customFormat="false" ht="15" hidden="false" customHeight="false" outlineLevel="0" collapsed="false">
      <c r="A15" s="5" t="s">
        <v>138</v>
      </c>
      <c r="B15" s="5" t="s">
        <v>46</v>
      </c>
      <c r="C15" s="7" t="n">
        <v>45932</v>
      </c>
      <c r="D15" s="8" t="str">
        <f aca="false">INDEX(Dim_Supplier!$C$2:$C$21,MATCH(B15,Dim_Supplier!$A$2:$A$21,0))</f>
        <v>Raw Materials</v>
      </c>
      <c r="E15" s="8" t="str">
        <f aca="false">INDEX(Dim_Supplier!$B$2:$B$21,MATCH(B15,Dim_Supplier!$A$2:$A$21,0))</f>
        <v>Niagara Alloy Supply</v>
      </c>
      <c r="F15" s="5" t="s">
        <v>139</v>
      </c>
      <c r="G15" s="5" t="s">
        <v>112</v>
      </c>
      <c r="H15" s="8" t="n">
        <f aca="false">INDEX(Lookup_Tables!$B$2:$B$5,MATCH(D15,Lookup_Tables!$A$2:$A$5,0))</f>
        <v>21</v>
      </c>
      <c r="I15" s="9" t="n">
        <f aca="false">C15+H15</f>
        <v>45953</v>
      </c>
      <c r="J15" s="5" t="n">
        <v>1</v>
      </c>
      <c r="K15" s="9" t="n">
        <f aca="false">I15+J15</f>
        <v>45954</v>
      </c>
      <c r="L15" s="5" t="n">
        <v>1204</v>
      </c>
      <c r="M15" s="10" t="n">
        <f aca="false">INDEX(Dim_Supplier!$F$2:$F$21,MATCH(B15,Dim_Supplier!$A$2:$A$21,0))</f>
        <v>46.5</v>
      </c>
      <c r="N15" s="11" t="n">
        <v>0.0578</v>
      </c>
      <c r="O15" s="10" t="n">
        <f aca="false">M15*(1+N15)</f>
        <v>49.1877</v>
      </c>
      <c r="P15" s="10" t="n">
        <f aca="false">O15*L15</f>
        <v>59221.9908</v>
      </c>
      <c r="Q15" s="5" t="s">
        <v>133</v>
      </c>
      <c r="R15" s="5" t="n">
        <v>0</v>
      </c>
      <c r="S15" s="5" t="n">
        <v>60</v>
      </c>
      <c r="T15" s="12" t="n">
        <f aca="false">(O15-M15)/M15</f>
        <v>0.0578000000000001</v>
      </c>
      <c r="U15" s="8" t="n">
        <f aca="false">IF(AND(K15&lt;=I15,R15=0),1,0)</f>
        <v>0</v>
      </c>
      <c r="V15" s="10" t="n">
        <f aca="false">IF(Q15="No",P15,0)</f>
        <v>59221.9908</v>
      </c>
    </row>
    <row r="16" customFormat="false" ht="15" hidden="false" customHeight="false" outlineLevel="0" collapsed="false">
      <c r="A16" s="5" t="s">
        <v>140</v>
      </c>
      <c r="B16" s="5" t="s">
        <v>71</v>
      </c>
      <c r="C16" s="7" t="n">
        <v>45792</v>
      </c>
      <c r="D16" s="8" t="str">
        <f aca="false">INDEX(Dim_Supplier!$C$2:$C$21,MATCH(B16,Dim_Supplier!$A$2:$A$21,0))</f>
        <v>MRO</v>
      </c>
      <c r="E16" s="8" t="str">
        <f aca="false">INDEX(Dim_Supplier!$B$2:$B$21,MATCH(B16,Dim_Supplier!$A$2:$A$21,0))</f>
        <v>CanSafe Equipment Ltd.</v>
      </c>
      <c r="F16" s="5" t="s">
        <v>127</v>
      </c>
      <c r="G16" s="5" t="s">
        <v>129</v>
      </c>
      <c r="H16" s="8" t="n">
        <f aca="false">INDEX(Lookup_Tables!$B$2:$B$5,MATCH(D16,Lookup_Tables!$A$2:$A$5,0))</f>
        <v>10</v>
      </c>
      <c r="I16" s="9" t="n">
        <f aca="false">C16+H16</f>
        <v>45802</v>
      </c>
      <c r="J16" s="5" t="n">
        <v>3</v>
      </c>
      <c r="K16" s="9" t="n">
        <f aca="false">I16+J16</f>
        <v>45805</v>
      </c>
      <c r="L16" s="5" t="n">
        <v>83</v>
      </c>
      <c r="M16" s="10" t="n">
        <f aca="false">INDEX(Dim_Supplier!$F$2:$F$21,MATCH(B16,Dim_Supplier!$A$2:$A$21,0))</f>
        <v>18.75</v>
      </c>
      <c r="N16" s="11" t="n">
        <v>0.0123</v>
      </c>
      <c r="O16" s="10" t="n">
        <f aca="false">M16*(1+N16)</f>
        <v>18.980625</v>
      </c>
      <c r="P16" s="10" t="n">
        <f aca="false">O16*L16</f>
        <v>1575.391875</v>
      </c>
      <c r="Q16" s="5" t="s">
        <v>113</v>
      </c>
      <c r="R16" s="5" t="n">
        <v>0</v>
      </c>
      <c r="S16" s="5" t="n">
        <v>45</v>
      </c>
      <c r="T16" s="12" t="n">
        <f aca="false">(O16-M16)/M16</f>
        <v>0.0123</v>
      </c>
      <c r="U16" s="8" t="n">
        <f aca="false">IF(AND(K16&lt;=I16,R16=0),1,0)</f>
        <v>0</v>
      </c>
      <c r="V16" s="10" t="n">
        <f aca="false">IF(Q16="No",P16,0)</f>
        <v>0</v>
      </c>
    </row>
    <row r="17" customFormat="false" ht="15" hidden="false" customHeight="false" outlineLevel="0" collapsed="false">
      <c r="A17" s="5" t="s">
        <v>141</v>
      </c>
      <c r="B17" s="5" t="s">
        <v>41</v>
      </c>
      <c r="C17" s="7" t="n">
        <v>46041</v>
      </c>
      <c r="D17" s="8" t="str">
        <f aca="false">INDEX(Dim_Supplier!$C$2:$C$21,MATCH(B17,Dim_Supplier!$A$2:$A$21,0))</f>
        <v>Raw Materials</v>
      </c>
      <c r="E17" s="8" t="str">
        <f aca="false">INDEX(Dim_Supplier!$B$2:$B$21,MATCH(B17,Dim_Supplier!$A$2:$A$21,0))</f>
        <v>Ontario Steel Partners</v>
      </c>
      <c r="F17" s="5" t="s">
        <v>142</v>
      </c>
      <c r="G17" s="5" t="s">
        <v>129</v>
      </c>
      <c r="H17" s="8" t="n">
        <f aca="false">INDEX(Lookup_Tables!$B$2:$B$5,MATCH(D17,Lookup_Tables!$A$2:$A$5,0))</f>
        <v>21</v>
      </c>
      <c r="I17" s="9" t="n">
        <f aca="false">C17+H17</f>
        <v>46062</v>
      </c>
      <c r="J17" s="5" t="n">
        <v>-1</v>
      </c>
      <c r="K17" s="9" t="n">
        <f aca="false">I17+J17</f>
        <v>46061</v>
      </c>
      <c r="L17" s="5" t="n">
        <v>357</v>
      </c>
      <c r="M17" s="10" t="n">
        <f aca="false">INDEX(Dim_Supplier!$F$2:$F$21,MATCH(B17,Dim_Supplier!$A$2:$A$21,0))</f>
        <v>58</v>
      </c>
      <c r="N17" s="11" t="n">
        <v>0.0066</v>
      </c>
      <c r="O17" s="10" t="n">
        <f aca="false">M17*(1+N17)</f>
        <v>58.3828</v>
      </c>
      <c r="P17" s="10" t="n">
        <f aca="false">O17*L17</f>
        <v>20842.6596</v>
      </c>
      <c r="Q17" s="5" t="s">
        <v>113</v>
      </c>
      <c r="R17" s="5" t="n">
        <v>0</v>
      </c>
      <c r="S17" s="5" t="n">
        <v>45</v>
      </c>
      <c r="T17" s="12" t="n">
        <f aca="false">(O17-M17)/M17</f>
        <v>0.00659999999999993</v>
      </c>
      <c r="U17" s="8" t="n">
        <f aca="false">IF(AND(K17&lt;=I17,R17=0),1,0)</f>
        <v>1</v>
      </c>
      <c r="V17" s="10" t="n">
        <f aca="false">IF(Q17="No",P17,0)</f>
        <v>0</v>
      </c>
    </row>
    <row r="18" customFormat="false" ht="15" hidden="false" customHeight="false" outlineLevel="0" collapsed="false">
      <c r="A18" s="5" t="s">
        <v>143</v>
      </c>
      <c r="B18" s="5" t="s">
        <v>54</v>
      </c>
      <c r="C18" s="7" t="n">
        <v>46185</v>
      </c>
      <c r="D18" s="8" t="str">
        <f aca="false">INDEX(Dim_Supplier!$C$2:$C$21,MATCH(B18,Dim_Supplier!$A$2:$A$21,0))</f>
        <v>Raw Materials</v>
      </c>
      <c r="E18" s="8" t="str">
        <f aca="false">INDEX(Dim_Supplier!$B$2:$B$21,MATCH(B18,Dim_Supplier!$A$2:$A$21,0))</f>
        <v>Northern Resin Solutions</v>
      </c>
      <c r="F18" s="5" t="s">
        <v>144</v>
      </c>
      <c r="G18" s="5" t="s">
        <v>125</v>
      </c>
      <c r="H18" s="8" t="n">
        <f aca="false">INDEX(Lookup_Tables!$B$2:$B$5,MATCH(D18,Lookup_Tables!$A$2:$A$5,0))</f>
        <v>21</v>
      </c>
      <c r="I18" s="9" t="n">
        <f aca="false">C18+H18</f>
        <v>46206</v>
      </c>
      <c r="J18" s="5" t="n">
        <v>3</v>
      </c>
      <c r="K18" s="9" t="n">
        <f aca="false">I18+J18</f>
        <v>46209</v>
      </c>
      <c r="L18" s="5" t="n">
        <v>1646</v>
      </c>
      <c r="M18" s="10" t="n">
        <f aca="false">INDEX(Dim_Supplier!$F$2:$F$21,MATCH(B18,Dim_Supplier!$A$2:$A$21,0))</f>
        <v>38.9</v>
      </c>
      <c r="N18" s="11" t="n">
        <v>0.0398</v>
      </c>
      <c r="O18" s="10" t="n">
        <f aca="false">M18*(1+N18)</f>
        <v>40.44822</v>
      </c>
      <c r="P18" s="10" t="n">
        <f aca="false">O18*L18</f>
        <v>66577.77012</v>
      </c>
      <c r="Q18" s="5" t="s">
        <v>113</v>
      </c>
      <c r="R18" s="5" t="n">
        <v>0</v>
      </c>
      <c r="S18" s="5" t="n">
        <v>30</v>
      </c>
      <c r="T18" s="12" t="n">
        <f aca="false">(O18-M18)/M18</f>
        <v>0.0398</v>
      </c>
      <c r="U18" s="8" t="n">
        <f aca="false">IF(AND(K18&lt;=I18,R18=0),1,0)</f>
        <v>0</v>
      </c>
      <c r="V18" s="10" t="n">
        <f aca="false">IF(Q18="No",P18,0)</f>
        <v>0</v>
      </c>
    </row>
    <row r="19" customFormat="false" ht="15" hidden="false" customHeight="false" outlineLevel="0" collapsed="false">
      <c r="A19" s="5" t="s">
        <v>145</v>
      </c>
      <c r="B19" s="5" t="s">
        <v>88</v>
      </c>
      <c r="C19" s="7" t="n">
        <v>45957</v>
      </c>
      <c r="D19" s="8" t="str">
        <f aca="false">INDEX(Dim_Supplier!$C$2:$C$21,MATCH(B19,Dim_Supplier!$A$2:$A$21,0))</f>
        <v>Logistics</v>
      </c>
      <c r="E19" s="8" t="str">
        <f aca="false">INDEX(Dim_Supplier!$B$2:$B$21,MATCH(B19,Dim_Supplier!$A$2:$A$21,0))</f>
        <v>Summit Last-Mile Delivery</v>
      </c>
      <c r="F19" s="5" t="s">
        <v>146</v>
      </c>
      <c r="G19" s="5" t="s">
        <v>125</v>
      </c>
      <c r="H19" s="8" t="n">
        <f aca="false">INDEX(Lookup_Tables!$B$2:$B$5,MATCH(D19,Lookup_Tables!$A$2:$A$5,0))</f>
        <v>5</v>
      </c>
      <c r="I19" s="9" t="n">
        <f aca="false">C19+H19</f>
        <v>45962</v>
      </c>
      <c r="J19" s="5" t="n">
        <v>1</v>
      </c>
      <c r="K19" s="9" t="n">
        <f aca="false">I19+J19</f>
        <v>45963</v>
      </c>
      <c r="L19" s="5" t="n">
        <v>16</v>
      </c>
      <c r="M19" s="10" t="n">
        <f aca="false">INDEX(Dim_Supplier!$F$2:$F$21,MATCH(B19,Dim_Supplier!$A$2:$A$21,0))</f>
        <v>95</v>
      </c>
      <c r="N19" s="11" t="n">
        <v>0.0271</v>
      </c>
      <c r="O19" s="10" t="n">
        <f aca="false">M19*(1+N19)</f>
        <v>97.5745</v>
      </c>
      <c r="P19" s="10" t="n">
        <f aca="false">O19*L19</f>
        <v>1561.192</v>
      </c>
      <c r="Q19" s="5" t="s">
        <v>113</v>
      </c>
      <c r="R19" s="5" t="n">
        <v>0</v>
      </c>
      <c r="S19" s="5" t="n">
        <v>45</v>
      </c>
      <c r="T19" s="12" t="n">
        <f aca="false">(O19-M19)/M19</f>
        <v>0.0270999999999999</v>
      </c>
      <c r="U19" s="8" t="n">
        <f aca="false">IF(AND(K19&lt;=I19,R19=0),1,0)</f>
        <v>0</v>
      </c>
      <c r="V19" s="10" t="n">
        <f aca="false">IF(Q19="No",P19,0)</f>
        <v>0</v>
      </c>
    </row>
    <row r="20" customFormat="false" ht="15" hidden="false" customHeight="false" outlineLevel="0" collapsed="false">
      <c r="A20" s="5" t="s">
        <v>147</v>
      </c>
      <c r="B20" s="5" t="s">
        <v>52</v>
      </c>
      <c r="C20" s="7" t="n">
        <v>45517</v>
      </c>
      <c r="D20" s="8" t="str">
        <f aca="false">INDEX(Dim_Supplier!$C$2:$C$21,MATCH(B20,Dim_Supplier!$A$2:$A$21,0))</f>
        <v>Raw Materials</v>
      </c>
      <c r="E20" s="8" t="str">
        <f aca="false">INDEX(Dim_Supplier!$B$2:$B$21,MATCH(B20,Dim_Supplier!$A$2:$A$21,0))</f>
        <v>Laurentian Metals Inc.</v>
      </c>
      <c r="F20" s="5" t="s">
        <v>148</v>
      </c>
      <c r="G20" s="5" t="s">
        <v>129</v>
      </c>
      <c r="H20" s="8" t="n">
        <f aca="false">INDEX(Lookup_Tables!$B$2:$B$5,MATCH(D20,Lookup_Tables!$A$2:$A$5,0))</f>
        <v>21</v>
      </c>
      <c r="I20" s="9" t="n">
        <f aca="false">C20+H20</f>
        <v>45538</v>
      </c>
      <c r="J20" s="5" t="n">
        <v>-3</v>
      </c>
      <c r="K20" s="9" t="n">
        <f aca="false">I20+J20</f>
        <v>45535</v>
      </c>
      <c r="L20" s="5" t="n">
        <v>238</v>
      </c>
      <c r="M20" s="10" t="n">
        <f aca="false">INDEX(Dim_Supplier!$F$2:$F$21,MATCH(B20,Dim_Supplier!$A$2:$A$21,0))</f>
        <v>61.2</v>
      </c>
      <c r="N20" s="11" t="n">
        <v>0.0133</v>
      </c>
      <c r="O20" s="10" t="n">
        <f aca="false">M20*(1+N20)</f>
        <v>62.01396</v>
      </c>
      <c r="P20" s="10" t="n">
        <f aca="false">O20*L20</f>
        <v>14759.32248</v>
      </c>
      <c r="Q20" s="5" t="s">
        <v>113</v>
      </c>
      <c r="R20" s="5" t="n">
        <v>0</v>
      </c>
      <c r="S20" s="5" t="n">
        <v>30</v>
      </c>
      <c r="T20" s="12" t="n">
        <f aca="false">(O20-M20)/M20</f>
        <v>0.0133000000000001</v>
      </c>
      <c r="U20" s="8" t="n">
        <f aca="false">IF(AND(K20&lt;=I20,R20=0),1,0)</f>
        <v>1</v>
      </c>
      <c r="V20" s="10" t="n">
        <f aca="false">IF(Q20="No",P20,0)</f>
        <v>0</v>
      </c>
    </row>
    <row r="21" customFormat="false" ht="15" hidden="false" customHeight="false" outlineLevel="0" collapsed="false">
      <c r="A21" s="5" t="s">
        <v>149</v>
      </c>
      <c r="B21" s="5" t="s">
        <v>52</v>
      </c>
      <c r="C21" s="7" t="n">
        <v>45977</v>
      </c>
      <c r="D21" s="8" t="str">
        <f aca="false">INDEX(Dim_Supplier!$C$2:$C$21,MATCH(B21,Dim_Supplier!$A$2:$A$21,0))</f>
        <v>Raw Materials</v>
      </c>
      <c r="E21" s="8" t="str">
        <f aca="false">INDEX(Dim_Supplier!$B$2:$B$21,MATCH(B21,Dim_Supplier!$A$2:$A$21,0))</f>
        <v>Laurentian Metals Inc.</v>
      </c>
      <c r="F21" s="5" t="s">
        <v>142</v>
      </c>
      <c r="G21" s="5" t="s">
        <v>112</v>
      </c>
      <c r="H21" s="8" t="n">
        <f aca="false">INDEX(Lookup_Tables!$B$2:$B$5,MATCH(D21,Lookup_Tables!$A$2:$A$5,0))</f>
        <v>21</v>
      </c>
      <c r="I21" s="9" t="n">
        <f aca="false">C21+H21</f>
        <v>45998</v>
      </c>
      <c r="J21" s="5" t="n">
        <v>-4</v>
      </c>
      <c r="K21" s="9" t="n">
        <f aca="false">I21+J21</f>
        <v>45994</v>
      </c>
      <c r="L21" s="5" t="n">
        <v>1907</v>
      </c>
      <c r="M21" s="10" t="n">
        <f aca="false">INDEX(Dim_Supplier!$F$2:$F$21,MATCH(B21,Dim_Supplier!$A$2:$A$21,0))</f>
        <v>61.2</v>
      </c>
      <c r="N21" s="11" t="n">
        <v>0.0122</v>
      </c>
      <c r="O21" s="10" t="n">
        <f aca="false">M21*(1+N21)</f>
        <v>61.94664</v>
      </c>
      <c r="P21" s="10" t="n">
        <f aca="false">O21*L21</f>
        <v>118132.24248</v>
      </c>
      <c r="Q21" s="5" t="s">
        <v>113</v>
      </c>
      <c r="R21" s="5" t="n">
        <v>0</v>
      </c>
      <c r="S21" s="5" t="n">
        <v>45</v>
      </c>
      <c r="T21" s="12" t="n">
        <f aca="false">(O21-M21)/M21</f>
        <v>0.0122</v>
      </c>
      <c r="U21" s="8" t="n">
        <f aca="false">IF(AND(K21&lt;=I21,R21=0),1,0)</f>
        <v>1</v>
      </c>
      <c r="V21" s="10" t="n">
        <f aca="false">IF(Q21="No",P21,0)</f>
        <v>0</v>
      </c>
    </row>
    <row r="22" customFormat="false" ht="15" hidden="false" customHeight="false" outlineLevel="0" collapsed="false">
      <c r="A22" s="5" t="s">
        <v>150</v>
      </c>
      <c r="B22" s="5" t="s">
        <v>79</v>
      </c>
      <c r="C22" s="7" t="n">
        <v>45486</v>
      </c>
      <c r="D22" s="8" t="str">
        <f aca="false">INDEX(Dim_Supplier!$C$2:$C$21,MATCH(B22,Dim_Supplier!$A$2:$A$21,0))</f>
        <v>Logistics</v>
      </c>
      <c r="E22" s="8" t="str">
        <f aca="false">INDEX(Dim_Supplier!$B$2:$B$21,MATCH(B22,Dim_Supplier!$A$2:$A$21,0))</f>
        <v>Niagara Freight Solutions</v>
      </c>
      <c r="F22" s="5" t="s">
        <v>124</v>
      </c>
      <c r="G22" s="5" t="s">
        <v>129</v>
      </c>
      <c r="H22" s="8" t="n">
        <f aca="false">INDEX(Lookup_Tables!$B$2:$B$5,MATCH(D22,Lookup_Tables!$A$2:$A$5,0))</f>
        <v>5</v>
      </c>
      <c r="I22" s="9" t="n">
        <f aca="false">C22+H22</f>
        <v>45491</v>
      </c>
      <c r="J22" s="5" t="n">
        <v>-3</v>
      </c>
      <c r="K22" s="9" t="n">
        <f aca="false">I22+J22</f>
        <v>45488</v>
      </c>
      <c r="L22" s="5" t="n">
        <v>27</v>
      </c>
      <c r="M22" s="10" t="n">
        <f aca="false">INDEX(Dim_Supplier!$F$2:$F$21,MATCH(B22,Dim_Supplier!$A$2:$A$21,0))</f>
        <v>340</v>
      </c>
      <c r="N22" s="11" t="n">
        <v>-0.0057</v>
      </c>
      <c r="O22" s="10" t="n">
        <f aca="false">M22*(1+N22)</f>
        <v>338.062</v>
      </c>
      <c r="P22" s="10" t="n">
        <f aca="false">O22*L22</f>
        <v>9127.674</v>
      </c>
      <c r="Q22" s="5" t="s">
        <v>113</v>
      </c>
      <c r="R22" s="5" t="n">
        <v>0</v>
      </c>
      <c r="S22" s="5" t="n">
        <v>45</v>
      </c>
      <c r="T22" s="12" t="n">
        <f aca="false">(O22-M22)/M22</f>
        <v>-0.00569999999999997</v>
      </c>
      <c r="U22" s="8" t="n">
        <f aca="false">IF(AND(K22&lt;=I22,R22=0),1,0)</f>
        <v>1</v>
      </c>
      <c r="V22" s="10" t="n">
        <f aca="false">IF(Q22="No",P22,0)</f>
        <v>0</v>
      </c>
    </row>
    <row r="23" customFormat="false" ht="15" hidden="false" customHeight="false" outlineLevel="0" collapsed="false">
      <c r="A23" s="5" t="s">
        <v>151</v>
      </c>
      <c r="B23" s="5" t="s">
        <v>88</v>
      </c>
      <c r="C23" s="7" t="n">
        <v>45392</v>
      </c>
      <c r="D23" s="8" t="str">
        <f aca="false">INDEX(Dim_Supplier!$C$2:$C$21,MATCH(B23,Dim_Supplier!$A$2:$A$21,0))</f>
        <v>Logistics</v>
      </c>
      <c r="E23" s="8" t="str">
        <f aca="false">INDEX(Dim_Supplier!$B$2:$B$21,MATCH(B23,Dim_Supplier!$A$2:$A$21,0))</f>
        <v>Summit Last-Mile Delivery</v>
      </c>
      <c r="F23" s="5" t="s">
        <v>124</v>
      </c>
      <c r="G23" s="5" t="s">
        <v>125</v>
      </c>
      <c r="H23" s="8" t="n">
        <f aca="false">INDEX(Lookup_Tables!$B$2:$B$5,MATCH(D23,Lookup_Tables!$A$2:$A$5,0))</f>
        <v>5</v>
      </c>
      <c r="I23" s="9" t="n">
        <f aca="false">C23+H23</f>
        <v>45397</v>
      </c>
      <c r="J23" s="5" t="n">
        <v>-1</v>
      </c>
      <c r="K23" s="9" t="n">
        <f aca="false">I23+J23</f>
        <v>45396</v>
      </c>
      <c r="L23" s="5" t="n">
        <v>7</v>
      </c>
      <c r="M23" s="10" t="n">
        <f aca="false">INDEX(Dim_Supplier!$F$2:$F$21,MATCH(B23,Dim_Supplier!$A$2:$A$21,0))</f>
        <v>95</v>
      </c>
      <c r="N23" s="11" t="n">
        <v>0.0044</v>
      </c>
      <c r="O23" s="10" t="n">
        <f aca="false">M23*(1+N23)</f>
        <v>95.418</v>
      </c>
      <c r="P23" s="10" t="n">
        <f aca="false">O23*L23</f>
        <v>667.926</v>
      </c>
      <c r="Q23" s="5" t="s">
        <v>113</v>
      </c>
      <c r="R23" s="5" t="n">
        <v>0</v>
      </c>
      <c r="S23" s="5" t="n">
        <v>30</v>
      </c>
      <c r="T23" s="12" t="n">
        <f aca="false">(O23-M23)/M23</f>
        <v>0.00439999999999992</v>
      </c>
      <c r="U23" s="8" t="n">
        <f aca="false">IF(AND(K23&lt;=I23,R23=0),1,0)</f>
        <v>1</v>
      </c>
      <c r="V23" s="10" t="n">
        <f aca="false">IF(Q23="No",P23,0)</f>
        <v>0</v>
      </c>
    </row>
    <row r="24" customFormat="false" ht="15" hidden="false" customHeight="false" outlineLevel="0" collapsed="false">
      <c r="A24" s="5" t="s">
        <v>152</v>
      </c>
      <c r="B24" s="5" t="s">
        <v>62</v>
      </c>
      <c r="C24" s="7" t="n">
        <v>45577</v>
      </c>
      <c r="D24" s="8" t="str">
        <f aca="false">INDEX(Dim_Supplier!$C$2:$C$21,MATCH(B24,Dim_Supplier!$A$2:$A$21,0))</f>
        <v>Packaging</v>
      </c>
      <c r="E24" s="8" t="str">
        <f aca="false">INDEX(Dim_Supplier!$B$2:$B$21,MATCH(B24,Dim_Supplier!$A$2:$A$21,0))</f>
        <v>Trillium Packaging Solutions</v>
      </c>
      <c r="F24" s="5" t="s">
        <v>137</v>
      </c>
      <c r="G24" s="5" t="s">
        <v>112</v>
      </c>
      <c r="H24" s="8" t="n">
        <f aca="false">INDEX(Lookup_Tables!$B$2:$B$5,MATCH(D24,Lookup_Tables!$A$2:$A$5,0))</f>
        <v>14</v>
      </c>
      <c r="I24" s="9" t="n">
        <f aca="false">C24+H24</f>
        <v>45591</v>
      </c>
      <c r="J24" s="5" t="n">
        <v>-2</v>
      </c>
      <c r="K24" s="9" t="n">
        <f aca="false">I24+J24</f>
        <v>45589</v>
      </c>
      <c r="L24" s="5" t="n">
        <v>1302</v>
      </c>
      <c r="M24" s="10" t="n">
        <f aca="false">INDEX(Dim_Supplier!$F$2:$F$21,MATCH(B24,Dim_Supplier!$A$2:$A$21,0))</f>
        <v>5.6</v>
      </c>
      <c r="N24" s="11" t="n">
        <v>0.0144</v>
      </c>
      <c r="O24" s="10" t="n">
        <f aca="false">M24*(1+N24)</f>
        <v>5.68064</v>
      </c>
      <c r="P24" s="10" t="n">
        <f aca="false">O24*L24</f>
        <v>7396.19328</v>
      </c>
      <c r="Q24" s="5" t="s">
        <v>113</v>
      </c>
      <c r="R24" s="5" t="n">
        <v>0</v>
      </c>
      <c r="S24" s="5" t="n">
        <v>60</v>
      </c>
      <c r="T24" s="12" t="n">
        <f aca="false">(O24-M24)/M24</f>
        <v>0.0144</v>
      </c>
      <c r="U24" s="8" t="n">
        <f aca="false">IF(AND(K24&lt;=I24,R24=0),1,0)</f>
        <v>1</v>
      </c>
      <c r="V24" s="10" t="n">
        <f aca="false">IF(Q24="No",P24,0)</f>
        <v>0</v>
      </c>
    </row>
    <row r="25" customFormat="false" ht="15" hidden="false" customHeight="false" outlineLevel="0" collapsed="false">
      <c r="A25" s="5" t="s">
        <v>153</v>
      </c>
      <c r="B25" s="5" t="s">
        <v>88</v>
      </c>
      <c r="C25" s="7" t="n">
        <v>46063</v>
      </c>
      <c r="D25" s="8" t="str">
        <f aca="false">INDEX(Dim_Supplier!$C$2:$C$21,MATCH(B25,Dim_Supplier!$A$2:$A$21,0))</f>
        <v>Logistics</v>
      </c>
      <c r="E25" s="8" t="str">
        <f aca="false">INDEX(Dim_Supplier!$B$2:$B$21,MATCH(B25,Dim_Supplier!$A$2:$A$21,0))</f>
        <v>Summit Last-Mile Delivery</v>
      </c>
      <c r="F25" s="5" t="s">
        <v>154</v>
      </c>
      <c r="G25" s="5" t="s">
        <v>112</v>
      </c>
      <c r="H25" s="8" t="n">
        <f aca="false">INDEX(Lookup_Tables!$B$2:$B$5,MATCH(D25,Lookup_Tables!$A$2:$A$5,0))</f>
        <v>5</v>
      </c>
      <c r="I25" s="9" t="n">
        <f aca="false">C25+H25</f>
        <v>46068</v>
      </c>
      <c r="J25" s="5" t="n">
        <v>-3</v>
      </c>
      <c r="K25" s="9" t="n">
        <f aca="false">I25+J25</f>
        <v>46065</v>
      </c>
      <c r="L25" s="5" t="n">
        <v>26</v>
      </c>
      <c r="M25" s="10" t="n">
        <f aca="false">INDEX(Dim_Supplier!$F$2:$F$21,MATCH(B25,Dim_Supplier!$A$2:$A$21,0))</f>
        <v>95</v>
      </c>
      <c r="N25" s="11" t="n">
        <v>0.0527</v>
      </c>
      <c r="O25" s="10" t="n">
        <f aca="false">M25*(1+N25)</f>
        <v>100.0065</v>
      </c>
      <c r="P25" s="10" t="n">
        <f aca="false">O25*L25</f>
        <v>2600.169</v>
      </c>
      <c r="Q25" s="5" t="s">
        <v>133</v>
      </c>
      <c r="R25" s="5" t="n">
        <v>0</v>
      </c>
      <c r="S25" s="5" t="n">
        <v>30</v>
      </c>
      <c r="T25" s="12" t="n">
        <f aca="false">(O25-M25)/M25</f>
        <v>0.0527</v>
      </c>
      <c r="U25" s="8" t="n">
        <f aca="false">IF(AND(K25&lt;=I25,R25=0),1,0)</f>
        <v>1</v>
      </c>
      <c r="V25" s="10" t="n">
        <f aca="false">IF(Q25="No",P25,0)</f>
        <v>2600.169</v>
      </c>
    </row>
    <row r="26" customFormat="false" ht="15" hidden="false" customHeight="false" outlineLevel="0" collapsed="false">
      <c r="A26" s="5" t="s">
        <v>155</v>
      </c>
      <c r="B26" s="5" t="s">
        <v>60</v>
      </c>
      <c r="C26" s="7" t="n">
        <v>46094</v>
      </c>
      <c r="D26" s="8" t="str">
        <f aca="false">INDEX(Dim_Supplier!$C$2:$C$21,MATCH(B26,Dim_Supplier!$A$2:$A$21,0))</f>
        <v>Packaging</v>
      </c>
      <c r="E26" s="8" t="str">
        <f aca="false">INDEX(Dim_Supplier!$B$2:$B$21,MATCH(B26,Dim_Supplier!$A$2:$A$21,0))</f>
        <v>Maple Leaf Box &amp; Crate</v>
      </c>
      <c r="F26" s="5" t="s">
        <v>137</v>
      </c>
      <c r="G26" s="5" t="s">
        <v>120</v>
      </c>
      <c r="H26" s="8" t="n">
        <f aca="false">INDEX(Lookup_Tables!$B$2:$B$5,MATCH(D26,Lookup_Tables!$A$2:$A$5,0))</f>
        <v>14</v>
      </c>
      <c r="I26" s="9" t="n">
        <f aca="false">C26+H26</f>
        <v>46108</v>
      </c>
      <c r="J26" s="5" t="n">
        <v>-4</v>
      </c>
      <c r="K26" s="9" t="n">
        <f aca="false">I26+J26</f>
        <v>46104</v>
      </c>
      <c r="L26" s="5" t="n">
        <v>4486</v>
      </c>
      <c r="M26" s="10" t="n">
        <f aca="false">INDEX(Dim_Supplier!$F$2:$F$21,MATCH(B26,Dim_Supplier!$A$2:$A$21,0))</f>
        <v>3.1</v>
      </c>
      <c r="N26" s="11" t="n">
        <v>0.0634</v>
      </c>
      <c r="O26" s="10" t="n">
        <f aca="false">M26*(1+N26)</f>
        <v>3.29654</v>
      </c>
      <c r="P26" s="10" t="n">
        <f aca="false">O26*L26</f>
        <v>14788.27844</v>
      </c>
      <c r="Q26" s="5" t="s">
        <v>113</v>
      </c>
      <c r="R26" s="5" t="n">
        <v>0</v>
      </c>
      <c r="S26" s="5" t="n">
        <v>60</v>
      </c>
      <c r="T26" s="12" t="n">
        <f aca="false">(O26-M26)/M26</f>
        <v>0.0633999999999999</v>
      </c>
      <c r="U26" s="8" t="n">
        <f aca="false">IF(AND(K26&lt;=I26,R26=0),1,0)</f>
        <v>1</v>
      </c>
      <c r="V26" s="10" t="n">
        <f aca="false">IF(Q26="No",P26,0)</f>
        <v>0</v>
      </c>
    </row>
    <row r="27" customFormat="false" ht="15" hidden="false" customHeight="false" outlineLevel="0" collapsed="false">
      <c r="A27" s="5" t="s">
        <v>156</v>
      </c>
      <c r="B27" s="5" t="s">
        <v>68</v>
      </c>
      <c r="C27" s="7" t="n">
        <v>45847</v>
      </c>
      <c r="D27" s="8" t="str">
        <f aca="false">INDEX(Dim_Supplier!$C$2:$C$21,MATCH(B27,Dim_Supplier!$A$2:$A$21,0))</f>
        <v>MRO</v>
      </c>
      <c r="E27" s="8" t="str">
        <f aca="false">INDEX(Dim_Supplier!$B$2:$B$21,MATCH(B27,Dim_Supplier!$A$2:$A$21,0))</f>
        <v>Precision Tool &amp; Supply</v>
      </c>
      <c r="F27" s="5" t="s">
        <v>127</v>
      </c>
      <c r="G27" s="5" t="s">
        <v>120</v>
      </c>
      <c r="H27" s="8" t="n">
        <f aca="false">INDEX(Lookup_Tables!$B$2:$B$5,MATCH(D27,Lookup_Tables!$A$2:$A$5,0))</f>
        <v>10</v>
      </c>
      <c r="I27" s="9" t="n">
        <f aca="false">C27+H27</f>
        <v>45857</v>
      </c>
      <c r="J27" s="5" t="n">
        <v>-1</v>
      </c>
      <c r="K27" s="9" t="n">
        <f aca="false">I27+J27</f>
        <v>45856</v>
      </c>
      <c r="L27" s="5" t="n">
        <v>133</v>
      </c>
      <c r="M27" s="10" t="n">
        <f aca="false">INDEX(Dim_Supplier!$F$2:$F$21,MATCH(B27,Dim_Supplier!$A$2:$A$21,0))</f>
        <v>22.4</v>
      </c>
      <c r="N27" s="11" t="n">
        <v>0.0193</v>
      </c>
      <c r="O27" s="10" t="n">
        <f aca="false">M27*(1+N27)</f>
        <v>22.83232</v>
      </c>
      <c r="P27" s="10" t="n">
        <f aca="false">O27*L27</f>
        <v>3036.69856</v>
      </c>
      <c r="Q27" s="5" t="s">
        <v>113</v>
      </c>
      <c r="R27" s="5" t="n">
        <v>0</v>
      </c>
      <c r="S27" s="5" t="n">
        <v>30</v>
      </c>
      <c r="T27" s="12" t="n">
        <f aca="false">(O27-M27)/M27</f>
        <v>0.0193</v>
      </c>
      <c r="U27" s="8" t="n">
        <f aca="false">IF(AND(K27&lt;=I27,R27=0),1,0)</f>
        <v>1</v>
      </c>
      <c r="V27" s="10" t="n">
        <f aca="false">IF(Q27="No",P27,0)</f>
        <v>0</v>
      </c>
    </row>
    <row r="28" customFormat="false" ht="15" hidden="false" customHeight="false" outlineLevel="0" collapsed="false">
      <c r="A28" s="5" t="s">
        <v>157</v>
      </c>
      <c r="B28" s="5" t="s">
        <v>66</v>
      </c>
      <c r="C28" s="7" t="n">
        <v>46163</v>
      </c>
      <c r="D28" s="8" t="str">
        <f aca="false">INDEX(Dim_Supplier!$C$2:$C$21,MATCH(B28,Dim_Supplier!$A$2:$A$21,0))</f>
        <v>Packaging</v>
      </c>
      <c r="E28" s="8" t="str">
        <f aca="false">INDEX(Dim_Supplier!$B$2:$B$21,MATCH(B28,Dim_Supplier!$A$2:$A$21,0))</f>
        <v>EverGreen Wrap Industries</v>
      </c>
      <c r="F28" s="5" t="s">
        <v>158</v>
      </c>
      <c r="G28" s="5" t="s">
        <v>129</v>
      </c>
      <c r="H28" s="8" t="n">
        <f aca="false">INDEX(Lookup_Tables!$B$2:$B$5,MATCH(D28,Lookup_Tables!$A$2:$A$5,0))</f>
        <v>14</v>
      </c>
      <c r="I28" s="9" t="n">
        <f aca="false">C28+H28</f>
        <v>46177</v>
      </c>
      <c r="J28" s="5" t="n">
        <v>-3</v>
      </c>
      <c r="K28" s="9" t="n">
        <f aca="false">I28+J28</f>
        <v>46174</v>
      </c>
      <c r="L28" s="5" t="n">
        <v>2426</v>
      </c>
      <c r="M28" s="10" t="n">
        <f aca="false">INDEX(Dim_Supplier!$F$2:$F$21,MATCH(B28,Dim_Supplier!$A$2:$A$21,0))</f>
        <v>6.8</v>
      </c>
      <c r="N28" s="11" t="n">
        <v>0.0431</v>
      </c>
      <c r="O28" s="10" t="n">
        <f aca="false">M28*(1+N28)</f>
        <v>7.09308</v>
      </c>
      <c r="P28" s="10" t="n">
        <f aca="false">O28*L28</f>
        <v>17207.81208</v>
      </c>
      <c r="Q28" s="5" t="s">
        <v>113</v>
      </c>
      <c r="R28" s="5" t="n">
        <v>0</v>
      </c>
      <c r="S28" s="5" t="n">
        <v>45</v>
      </c>
      <c r="T28" s="12" t="n">
        <f aca="false">(O28-M28)/M28</f>
        <v>0.0431</v>
      </c>
      <c r="U28" s="8" t="n">
        <f aca="false">IF(AND(K28&lt;=I28,R28=0),1,0)</f>
        <v>1</v>
      </c>
      <c r="V28" s="10" t="n">
        <f aca="false">IF(Q28="No",P28,0)</f>
        <v>0</v>
      </c>
    </row>
    <row r="29" customFormat="false" ht="15" hidden="false" customHeight="false" outlineLevel="0" collapsed="false">
      <c r="A29" s="5" t="s">
        <v>159</v>
      </c>
      <c r="B29" s="5" t="s">
        <v>68</v>
      </c>
      <c r="C29" s="7" t="n">
        <v>45332</v>
      </c>
      <c r="D29" s="8" t="str">
        <f aca="false">INDEX(Dim_Supplier!$C$2:$C$21,MATCH(B29,Dim_Supplier!$A$2:$A$21,0))</f>
        <v>MRO</v>
      </c>
      <c r="E29" s="8" t="str">
        <f aca="false">INDEX(Dim_Supplier!$B$2:$B$21,MATCH(B29,Dim_Supplier!$A$2:$A$21,0))</f>
        <v>Precision Tool &amp; Supply</v>
      </c>
      <c r="F29" s="5" t="s">
        <v>132</v>
      </c>
      <c r="G29" s="5" t="s">
        <v>129</v>
      </c>
      <c r="H29" s="8" t="n">
        <f aca="false">INDEX(Lookup_Tables!$B$2:$B$5,MATCH(D29,Lookup_Tables!$A$2:$A$5,0))</f>
        <v>10</v>
      </c>
      <c r="I29" s="9" t="n">
        <f aca="false">C29+H29</f>
        <v>45342</v>
      </c>
      <c r="J29" s="5" t="n">
        <v>-4</v>
      </c>
      <c r="K29" s="9" t="n">
        <f aca="false">I29+J29</f>
        <v>45338</v>
      </c>
      <c r="L29" s="5" t="n">
        <v>138</v>
      </c>
      <c r="M29" s="10" t="n">
        <f aca="false">INDEX(Dim_Supplier!$F$2:$F$21,MATCH(B29,Dim_Supplier!$A$2:$A$21,0))</f>
        <v>22.4</v>
      </c>
      <c r="N29" s="11" t="n">
        <v>0.0229</v>
      </c>
      <c r="O29" s="10" t="n">
        <f aca="false">M29*(1+N29)</f>
        <v>22.91296</v>
      </c>
      <c r="P29" s="10" t="n">
        <f aca="false">O29*L29</f>
        <v>3161.98848</v>
      </c>
      <c r="Q29" s="5" t="s">
        <v>113</v>
      </c>
      <c r="R29" s="5" t="n">
        <v>0</v>
      </c>
      <c r="S29" s="5" t="n">
        <v>45</v>
      </c>
      <c r="T29" s="12" t="n">
        <f aca="false">(O29-M29)/M29</f>
        <v>0.0229</v>
      </c>
      <c r="U29" s="8" t="n">
        <f aca="false">IF(AND(K29&lt;=I29,R29=0),1,0)</f>
        <v>1</v>
      </c>
      <c r="V29" s="10" t="n">
        <f aca="false">IF(Q29="No",P29,0)</f>
        <v>0</v>
      </c>
    </row>
    <row r="30" customFormat="false" ht="15" hidden="false" customHeight="false" outlineLevel="0" collapsed="false">
      <c r="A30" s="5" t="s">
        <v>160</v>
      </c>
      <c r="B30" s="5" t="s">
        <v>57</v>
      </c>
      <c r="C30" s="7" t="n">
        <v>45563</v>
      </c>
      <c r="D30" s="8" t="str">
        <f aca="false">INDEX(Dim_Supplier!$C$2:$C$21,MATCH(B30,Dim_Supplier!$A$2:$A$21,0))</f>
        <v>Packaging</v>
      </c>
      <c r="E30" s="8" t="str">
        <f aca="false">INDEX(Dim_Supplier!$B$2:$B$21,MATCH(B30,Dim_Supplier!$A$2:$A$21,0))</f>
        <v>Great Lakes Packaging Co.</v>
      </c>
      <c r="F30" s="5" t="s">
        <v>137</v>
      </c>
      <c r="G30" s="5" t="s">
        <v>112</v>
      </c>
      <c r="H30" s="8" t="n">
        <f aca="false">INDEX(Lookup_Tables!$B$2:$B$5,MATCH(D30,Lookup_Tables!$A$2:$A$5,0))</f>
        <v>14</v>
      </c>
      <c r="I30" s="9" t="n">
        <f aca="false">C30+H30</f>
        <v>45577</v>
      </c>
      <c r="J30" s="5" t="n">
        <v>-4</v>
      </c>
      <c r="K30" s="9" t="n">
        <f aca="false">I30+J30</f>
        <v>45573</v>
      </c>
      <c r="L30" s="5" t="n">
        <v>3090</v>
      </c>
      <c r="M30" s="10" t="n">
        <f aca="false">INDEX(Dim_Supplier!$F$2:$F$21,MATCH(B30,Dim_Supplier!$A$2:$A$21,0))</f>
        <v>4.35</v>
      </c>
      <c r="N30" s="11" t="n">
        <v>-0.0049</v>
      </c>
      <c r="O30" s="10" t="n">
        <f aca="false">M30*(1+N30)</f>
        <v>4.328685</v>
      </c>
      <c r="P30" s="10" t="n">
        <f aca="false">O30*L30</f>
        <v>13375.63665</v>
      </c>
      <c r="Q30" s="5" t="s">
        <v>113</v>
      </c>
      <c r="R30" s="5" t="n">
        <v>0</v>
      </c>
      <c r="S30" s="5" t="n">
        <v>30</v>
      </c>
      <c r="T30" s="12" t="n">
        <f aca="false">(O30-M30)/M30</f>
        <v>-0.0049000000000001</v>
      </c>
      <c r="U30" s="8" t="n">
        <f aca="false">IF(AND(K30&lt;=I30,R30=0),1,0)</f>
        <v>1</v>
      </c>
      <c r="V30" s="10" t="n">
        <f aca="false">IF(Q30="No",P30,0)</f>
        <v>0</v>
      </c>
    </row>
    <row r="31" customFormat="false" ht="15" hidden="false" customHeight="false" outlineLevel="0" collapsed="false">
      <c r="A31" s="5" t="s">
        <v>161</v>
      </c>
      <c r="B31" s="5" t="s">
        <v>71</v>
      </c>
      <c r="C31" s="7" t="n">
        <v>45868</v>
      </c>
      <c r="D31" s="8" t="str">
        <f aca="false">INDEX(Dim_Supplier!$C$2:$C$21,MATCH(B31,Dim_Supplier!$A$2:$A$21,0))</f>
        <v>MRO</v>
      </c>
      <c r="E31" s="8" t="str">
        <f aca="false">INDEX(Dim_Supplier!$B$2:$B$21,MATCH(B31,Dim_Supplier!$A$2:$A$21,0))</f>
        <v>CanSafe Equipment Ltd.</v>
      </c>
      <c r="F31" s="5" t="s">
        <v>127</v>
      </c>
      <c r="G31" s="5" t="s">
        <v>129</v>
      </c>
      <c r="H31" s="8" t="n">
        <f aca="false">INDEX(Lookup_Tables!$B$2:$B$5,MATCH(D31,Lookup_Tables!$A$2:$A$5,0))</f>
        <v>10</v>
      </c>
      <c r="I31" s="9" t="n">
        <f aca="false">C31+H31</f>
        <v>45878</v>
      </c>
      <c r="J31" s="5" t="n">
        <v>-3</v>
      </c>
      <c r="K31" s="9" t="n">
        <f aca="false">I31+J31</f>
        <v>45875</v>
      </c>
      <c r="L31" s="5" t="n">
        <v>38</v>
      </c>
      <c r="M31" s="10" t="n">
        <f aca="false">INDEX(Dim_Supplier!$F$2:$F$21,MATCH(B31,Dim_Supplier!$A$2:$A$21,0))</f>
        <v>18.75</v>
      </c>
      <c r="N31" s="11" t="n">
        <v>0.0244</v>
      </c>
      <c r="O31" s="10" t="n">
        <f aca="false">M31*(1+N31)</f>
        <v>19.2075</v>
      </c>
      <c r="P31" s="10" t="n">
        <f aca="false">O31*L31</f>
        <v>729.885</v>
      </c>
      <c r="Q31" s="5" t="s">
        <v>133</v>
      </c>
      <c r="R31" s="5" t="n">
        <v>0</v>
      </c>
      <c r="S31" s="5" t="n">
        <v>60</v>
      </c>
      <c r="T31" s="12" t="n">
        <f aca="false">(O31-M31)/M31</f>
        <v>0.0244</v>
      </c>
      <c r="U31" s="8" t="n">
        <f aca="false">IF(AND(K31&lt;=I31,R31=0),1,0)</f>
        <v>1</v>
      </c>
      <c r="V31" s="10" t="n">
        <f aca="false">IF(Q31="No",P31,0)</f>
        <v>729.885</v>
      </c>
    </row>
    <row r="32" customFormat="false" ht="15" hidden="false" customHeight="false" outlineLevel="0" collapsed="false">
      <c r="A32" s="5" t="s">
        <v>162</v>
      </c>
      <c r="B32" s="5" t="s">
        <v>60</v>
      </c>
      <c r="C32" s="7" t="n">
        <v>45453</v>
      </c>
      <c r="D32" s="8" t="str">
        <f aca="false">INDEX(Dim_Supplier!$C$2:$C$21,MATCH(B32,Dim_Supplier!$A$2:$A$21,0))</f>
        <v>Packaging</v>
      </c>
      <c r="E32" s="8" t="str">
        <f aca="false">INDEX(Dim_Supplier!$B$2:$B$21,MATCH(B32,Dim_Supplier!$A$2:$A$21,0))</f>
        <v>Maple Leaf Box &amp; Crate</v>
      </c>
      <c r="F32" s="5" t="s">
        <v>137</v>
      </c>
      <c r="G32" s="5" t="s">
        <v>120</v>
      </c>
      <c r="H32" s="8" t="n">
        <f aca="false">INDEX(Lookup_Tables!$B$2:$B$5,MATCH(D32,Lookup_Tables!$A$2:$A$5,0))</f>
        <v>14</v>
      </c>
      <c r="I32" s="9" t="n">
        <f aca="false">C32+H32</f>
        <v>45467</v>
      </c>
      <c r="J32" s="5" t="n">
        <v>-4</v>
      </c>
      <c r="K32" s="9" t="n">
        <f aca="false">I32+J32</f>
        <v>45463</v>
      </c>
      <c r="L32" s="5" t="n">
        <v>4833</v>
      </c>
      <c r="M32" s="10" t="n">
        <f aca="false">INDEX(Dim_Supplier!$F$2:$F$21,MATCH(B32,Dim_Supplier!$A$2:$A$21,0))</f>
        <v>3.1</v>
      </c>
      <c r="N32" s="11" t="n">
        <v>0.0019</v>
      </c>
      <c r="O32" s="10" t="n">
        <f aca="false">M32*(1+N32)</f>
        <v>3.10589</v>
      </c>
      <c r="P32" s="10" t="n">
        <f aca="false">O32*L32</f>
        <v>15010.76637</v>
      </c>
      <c r="Q32" s="5" t="s">
        <v>113</v>
      </c>
      <c r="R32" s="5" t="n">
        <v>0</v>
      </c>
      <c r="S32" s="5" t="n">
        <v>30</v>
      </c>
      <c r="T32" s="12" t="n">
        <f aca="false">(O32-M32)/M32</f>
        <v>0.00189999999999998</v>
      </c>
      <c r="U32" s="8" t="n">
        <f aca="false">IF(AND(K32&lt;=I32,R32=0),1,0)</f>
        <v>1</v>
      </c>
      <c r="V32" s="10" t="n">
        <f aca="false">IF(Q32="No",P32,0)</f>
        <v>0</v>
      </c>
    </row>
    <row r="33" customFormat="false" ht="15" hidden="false" customHeight="false" outlineLevel="0" collapsed="false">
      <c r="A33" s="5" t="s">
        <v>163</v>
      </c>
      <c r="B33" s="5" t="s">
        <v>75</v>
      </c>
      <c r="C33" s="7" t="n">
        <v>46191</v>
      </c>
      <c r="D33" s="8" t="str">
        <f aca="false">INDEX(Dim_Supplier!$C$2:$C$21,MATCH(B33,Dim_Supplier!$A$2:$A$21,0))</f>
        <v>MRO</v>
      </c>
      <c r="E33" s="8" t="str">
        <f aca="false">INDEX(Dim_Supplier!$B$2:$B$21,MATCH(B33,Dim_Supplier!$A$2:$A$21,0))</f>
        <v>Sterling Lubricants Inc.</v>
      </c>
      <c r="F33" s="5" t="s">
        <v>164</v>
      </c>
      <c r="G33" s="5" t="s">
        <v>120</v>
      </c>
      <c r="H33" s="8" t="n">
        <f aca="false">INDEX(Lookup_Tables!$B$2:$B$5,MATCH(D33,Lookup_Tables!$A$2:$A$5,0))</f>
        <v>10</v>
      </c>
      <c r="I33" s="9" t="n">
        <f aca="false">C33+H33</f>
        <v>46201</v>
      </c>
      <c r="J33" s="5" t="n">
        <v>-2</v>
      </c>
      <c r="K33" s="9" t="n">
        <f aca="false">I33+J33</f>
        <v>46199</v>
      </c>
      <c r="L33" s="5" t="n">
        <v>146</v>
      </c>
      <c r="M33" s="10" t="n">
        <f aca="false">INDEX(Dim_Supplier!$F$2:$F$21,MATCH(B33,Dim_Supplier!$A$2:$A$21,0))</f>
        <v>27.1</v>
      </c>
      <c r="N33" s="11" t="n">
        <v>0.0263</v>
      </c>
      <c r="O33" s="10" t="n">
        <f aca="false">M33*(1+N33)</f>
        <v>27.81273</v>
      </c>
      <c r="P33" s="10" t="n">
        <f aca="false">O33*L33</f>
        <v>4060.65858</v>
      </c>
      <c r="Q33" s="5" t="s">
        <v>113</v>
      </c>
      <c r="R33" s="5" t="n">
        <v>0</v>
      </c>
      <c r="S33" s="5" t="n">
        <v>30</v>
      </c>
      <c r="T33" s="12" t="n">
        <f aca="false">(O33-M33)/M33</f>
        <v>0.0263</v>
      </c>
      <c r="U33" s="8" t="n">
        <f aca="false">IF(AND(K33&lt;=I33,R33=0),1,0)</f>
        <v>1</v>
      </c>
      <c r="V33" s="10" t="n">
        <f aca="false">IF(Q33="No",P33,0)</f>
        <v>0</v>
      </c>
    </row>
    <row r="34" customFormat="false" ht="15" hidden="false" customHeight="false" outlineLevel="0" collapsed="false">
      <c r="A34" s="5" t="s">
        <v>165</v>
      </c>
      <c r="B34" s="5" t="s">
        <v>57</v>
      </c>
      <c r="C34" s="7" t="n">
        <v>45995</v>
      </c>
      <c r="D34" s="8" t="str">
        <f aca="false">INDEX(Dim_Supplier!$C$2:$C$21,MATCH(B34,Dim_Supplier!$A$2:$A$21,0))</f>
        <v>Packaging</v>
      </c>
      <c r="E34" s="8" t="str">
        <f aca="false">INDEX(Dim_Supplier!$B$2:$B$21,MATCH(B34,Dim_Supplier!$A$2:$A$21,0))</f>
        <v>Great Lakes Packaging Co.</v>
      </c>
      <c r="F34" s="5" t="s">
        <v>119</v>
      </c>
      <c r="G34" s="5" t="s">
        <v>125</v>
      </c>
      <c r="H34" s="8" t="n">
        <f aca="false">INDEX(Lookup_Tables!$B$2:$B$5,MATCH(D34,Lookup_Tables!$A$2:$A$5,0))</f>
        <v>14</v>
      </c>
      <c r="I34" s="9" t="n">
        <f aca="false">C34+H34</f>
        <v>46009</v>
      </c>
      <c r="J34" s="5" t="n">
        <v>-3</v>
      </c>
      <c r="K34" s="9" t="n">
        <f aca="false">I34+J34</f>
        <v>46006</v>
      </c>
      <c r="L34" s="5" t="n">
        <v>916</v>
      </c>
      <c r="M34" s="10" t="n">
        <f aca="false">INDEX(Dim_Supplier!$F$2:$F$21,MATCH(B34,Dim_Supplier!$A$2:$A$21,0))</f>
        <v>4.35</v>
      </c>
      <c r="N34" s="11" t="n">
        <v>0.0537</v>
      </c>
      <c r="O34" s="10" t="n">
        <f aca="false">M34*(1+N34)</f>
        <v>4.583595</v>
      </c>
      <c r="P34" s="10" t="n">
        <f aca="false">O34*L34</f>
        <v>4198.57302</v>
      </c>
      <c r="Q34" s="5" t="s">
        <v>113</v>
      </c>
      <c r="R34" s="5" t="n">
        <v>0</v>
      </c>
      <c r="S34" s="5" t="n">
        <v>30</v>
      </c>
      <c r="T34" s="12" t="n">
        <f aca="false">(O34-M34)/M34</f>
        <v>0.0537000000000001</v>
      </c>
      <c r="U34" s="8" t="n">
        <f aca="false">IF(AND(K34&lt;=I34,R34=0),1,0)</f>
        <v>1</v>
      </c>
      <c r="V34" s="10" t="n">
        <f aca="false">IF(Q34="No",P34,0)</f>
        <v>0</v>
      </c>
    </row>
    <row r="35" customFormat="false" ht="15" hidden="false" customHeight="false" outlineLevel="0" collapsed="false">
      <c r="A35" s="5" t="s">
        <v>166</v>
      </c>
      <c r="B35" s="5" t="s">
        <v>41</v>
      </c>
      <c r="C35" s="7" t="n">
        <v>46081</v>
      </c>
      <c r="D35" s="8" t="str">
        <f aca="false">INDEX(Dim_Supplier!$C$2:$C$21,MATCH(B35,Dim_Supplier!$A$2:$A$21,0))</f>
        <v>Raw Materials</v>
      </c>
      <c r="E35" s="8" t="str">
        <f aca="false">INDEX(Dim_Supplier!$B$2:$B$21,MATCH(B35,Dim_Supplier!$A$2:$A$21,0))</f>
        <v>Ontario Steel Partners</v>
      </c>
      <c r="F35" s="5" t="s">
        <v>115</v>
      </c>
      <c r="G35" s="5" t="s">
        <v>120</v>
      </c>
      <c r="H35" s="8" t="n">
        <f aca="false">INDEX(Lookup_Tables!$B$2:$B$5,MATCH(D35,Lookup_Tables!$A$2:$A$5,0))</f>
        <v>21</v>
      </c>
      <c r="I35" s="9" t="n">
        <f aca="false">C35+H35</f>
        <v>46102</v>
      </c>
      <c r="J35" s="5" t="n">
        <v>-2</v>
      </c>
      <c r="K35" s="9" t="n">
        <f aca="false">I35+J35</f>
        <v>46100</v>
      </c>
      <c r="L35" s="5" t="n">
        <v>1545</v>
      </c>
      <c r="M35" s="10" t="n">
        <f aca="false">INDEX(Dim_Supplier!$F$2:$F$21,MATCH(B35,Dim_Supplier!$A$2:$A$21,0))</f>
        <v>58</v>
      </c>
      <c r="N35" s="11" t="n">
        <v>0.0284</v>
      </c>
      <c r="O35" s="10" t="n">
        <f aca="false">M35*(1+N35)</f>
        <v>59.6472</v>
      </c>
      <c r="P35" s="10" t="n">
        <f aca="false">O35*L35</f>
        <v>92154.924</v>
      </c>
      <c r="Q35" s="5" t="s">
        <v>113</v>
      </c>
      <c r="R35" s="5" t="n">
        <v>10</v>
      </c>
      <c r="S35" s="5" t="n">
        <v>60</v>
      </c>
      <c r="T35" s="12" t="n">
        <f aca="false">(O35-M35)/M35</f>
        <v>0.0284</v>
      </c>
      <c r="U35" s="8" t="n">
        <f aca="false">IF(AND(K35&lt;=I35,R35=0),1,0)</f>
        <v>0</v>
      </c>
      <c r="V35" s="10" t="n">
        <f aca="false">IF(Q35="No",P35,0)</f>
        <v>0</v>
      </c>
    </row>
    <row r="36" customFormat="false" ht="15" hidden="false" customHeight="false" outlineLevel="0" collapsed="false">
      <c r="A36" s="5" t="s">
        <v>167</v>
      </c>
      <c r="B36" s="5" t="s">
        <v>75</v>
      </c>
      <c r="C36" s="7" t="n">
        <v>45444</v>
      </c>
      <c r="D36" s="8" t="str">
        <f aca="false">INDEX(Dim_Supplier!$C$2:$C$21,MATCH(B36,Dim_Supplier!$A$2:$A$21,0))</f>
        <v>MRO</v>
      </c>
      <c r="E36" s="8" t="str">
        <f aca="false">INDEX(Dim_Supplier!$B$2:$B$21,MATCH(B36,Dim_Supplier!$A$2:$A$21,0))</f>
        <v>Sterling Lubricants Inc.</v>
      </c>
      <c r="F36" s="5" t="s">
        <v>132</v>
      </c>
      <c r="G36" s="5" t="s">
        <v>129</v>
      </c>
      <c r="H36" s="8" t="n">
        <f aca="false">INDEX(Lookup_Tables!$B$2:$B$5,MATCH(D36,Lookup_Tables!$A$2:$A$5,0))</f>
        <v>10</v>
      </c>
      <c r="I36" s="9" t="n">
        <f aca="false">C36+H36</f>
        <v>45454</v>
      </c>
      <c r="J36" s="5" t="n">
        <v>-2</v>
      </c>
      <c r="K36" s="9" t="n">
        <f aca="false">I36+J36</f>
        <v>45452</v>
      </c>
      <c r="L36" s="5" t="n">
        <v>42</v>
      </c>
      <c r="M36" s="10" t="n">
        <f aca="false">INDEX(Dim_Supplier!$F$2:$F$21,MATCH(B36,Dim_Supplier!$A$2:$A$21,0))</f>
        <v>27.1</v>
      </c>
      <c r="N36" s="11" t="n">
        <v>-0.0028</v>
      </c>
      <c r="O36" s="10" t="n">
        <f aca="false">M36*(1+N36)</f>
        <v>27.02412</v>
      </c>
      <c r="P36" s="10" t="n">
        <f aca="false">O36*L36</f>
        <v>1135.01304</v>
      </c>
      <c r="Q36" s="5" t="s">
        <v>113</v>
      </c>
      <c r="R36" s="5" t="n">
        <v>0</v>
      </c>
      <c r="S36" s="5" t="n">
        <v>30</v>
      </c>
      <c r="T36" s="12" t="n">
        <f aca="false">(O36-M36)/M36</f>
        <v>-0.00280000000000006</v>
      </c>
      <c r="U36" s="8" t="n">
        <f aca="false">IF(AND(K36&lt;=I36,R36=0),1,0)</f>
        <v>1</v>
      </c>
      <c r="V36" s="10" t="n">
        <f aca="false">IF(Q36="No",P36,0)</f>
        <v>0</v>
      </c>
    </row>
    <row r="37" customFormat="false" ht="15" hidden="false" customHeight="false" outlineLevel="0" collapsed="false">
      <c r="A37" s="5" t="s">
        <v>168</v>
      </c>
      <c r="B37" s="5" t="s">
        <v>86</v>
      </c>
      <c r="C37" s="7" t="n">
        <v>46173</v>
      </c>
      <c r="D37" s="8" t="str">
        <f aca="false">INDEX(Dim_Supplier!$C$2:$C$21,MATCH(B37,Dim_Supplier!$A$2:$A$21,0))</f>
        <v>Logistics</v>
      </c>
      <c r="E37" s="8" t="str">
        <f aca="false">INDEX(Dim_Supplier!$B$2:$B$21,MATCH(B37,Dim_Supplier!$A$2:$A$21,0))</f>
        <v>Blue Water Customs Brokerage</v>
      </c>
      <c r="F37" s="5" t="s">
        <v>124</v>
      </c>
      <c r="G37" s="5" t="s">
        <v>120</v>
      </c>
      <c r="H37" s="8" t="n">
        <f aca="false">INDEX(Lookup_Tables!$B$2:$B$5,MATCH(D37,Lookup_Tables!$A$2:$A$5,0))</f>
        <v>5</v>
      </c>
      <c r="I37" s="9" t="n">
        <f aca="false">C37+H37</f>
        <v>46178</v>
      </c>
      <c r="J37" s="5" t="n">
        <v>-2</v>
      </c>
      <c r="K37" s="9" t="n">
        <f aca="false">I37+J37</f>
        <v>46176</v>
      </c>
      <c r="L37" s="5" t="n">
        <v>7</v>
      </c>
      <c r="M37" s="10" t="n">
        <f aca="false">INDEX(Dim_Supplier!$F$2:$F$21,MATCH(B37,Dim_Supplier!$A$2:$A$21,0))</f>
        <v>175</v>
      </c>
      <c r="N37" s="11" t="n">
        <v>0.0247</v>
      </c>
      <c r="O37" s="10" t="n">
        <f aca="false">M37*(1+N37)</f>
        <v>179.3225</v>
      </c>
      <c r="P37" s="10" t="n">
        <f aca="false">O37*L37</f>
        <v>1255.2575</v>
      </c>
      <c r="Q37" s="5" t="s">
        <v>113</v>
      </c>
      <c r="R37" s="5" t="n">
        <v>0</v>
      </c>
      <c r="S37" s="5" t="n">
        <v>60</v>
      </c>
      <c r="T37" s="12" t="n">
        <f aca="false">(O37-M37)/M37</f>
        <v>0.0246999999999999</v>
      </c>
      <c r="U37" s="8" t="n">
        <f aca="false">IF(AND(K37&lt;=I37,R37=0),1,0)</f>
        <v>1</v>
      </c>
      <c r="V37" s="10" t="n">
        <f aca="false">IF(Q37="No",P37,0)</f>
        <v>0</v>
      </c>
    </row>
    <row r="38" customFormat="false" ht="15" hidden="false" customHeight="false" outlineLevel="0" collapsed="false">
      <c r="A38" s="5" t="s">
        <v>169</v>
      </c>
      <c r="B38" s="5" t="s">
        <v>88</v>
      </c>
      <c r="C38" s="7" t="n">
        <v>46059</v>
      </c>
      <c r="D38" s="8" t="str">
        <f aca="false">INDEX(Dim_Supplier!$C$2:$C$21,MATCH(B38,Dim_Supplier!$A$2:$A$21,0))</f>
        <v>Logistics</v>
      </c>
      <c r="E38" s="8" t="str">
        <f aca="false">INDEX(Dim_Supplier!$B$2:$B$21,MATCH(B38,Dim_Supplier!$A$2:$A$21,0))</f>
        <v>Summit Last-Mile Delivery</v>
      </c>
      <c r="F38" s="5" t="s">
        <v>154</v>
      </c>
      <c r="G38" s="5" t="s">
        <v>112</v>
      </c>
      <c r="H38" s="8" t="n">
        <f aca="false">INDEX(Lookup_Tables!$B$2:$B$5,MATCH(D38,Lookup_Tables!$A$2:$A$5,0))</f>
        <v>5</v>
      </c>
      <c r="I38" s="9" t="n">
        <f aca="false">C38+H38</f>
        <v>46064</v>
      </c>
      <c r="J38" s="5" t="n">
        <v>3</v>
      </c>
      <c r="K38" s="9" t="n">
        <f aca="false">I38+J38</f>
        <v>46067</v>
      </c>
      <c r="L38" s="5" t="n">
        <v>12</v>
      </c>
      <c r="M38" s="10" t="n">
        <f aca="false">INDEX(Dim_Supplier!$F$2:$F$21,MATCH(B38,Dim_Supplier!$A$2:$A$21,0))</f>
        <v>95</v>
      </c>
      <c r="N38" s="11" t="n">
        <v>-0.0011</v>
      </c>
      <c r="O38" s="10" t="n">
        <f aca="false">M38*(1+N38)</f>
        <v>94.8955</v>
      </c>
      <c r="P38" s="10" t="n">
        <f aca="false">O38*L38</f>
        <v>1138.746</v>
      </c>
      <c r="Q38" s="5" t="s">
        <v>133</v>
      </c>
      <c r="R38" s="5" t="n">
        <v>1</v>
      </c>
      <c r="S38" s="5" t="n">
        <v>45</v>
      </c>
      <c r="T38" s="12" t="n">
        <f aca="false">(O38-M38)/M38</f>
        <v>-0.00110000000000002</v>
      </c>
      <c r="U38" s="8" t="n">
        <f aca="false">IF(AND(K38&lt;=I38,R38=0),1,0)</f>
        <v>0</v>
      </c>
      <c r="V38" s="10" t="n">
        <f aca="false">IF(Q38="No",P38,0)</f>
        <v>1138.746</v>
      </c>
    </row>
    <row r="39" customFormat="false" ht="15" hidden="false" customHeight="false" outlineLevel="0" collapsed="false">
      <c r="A39" s="5" t="s">
        <v>170</v>
      </c>
      <c r="B39" s="5" t="s">
        <v>62</v>
      </c>
      <c r="C39" s="7" t="n">
        <v>45977</v>
      </c>
      <c r="D39" s="8" t="str">
        <f aca="false">INDEX(Dim_Supplier!$C$2:$C$21,MATCH(B39,Dim_Supplier!$A$2:$A$21,0))</f>
        <v>Packaging</v>
      </c>
      <c r="E39" s="8" t="str">
        <f aca="false">INDEX(Dim_Supplier!$B$2:$B$21,MATCH(B39,Dim_Supplier!$A$2:$A$21,0))</f>
        <v>Trillium Packaging Solutions</v>
      </c>
      <c r="F39" s="5" t="s">
        <v>158</v>
      </c>
      <c r="G39" s="5" t="s">
        <v>120</v>
      </c>
      <c r="H39" s="8" t="n">
        <f aca="false">INDEX(Lookup_Tables!$B$2:$B$5,MATCH(D39,Lookup_Tables!$A$2:$A$5,0))</f>
        <v>14</v>
      </c>
      <c r="I39" s="9" t="n">
        <f aca="false">C39+H39</f>
        <v>45991</v>
      </c>
      <c r="J39" s="5" t="n">
        <v>-1</v>
      </c>
      <c r="K39" s="9" t="n">
        <f aca="false">I39+J39</f>
        <v>45990</v>
      </c>
      <c r="L39" s="5" t="n">
        <v>3633</v>
      </c>
      <c r="M39" s="10" t="n">
        <f aca="false">INDEX(Dim_Supplier!$F$2:$F$21,MATCH(B39,Dim_Supplier!$A$2:$A$21,0))</f>
        <v>5.6</v>
      </c>
      <c r="N39" s="11" t="n">
        <v>0.0462</v>
      </c>
      <c r="O39" s="10" t="n">
        <f aca="false">M39*(1+N39)</f>
        <v>5.85872</v>
      </c>
      <c r="P39" s="10" t="n">
        <f aca="false">O39*L39</f>
        <v>21284.72976</v>
      </c>
      <c r="Q39" s="5" t="s">
        <v>113</v>
      </c>
      <c r="R39" s="5" t="n">
        <v>0</v>
      </c>
      <c r="S39" s="5" t="n">
        <v>30</v>
      </c>
      <c r="T39" s="12" t="n">
        <f aca="false">(O39-M39)/M39</f>
        <v>0.0462000000000001</v>
      </c>
      <c r="U39" s="8" t="n">
        <f aca="false">IF(AND(K39&lt;=I39,R39=0),1,0)</f>
        <v>1</v>
      </c>
      <c r="V39" s="10" t="n">
        <f aca="false">IF(Q39="No",P39,0)</f>
        <v>0</v>
      </c>
    </row>
    <row r="40" customFormat="false" ht="15" hidden="false" customHeight="false" outlineLevel="0" collapsed="false">
      <c r="A40" s="5" t="s">
        <v>171</v>
      </c>
      <c r="B40" s="5" t="s">
        <v>79</v>
      </c>
      <c r="C40" s="7" t="n">
        <v>45763</v>
      </c>
      <c r="D40" s="8" t="str">
        <f aca="false">INDEX(Dim_Supplier!$C$2:$C$21,MATCH(B40,Dim_Supplier!$A$2:$A$21,0))</f>
        <v>Logistics</v>
      </c>
      <c r="E40" s="8" t="str">
        <f aca="false">INDEX(Dim_Supplier!$B$2:$B$21,MATCH(B40,Dim_Supplier!$A$2:$A$21,0))</f>
        <v>Niagara Freight Solutions</v>
      </c>
      <c r="F40" s="5" t="s">
        <v>146</v>
      </c>
      <c r="G40" s="5" t="s">
        <v>120</v>
      </c>
      <c r="H40" s="8" t="n">
        <f aca="false">INDEX(Lookup_Tables!$B$2:$B$5,MATCH(D40,Lookup_Tables!$A$2:$A$5,0))</f>
        <v>5</v>
      </c>
      <c r="I40" s="9" t="n">
        <f aca="false">C40+H40</f>
        <v>45768</v>
      </c>
      <c r="J40" s="5" t="n">
        <v>0</v>
      </c>
      <c r="K40" s="9" t="n">
        <f aca="false">I40+J40</f>
        <v>45768</v>
      </c>
      <c r="L40" s="5" t="n">
        <v>15</v>
      </c>
      <c r="M40" s="10" t="n">
        <f aca="false">INDEX(Dim_Supplier!$F$2:$F$21,MATCH(B40,Dim_Supplier!$A$2:$A$21,0))</f>
        <v>340</v>
      </c>
      <c r="N40" s="11" t="n">
        <v>-0.0266</v>
      </c>
      <c r="O40" s="10" t="n">
        <f aca="false">M40*(1+N40)</f>
        <v>330.956</v>
      </c>
      <c r="P40" s="10" t="n">
        <f aca="false">O40*L40</f>
        <v>4964.34</v>
      </c>
      <c r="Q40" s="5" t="s">
        <v>113</v>
      </c>
      <c r="R40" s="5" t="n">
        <v>0</v>
      </c>
      <c r="S40" s="5" t="n">
        <v>30</v>
      </c>
      <c r="T40" s="12" t="n">
        <f aca="false">(O40-M40)/M40</f>
        <v>-0.0266</v>
      </c>
      <c r="U40" s="8" t="n">
        <f aca="false">IF(AND(K40&lt;=I40,R40=0),1,0)</f>
        <v>1</v>
      </c>
      <c r="V40" s="10" t="n">
        <f aca="false">IF(Q40="No",P40,0)</f>
        <v>0</v>
      </c>
    </row>
    <row r="41" customFormat="false" ht="15" hidden="false" customHeight="false" outlineLevel="0" collapsed="false">
      <c r="A41" s="5" t="s">
        <v>172</v>
      </c>
      <c r="B41" s="5" t="s">
        <v>82</v>
      </c>
      <c r="C41" s="7" t="n">
        <v>46083</v>
      </c>
      <c r="D41" s="8" t="str">
        <f aca="false">INDEX(Dim_Supplier!$C$2:$C$21,MATCH(B41,Dim_Supplier!$A$2:$A$21,0))</f>
        <v>Logistics</v>
      </c>
      <c r="E41" s="8" t="str">
        <f aca="false">INDEX(Dim_Supplier!$B$2:$B$21,MATCH(B41,Dim_Supplier!$A$2:$A$21,0))</f>
        <v>Maple Route Logistics</v>
      </c>
      <c r="F41" s="5" t="s">
        <v>146</v>
      </c>
      <c r="G41" s="5" t="s">
        <v>120</v>
      </c>
      <c r="H41" s="8" t="n">
        <f aca="false">INDEX(Lookup_Tables!$B$2:$B$5,MATCH(D41,Lookup_Tables!$A$2:$A$5,0))</f>
        <v>5</v>
      </c>
      <c r="I41" s="9" t="n">
        <f aca="false">C41+H41</f>
        <v>46088</v>
      </c>
      <c r="J41" s="5" t="n">
        <v>-2</v>
      </c>
      <c r="K41" s="9" t="n">
        <f aca="false">I41+J41</f>
        <v>46086</v>
      </c>
      <c r="L41" s="5" t="n">
        <v>35</v>
      </c>
      <c r="M41" s="10" t="n">
        <f aca="false">INDEX(Dim_Supplier!$F$2:$F$21,MATCH(B41,Dim_Supplier!$A$2:$A$21,0))</f>
        <v>285</v>
      </c>
      <c r="N41" s="11" t="n">
        <v>0.0143</v>
      </c>
      <c r="O41" s="10" t="n">
        <f aca="false">M41*(1+N41)</f>
        <v>289.0755</v>
      </c>
      <c r="P41" s="10" t="n">
        <f aca="false">O41*L41</f>
        <v>10117.6425</v>
      </c>
      <c r="Q41" s="5" t="s">
        <v>113</v>
      </c>
      <c r="R41" s="5" t="n">
        <v>0</v>
      </c>
      <c r="S41" s="5" t="n">
        <v>60</v>
      </c>
      <c r="T41" s="12" t="n">
        <f aca="false">(O41-M41)/M41</f>
        <v>0.0142999999999999</v>
      </c>
      <c r="U41" s="8" t="n">
        <f aca="false">IF(AND(K41&lt;=I41,R41=0),1,0)</f>
        <v>1</v>
      </c>
      <c r="V41" s="10" t="n">
        <f aca="false">IF(Q41="No",P41,0)</f>
        <v>0</v>
      </c>
    </row>
    <row r="42" customFormat="false" ht="15" hidden="false" customHeight="false" outlineLevel="0" collapsed="false">
      <c r="A42" s="5" t="s">
        <v>173</v>
      </c>
      <c r="B42" s="5" t="s">
        <v>54</v>
      </c>
      <c r="C42" s="7" t="n">
        <v>45886</v>
      </c>
      <c r="D42" s="8" t="str">
        <f aca="false">INDEX(Dim_Supplier!$C$2:$C$21,MATCH(B42,Dim_Supplier!$A$2:$A$21,0))</f>
        <v>Raw Materials</v>
      </c>
      <c r="E42" s="8" t="str">
        <f aca="false">INDEX(Dim_Supplier!$B$2:$B$21,MATCH(B42,Dim_Supplier!$A$2:$A$21,0))</f>
        <v>Northern Resin Solutions</v>
      </c>
      <c r="F42" s="5" t="s">
        <v>139</v>
      </c>
      <c r="G42" s="5" t="s">
        <v>129</v>
      </c>
      <c r="H42" s="8" t="n">
        <f aca="false">INDEX(Lookup_Tables!$B$2:$B$5,MATCH(D42,Lookup_Tables!$A$2:$A$5,0))</f>
        <v>21</v>
      </c>
      <c r="I42" s="9" t="n">
        <f aca="false">C42+H42</f>
        <v>45907</v>
      </c>
      <c r="J42" s="5" t="n">
        <v>1</v>
      </c>
      <c r="K42" s="9" t="n">
        <f aca="false">I42+J42</f>
        <v>45908</v>
      </c>
      <c r="L42" s="5" t="n">
        <v>1592</v>
      </c>
      <c r="M42" s="10" t="n">
        <f aca="false">INDEX(Dim_Supplier!$F$2:$F$21,MATCH(B42,Dim_Supplier!$A$2:$A$21,0))</f>
        <v>38.9</v>
      </c>
      <c r="N42" s="11" t="n">
        <v>0.0634</v>
      </c>
      <c r="O42" s="10" t="n">
        <f aca="false">M42*(1+N42)</f>
        <v>41.36626</v>
      </c>
      <c r="P42" s="10" t="n">
        <f aca="false">O42*L42</f>
        <v>65855.08592</v>
      </c>
      <c r="Q42" s="5" t="s">
        <v>113</v>
      </c>
      <c r="R42" s="5" t="n">
        <v>0</v>
      </c>
      <c r="S42" s="5" t="n">
        <v>60</v>
      </c>
      <c r="T42" s="12" t="n">
        <f aca="false">(O42-M42)/M42</f>
        <v>0.0634</v>
      </c>
      <c r="U42" s="8" t="n">
        <f aca="false">IF(AND(K42&lt;=I42,R42=0),1,0)</f>
        <v>0</v>
      </c>
      <c r="V42" s="10" t="n">
        <f aca="false">IF(Q42="No",P42,0)</f>
        <v>0</v>
      </c>
    </row>
    <row r="43" customFormat="false" ht="15" hidden="false" customHeight="false" outlineLevel="0" collapsed="false">
      <c r="A43" s="5" t="s">
        <v>174</v>
      </c>
      <c r="B43" s="5" t="s">
        <v>46</v>
      </c>
      <c r="C43" s="7" t="n">
        <v>45882</v>
      </c>
      <c r="D43" s="8" t="str">
        <f aca="false">INDEX(Dim_Supplier!$C$2:$C$21,MATCH(B43,Dim_Supplier!$A$2:$A$21,0))</f>
        <v>Raw Materials</v>
      </c>
      <c r="E43" s="8" t="str">
        <f aca="false">INDEX(Dim_Supplier!$B$2:$B$21,MATCH(B43,Dim_Supplier!$A$2:$A$21,0))</f>
        <v>Niagara Alloy Supply</v>
      </c>
      <c r="F43" s="5" t="s">
        <v>115</v>
      </c>
      <c r="G43" s="5" t="s">
        <v>120</v>
      </c>
      <c r="H43" s="8" t="n">
        <f aca="false">INDEX(Lookup_Tables!$B$2:$B$5,MATCH(D43,Lookup_Tables!$A$2:$A$5,0))</f>
        <v>21</v>
      </c>
      <c r="I43" s="9" t="n">
        <f aca="false">C43+H43</f>
        <v>45903</v>
      </c>
      <c r="J43" s="5" t="n">
        <v>1</v>
      </c>
      <c r="K43" s="9" t="n">
        <f aca="false">I43+J43</f>
        <v>45904</v>
      </c>
      <c r="L43" s="5" t="n">
        <v>1164</v>
      </c>
      <c r="M43" s="10" t="n">
        <f aca="false">INDEX(Dim_Supplier!$F$2:$F$21,MATCH(B43,Dim_Supplier!$A$2:$A$21,0))</f>
        <v>46.5</v>
      </c>
      <c r="N43" s="11" t="n">
        <v>0.0359</v>
      </c>
      <c r="O43" s="10" t="n">
        <f aca="false">M43*(1+N43)</f>
        <v>48.16935</v>
      </c>
      <c r="P43" s="10" t="n">
        <f aca="false">O43*L43</f>
        <v>56069.1234</v>
      </c>
      <c r="Q43" s="5" t="s">
        <v>133</v>
      </c>
      <c r="R43" s="5" t="n">
        <v>0</v>
      </c>
      <c r="S43" s="5" t="n">
        <v>45</v>
      </c>
      <c r="T43" s="12" t="n">
        <f aca="false">(O43-M43)/M43</f>
        <v>0.0359</v>
      </c>
      <c r="U43" s="8" t="n">
        <f aca="false">IF(AND(K43&lt;=I43,R43=0),1,0)</f>
        <v>0</v>
      </c>
      <c r="V43" s="10" t="n">
        <f aca="false">IF(Q43="No",P43,0)</f>
        <v>56069.1234</v>
      </c>
    </row>
    <row r="44" customFormat="false" ht="15" hidden="false" customHeight="false" outlineLevel="0" collapsed="false">
      <c r="A44" s="5" t="s">
        <v>175</v>
      </c>
      <c r="B44" s="5" t="s">
        <v>77</v>
      </c>
      <c r="C44" s="7" t="n">
        <v>45978</v>
      </c>
      <c r="D44" s="8" t="str">
        <f aca="false">INDEX(Dim_Supplier!$C$2:$C$21,MATCH(B44,Dim_Supplier!$A$2:$A$21,0))</f>
        <v>MRO</v>
      </c>
      <c r="E44" s="8" t="str">
        <f aca="false">INDEX(Dim_Supplier!$B$2:$B$21,MATCH(B44,Dim_Supplier!$A$2:$A$21,0))</f>
        <v>Apex Industrial Supply</v>
      </c>
      <c r="F44" s="5" t="s">
        <v>164</v>
      </c>
      <c r="G44" s="5" t="s">
        <v>120</v>
      </c>
      <c r="H44" s="8" t="n">
        <f aca="false">INDEX(Lookup_Tables!$B$2:$B$5,MATCH(D44,Lookup_Tables!$A$2:$A$5,0))</f>
        <v>10</v>
      </c>
      <c r="I44" s="9" t="n">
        <f aca="false">C44+H44</f>
        <v>45988</v>
      </c>
      <c r="J44" s="5" t="n">
        <v>-4</v>
      </c>
      <c r="K44" s="9" t="n">
        <f aca="false">I44+J44</f>
        <v>45984</v>
      </c>
      <c r="L44" s="5" t="n">
        <v>89</v>
      </c>
      <c r="M44" s="10" t="n">
        <f aca="false">INDEX(Dim_Supplier!$F$2:$F$21,MATCH(B44,Dim_Supplier!$A$2:$A$21,0))</f>
        <v>24.6</v>
      </c>
      <c r="N44" s="11" t="n">
        <v>0.0704</v>
      </c>
      <c r="O44" s="10" t="n">
        <f aca="false">M44*(1+N44)</f>
        <v>26.33184</v>
      </c>
      <c r="P44" s="10" t="n">
        <f aca="false">O44*L44</f>
        <v>2343.53376</v>
      </c>
      <c r="Q44" s="5" t="s">
        <v>113</v>
      </c>
      <c r="R44" s="5" t="n">
        <v>0</v>
      </c>
      <c r="S44" s="5" t="n">
        <v>30</v>
      </c>
      <c r="T44" s="12" t="n">
        <f aca="false">(O44-M44)/M44</f>
        <v>0.0704000000000001</v>
      </c>
      <c r="U44" s="8" t="n">
        <f aca="false">IF(AND(K44&lt;=I44,R44=0),1,0)</f>
        <v>1</v>
      </c>
      <c r="V44" s="10" t="n">
        <f aca="false">IF(Q44="No",P44,0)</f>
        <v>0</v>
      </c>
    </row>
    <row r="45" customFormat="false" ht="15" hidden="false" customHeight="false" outlineLevel="0" collapsed="false">
      <c r="A45" s="5" t="s">
        <v>176</v>
      </c>
      <c r="B45" s="5" t="s">
        <v>86</v>
      </c>
      <c r="C45" s="7" t="n">
        <v>45811</v>
      </c>
      <c r="D45" s="8" t="str">
        <f aca="false">INDEX(Dim_Supplier!$C$2:$C$21,MATCH(B45,Dim_Supplier!$A$2:$A$21,0))</f>
        <v>Logistics</v>
      </c>
      <c r="E45" s="8" t="str">
        <f aca="false">INDEX(Dim_Supplier!$B$2:$B$21,MATCH(B45,Dim_Supplier!$A$2:$A$21,0))</f>
        <v>Blue Water Customs Brokerage</v>
      </c>
      <c r="F45" s="5" t="s">
        <v>146</v>
      </c>
      <c r="G45" s="5" t="s">
        <v>125</v>
      </c>
      <c r="H45" s="8" t="n">
        <f aca="false">INDEX(Lookup_Tables!$B$2:$B$5,MATCH(D45,Lookup_Tables!$A$2:$A$5,0))</f>
        <v>5</v>
      </c>
      <c r="I45" s="9" t="n">
        <f aca="false">C45+H45</f>
        <v>45816</v>
      </c>
      <c r="J45" s="5" t="n">
        <v>-3</v>
      </c>
      <c r="K45" s="9" t="n">
        <f aca="false">I45+J45</f>
        <v>45813</v>
      </c>
      <c r="L45" s="5" t="n">
        <v>36</v>
      </c>
      <c r="M45" s="10" t="n">
        <f aca="false">INDEX(Dim_Supplier!$F$2:$F$21,MATCH(B45,Dim_Supplier!$A$2:$A$21,0))</f>
        <v>175</v>
      </c>
      <c r="N45" s="11" t="n">
        <v>0.0374</v>
      </c>
      <c r="O45" s="10" t="n">
        <f aca="false">M45*(1+N45)</f>
        <v>181.545</v>
      </c>
      <c r="P45" s="10" t="n">
        <f aca="false">O45*L45</f>
        <v>6535.62</v>
      </c>
      <c r="Q45" s="5" t="s">
        <v>113</v>
      </c>
      <c r="R45" s="5" t="n">
        <v>0</v>
      </c>
      <c r="S45" s="5" t="n">
        <v>60</v>
      </c>
      <c r="T45" s="12" t="n">
        <f aca="false">(O45-M45)/M45</f>
        <v>0.0374000000000001</v>
      </c>
      <c r="U45" s="8" t="n">
        <f aca="false">IF(AND(K45&lt;=I45,R45=0),1,0)</f>
        <v>1</v>
      </c>
      <c r="V45" s="10" t="n">
        <f aca="false">IF(Q45="No",P45,0)</f>
        <v>0</v>
      </c>
    </row>
    <row r="46" customFormat="false" ht="15" hidden="false" customHeight="false" outlineLevel="0" collapsed="false">
      <c r="A46" s="5" t="s">
        <v>177</v>
      </c>
      <c r="B46" s="5" t="s">
        <v>75</v>
      </c>
      <c r="C46" s="7" t="n">
        <v>45470</v>
      </c>
      <c r="D46" s="8" t="str">
        <f aca="false">INDEX(Dim_Supplier!$C$2:$C$21,MATCH(B46,Dim_Supplier!$A$2:$A$21,0))</f>
        <v>MRO</v>
      </c>
      <c r="E46" s="8" t="str">
        <f aca="false">INDEX(Dim_Supplier!$B$2:$B$21,MATCH(B46,Dim_Supplier!$A$2:$A$21,0))</f>
        <v>Sterling Lubricants Inc.</v>
      </c>
      <c r="F46" s="5" t="s">
        <v>132</v>
      </c>
      <c r="G46" s="5" t="s">
        <v>120</v>
      </c>
      <c r="H46" s="8" t="n">
        <f aca="false">INDEX(Lookup_Tables!$B$2:$B$5,MATCH(D46,Lookup_Tables!$A$2:$A$5,0))</f>
        <v>10</v>
      </c>
      <c r="I46" s="9" t="n">
        <f aca="false">C46+H46</f>
        <v>45480</v>
      </c>
      <c r="J46" s="5" t="n">
        <v>-4</v>
      </c>
      <c r="K46" s="9" t="n">
        <f aca="false">I46+J46</f>
        <v>45476</v>
      </c>
      <c r="L46" s="5" t="n">
        <v>82</v>
      </c>
      <c r="M46" s="10" t="n">
        <f aca="false">INDEX(Dim_Supplier!$F$2:$F$21,MATCH(B46,Dim_Supplier!$A$2:$A$21,0))</f>
        <v>27.1</v>
      </c>
      <c r="N46" s="11" t="n">
        <v>0.0411</v>
      </c>
      <c r="O46" s="10" t="n">
        <f aca="false">M46*(1+N46)</f>
        <v>28.21381</v>
      </c>
      <c r="P46" s="10" t="n">
        <f aca="false">O46*L46</f>
        <v>2313.53242</v>
      </c>
      <c r="Q46" s="5" t="s">
        <v>113</v>
      </c>
      <c r="R46" s="5" t="n">
        <v>0</v>
      </c>
      <c r="S46" s="5" t="n">
        <v>45</v>
      </c>
      <c r="T46" s="12" t="n">
        <f aca="false">(O46-M46)/M46</f>
        <v>0.0410999999999999</v>
      </c>
      <c r="U46" s="8" t="n">
        <f aca="false">IF(AND(K46&lt;=I46,R46=0),1,0)</f>
        <v>1</v>
      </c>
      <c r="V46" s="10" t="n">
        <f aca="false">IF(Q46="No",P46,0)</f>
        <v>0</v>
      </c>
    </row>
    <row r="47" customFormat="false" ht="15" hidden="false" customHeight="false" outlineLevel="0" collapsed="false">
      <c r="A47" s="5" t="s">
        <v>178</v>
      </c>
      <c r="B47" s="5" t="s">
        <v>73</v>
      </c>
      <c r="C47" s="7" t="n">
        <v>45768</v>
      </c>
      <c r="D47" s="8" t="str">
        <f aca="false">INDEX(Dim_Supplier!$C$2:$C$21,MATCH(B47,Dim_Supplier!$A$2:$A$21,0))</f>
        <v>MRO</v>
      </c>
      <c r="E47" s="8" t="str">
        <f aca="false">INDEX(Dim_Supplier!$B$2:$B$21,MATCH(B47,Dim_Supplier!$A$2:$A$21,0))</f>
        <v>Frontier MRO Solutions</v>
      </c>
      <c r="F47" s="5" t="s">
        <v>179</v>
      </c>
      <c r="G47" s="5" t="s">
        <v>125</v>
      </c>
      <c r="H47" s="8" t="n">
        <f aca="false">INDEX(Lookup_Tables!$B$2:$B$5,MATCH(D47,Lookup_Tables!$A$2:$A$5,0))</f>
        <v>10</v>
      </c>
      <c r="I47" s="9" t="n">
        <f aca="false">C47+H47</f>
        <v>45778</v>
      </c>
      <c r="J47" s="5" t="n">
        <v>4</v>
      </c>
      <c r="K47" s="9" t="n">
        <f aca="false">I47+J47</f>
        <v>45782</v>
      </c>
      <c r="L47" s="5" t="n">
        <v>193</v>
      </c>
      <c r="M47" s="10" t="n">
        <f aca="false">INDEX(Dim_Supplier!$F$2:$F$21,MATCH(B47,Dim_Supplier!$A$2:$A$21,0))</f>
        <v>15.9</v>
      </c>
      <c r="N47" s="11" t="n">
        <v>0.1286</v>
      </c>
      <c r="O47" s="10" t="n">
        <f aca="false">M47*(1+N47)</f>
        <v>17.94474</v>
      </c>
      <c r="P47" s="10" t="n">
        <f aca="false">O47*L47</f>
        <v>3463.33482</v>
      </c>
      <c r="Q47" s="5" t="s">
        <v>113</v>
      </c>
      <c r="R47" s="5" t="n">
        <v>0</v>
      </c>
      <c r="S47" s="5" t="n">
        <v>45</v>
      </c>
      <c r="T47" s="12" t="n">
        <f aca="false">(O47-M47)/M47</f>
        <v>0.1286</v>
      </c>
      <c r="U47" s="8" t="n">
        <f aca="false">IF(AND(K47&lt;=I47,R47=0),1,0)</f>
        <v>0</v>
      </c>
      <c r="V47" s="10" t="n">
        <f aca="false">IF(Q47="No",P47,0)</f>
        <v>0</v>
      </c>
    </row>
    <row r="48" customFormat="false" ht="15" hidden="false" customHeight="false" outlineLevel="0" collapsed="false">
      <c r="A48" s="5" t="s">
        <v>180</v>
      </c>
      <c r="B48" s="5" t="s">
        <v>71</v>
      </c>
      <c r="C48" s="7" t="n">
        <v>45635</v>
      </c>
      <c r="D48" s="8" t="str">
        <f aca="false">INDEX(Dim_Supplier!$C$2:$C$21,MATCH(B48,Dim_Supplier!$A$2:$A$21,0))</f>
        <v>MRO</v>
      </c>
      <c r="E48" s="8" t="str">
        <f aca="false">INDEX(Dim_Supplier!$B$2:$B$21,MATCH(B48,Dim_Supplier!$A$2:$A$21,0))</f>
        <v>CanSafe Equipment Ltd.</v>
      </c>
      <c r="F48" s="5" t="s">
        <v>127</v>
      </c>
      <c r="G48" s="5" t="s">
        <v>112</v>
      </c>
      <c r="H48" s="8" t="n">
        <f aca="false">INDEX(Lookup_Tables!$B$2:$B$5,MATCH(D48,Lookup_Tables!$A$2:$A$5,0))</f>
        <v>10</v>
      </c>
      <c r="I48" s="9" t="n">
        <f aca="false">C48+H48</f>
        <v>45645</v>
      </c>
      <c r="J48" s="5" t="n">
        <v>-2</v>
      </c>
      <c r="K48" s="9" t="n">
        <f aca="false">I48+J48</f>
        <v>45643</v>
      </c>
      <c r="L48" s="5" t="n">
        <v>55</v>
      </c>
      <c r="M48" s="10" t="n">
        <f aca="false">INDEX(Dim_Supplier!$F$2:$F$21,MATCH(B48,Dim_Supplier!$A$2:$A$21,0))</f>
        <v>18.75</v>
      </c>
      <c r="N48" s="11" t="n">
        <v>0.0174</v>
      </c>
      <c r="O48" s="10" t="n">
        <f aca="false">M48*(1+N48)</f>
        <v>19.07625</v>
      </c>
      <c r="P48" s="10" t="n">
        <f aca="false">O48*L48</f>
        <v>1049.19375</v>
      </c>
      <c r="Q48" s="5" t="s">
        <v>113</v>
      </c>
      <c r="R48" s="5" t="n">
        <v>0</v>
      </c>
      <c r="S48" s="5" t="n">
        <v>60</v>
      </c>
      <c r="T48" s="12" t="n">
        <f aca="false">(O48-M48)/M48</f>
        <v>0.0174000000000001</v>
      </c>
      <c r="U48" s="8" t="n">
        <f aca="false">IF(AND(K48&lt;=I48,R48=0),1,0)</f>
        <v>1</v>
      </c>
      <c r="V48" s="10" t="n">
        <f aca="false">IF(Q48="No",P48,0)</f>
        <v>0</v>
      </c>
    </row>
    <row r="49" customFormat="false" ht="15" hidden="false" customHeight="false" outlineLevel="0" collapsed="false">
      <c r="A49" s="5" t="s">
        <v>181</v>
      </c>
      <c r="B49" s="5" t="s">
        <v>71</v>
      </c>
      <c r="C49" s="7" t="n">
        <v>46078</v>
      </c>
      <c r="D49" s="8" t="str">
        <f aca="false">INDEX(Dim_Supplier!$C$2:$C$21,MATCH(B49,Dim_Supplier!$A$2:$A$21,0))</f>
        <v>MRO</v>
      </c>
      <c r="E49" s="8" t="str">
        <f aca="false">INDEX(Dim_Supplier!$B$2:$B$21,MATCH(B49,Dim_Supplier!$A$2:$A$21,0))</f>
        <v>CanSafe Equipment Ltd.</v>
      </c>
      <c r="F49" s="5" t="s">
        <v>127</v>
      </c>
      <c r="G49" s="5" t="s">
        <v>125</v>
      </c>
      <c r="H49" s="8" t="n">
        <f aca="false">INDEX(Lookup_Tables!$B$2:$B$5,MATCH(D49,Lookup_Tables!$A$2:$A$5,0))</f>
        <v>10</v>
      </c>
      <c r="I49" s="9" t="n">
        <f aca="false">C49+H49</f>
        <v>46088</v>
      </c>
      <c r="J49" s="5" t="n">
        <v>-3</v>
      </c>
      <c r="K49" s="9" t="n">
        <f aca="false">I49+J49</f>
        <v>46085</v>
      </c>
      <c r="L49" s="5" t="n">
        <v>54</v>
      </c>
      <c r="M49" s="10" t="n">
        <f aca="false">INDEX(Dim_Supplier!$F$2:$F$21,MATCH(B49,Dim_Supplier!$A$2:$A$21,0))</f>
        <v>18.75</v>
      </c>
      <c r="N49" s="11" t="n">
        <v>0.0444</v>
      </c>
      <c r="O49" s="10" t="n">
        <f aca="false">M49*(1+N49)</f>
        <v>19.5825</v>
      </c>
      <c r="P49" s="10" t="n">
        <f aca="false">O49*L49</f>
        <v>1057.455</v>
      </c>
      <c r="Q49" s="5" t="s">
        <v>113</v>
      </c>
      <c r="R49" s="5" t="n">
        <v>0</v>
      </c>
      <c r="S49" s="5" t="n">
        <v>30</v>
      </c>
      <c r="T49" s="12" t="n">
        <f aca="false">(O49-M49)/M49</f>
        <v>0.0444</v>
      </c>
      <c r="U49" s="8" t="n">
        <f aca="false">IF(AND(K49&lt;=I49,R49=0),1,0)</f>
        <v>1</v>
      </c>
      <c r="V49" s="10" t="n">
        <f aca="false">IF(Q49="No",P49,0)</f>
        <v>0</v>
      </c>
    </row>
    <row r="50" customFormat="false" ht="15" hidden="false" customHeight="false" outlineLevel="0" collapsed="false">
      <c r="A50" s="5" t="s">
        <v>182</v>
      </c>
      <c r="B50" s="5" t="s">
        <v>46</v>
      </c>
      <c r="C50" s="7" t="n">
        <v>45996</v>
      </c>
      <c r="D50" s="8" t="str">
        <f aca="false">INDEX(Dim_Supplier!$C$2:$C$21,MATCH(B50,Dim_Supplier!$A$2:$A$21,0))</f>
        <v>Raw Materials</v>
      </c>
      <c r="E50" s="8" t="str">
        <f aca="false">INDEX(Dim_Supplier!$B$2:$B$21,MATCH(B50,Dim_Supplier!$A$2:$A$21,0))</f>
        <v>Niagara Alloy Supply</v>
      </c>
      <c r="F50" s="5" t="s">
        <v>148</v>
      </c>
      <c r="G50" s="5" t="s">
        <v>129</v>
      </c>
      <c r="H50" s="8" t="n">
        <f aca="false">INDEX(Lookup_Tables!$B$2:$B$5,MATCH(D50,Lookup_Tables!$A$2:$A$5,0))</f>
        <v>21</v>
      </c>
      <c r="I50" s="9" t="n">
        <f aca="false">C50+H50</f>
        <v>46017</v>
      </c>
      <c r="J50" s="5" t="n">
        <v>-1</v>
      </c>
      <c r="K50" s="9" t="n">
        <f aca="false">I50+J50</f>
        <v>46016</v>
      </c>
      <c r="L50" s="5" t="n">
        <v>1746</v>
      </c>
      <c r="M50" s="10" t="n">
        <f aca="false">INDEX(Dim_Supplier!$F$2:$F$21,MATCH(B50,Dim_Supplier!$A$2:$A$21,0))</f>
        <v>46.5</v>
      </c>
      <c r="N50" s="11" t="n">
        <v>0.0162</v>
      </c>
      <c r="O50" s="10" t="n">
        <f aca="false">M50*(1+N50)</f>
        <v>47.2533</v>
      </c>
      <c r="P50" s="10" t="n">
        <f aca="false">O50*L50</f>
        <v>82504.2618</v>
      </c>
      <c r="Q50" s="5" t="s">
        <v>133</v>
      </c>
      <c r="R50" s="5" t="n">
        <v>0</v>
      </c>
      <c r="S50" s="5" t="n">
        <v>30</v>
      </c>
      <c r="T50" s="12" t="n">
        <f aca="false">(O50-M50)/M50</f>
        <v>0.0162000000000001</v>
      </c>
      <c r="U50" s="8" t="n">
        <f aca="false">IF(AND(K50&lt;=I50,R50=0),1,0)</f>
        <v>1</v>
      </c>
      <c r="V50" s="10" t="n">
        <f aca="false">IF(Q50="No",P50,0)</f>
        <v>82504.2618</v>
      </c>
    </row>
    <row r="51" customFormat="false" ht="15" hidden="false" customHeight="false" outlineLevel="0" collapsed="false">
      <c r="A51" s="5" t="s">
        <v>183</v>
      </c>
      <c r="B51" s="5" t="s">
        <v>52</v>
      </c>
      <c r="C51" s="7" t="n">
        <v>46160</v>
      </c>
      <c r="D51" s="8" t="str">
        <f aca="false">INDEX(Dim_Supplier!$C$2:$C$21,MATCH(B51,Dim_Supplier!$A$2:$A$21,0))</f>
        <v>Raw Materials</v>
      </c>
      <c r="E51" s="8" t="str">
        <f aca="false">INDEX(Dim_Supplier!$B$2:$B$21,MATCH(B51,Dim_Supplier!$A$2:$A$21,0))</f>
        <v>Laurentian Metals Inc.</v>
      </c>
      <c r="F51" s="5" t="s">
        <v>148</v>
      </c>
      <c r="G51" s="5" t="s">
        <v>125</v>
      </c>
      <c r="H51" s="8" t="n">
        <f aca="false">INDEX(Lookup_Tables!$B$2:$B$5,MATCH(D51,Lookup_Tables!$A$2:$A$5,0))</f>
        <v>21</v>
      </c>
      <c r="I51" s="9" t="n">
        <f aca="false">C51+H51</f>
        <v>46181</v>
      </c>
      <c r="J51" s="5" t="n">
        <v>-2</v>
      </c>
      <c r="K51" s="9" t="n">
        <f aca="false">I51+J51</f>
        <v>46179</v>
      </c>
      <c r="L51" s="5" t="n">
        <v>1187</v>
      </c>
      <c r="M51" s="10" t="n">
        <f aca="false">INDEX(Dim_Supplier!$F$2:$F$21,MATCH(B51,Dim_Supplier!$A$2:$A$21,0))</f>
        <v>61.2</v>
      </c>
      <c r="N51" s="11" t="n">
        <v>0.0366</v>
      </c>
      <c r="O51" s="10" t="n">
        <f aca="false">M51*(1+N51)</f>
        <v>63.43992</v>
      </c>
      <c r="P51" s="10" t="n">
        <f aca="false">O51*L51</f>
        <v>75303.18504</v>
      </c>
      <c r="Q51" s="5" t="s">
        <v>133</v>
      </c>
      <c r="R51" s="5" t="n">
        <v>0</v>
      </c>
      <c r="S51" s="5" t="n">
        <v>60</v>
      </c>
      <c r="T51" s="12" t="n">
        <f aca="false">(O51-M51)/M51</f>
        <v>0.0366</v>
      </c>
      <c r="U51" s="8" t="n">
        <f aca="false">IF(AND(K51&lt;=I51,R51=0),1,0)</f>
        <v>1</v>
      </c>
      <c r="V51" s="10" t="n">
        <f aca="false">IF(Q51="No",P51,0)</f>
        <v>75303.18504</v>
      </c>
    </row>
    <row r="52" customFormat="false" ht="15" hidden="false" customHeight="false" outlineLevel="0" collapsed="false">
      <c r="A52" s="5" t="s">
        <v>184</v>
      </c>
      <c r="B52" s="5" t="s">
        <v>84</v>
      </c>
      <c r="C52" s="7" t="n">
        <v>45919</v>
      </c>
      <c r="D52" s="8" t="str">
        <f aca="false">INDEX(Dim_Supplier!$C$2:$C$21,MATCH(B52,Dim_Supplier!$A$2:$A$21,0))</f>
        <v>Logistics</v>
      </c>
      <c r="E52" s="8" t="str">
        <f aca="false">INDEX(Dim_Supplier!$B$2:$B$21,MATCH(B52,Dim_Supplier!$A$2:$A$21,0))</f>
        <v>Trans-Canada Carriers</v>
      </c>
      <c r="F52" s="5" t="s">
        <v>185</v>
      </c>
      <c r="G52" s="5" t="s">
        <v>125</v>
      </c>
      <c r="H52" s="8" t="n">
        <f aca="false">INDEX(Lookup_Tables!$B$2:$B$5,MATCH(D52,Lookup_Tables!$A$2:$A$5,0))</f>
        <v>5</v>
      </c>
      <c r="I52" s="9" t="n">
        <f aca="false">C52+H52</f>
        <v>45924</v>
      </c>
      <c r="J52" s="5" t="n">
        <v>5</v>
      </c>
      <c r="K52" s="9" t="n">
        <f aca="false">I52+J52</f>
        <v>45929</v>
      </c>
      <c r="L52" s="5" t="n">
        <v>11</v>
      </c>
      <c r="M52" s="10" t="n">
        <f aca="false">INDEX(Dim_Supplier!$F$2:$F$21,MATCH(B52,Dim_Supplier!$A$2:$A$21,0))</f>
        <v>210</v>
      </c>
      <c r="N52" s="11" t="n">
        <v>0.108</v>
      </c>
      <c r="O52" s="10" t="n">
        <f aca="false">M52*(1+N52)</f>
        <v>232.68</v>
      </c>
      <c r="P52" s="10" t="n">
        <f aca="false">O52*L52</f>
        <v>2559.48</v>
      </c>
      <c r="Q52" s="5" t="s">
        <v>133</v>
      </c>
      <c r="R52" s="5" t="n">
        <v>0</v>
      </c>
      <c r="S52" s="5" t="n">
        <v>30</v>
      </c>
      <c r="T52" s="12" t="n">
        <f aca="false">(O52-M52)/M52</f>
        <v>0.108</v>
      </c>
      <c r="U52" s="8" t="n">
        <f aca="false">IF(AND(K52&lt;=I52,R52=0),1,0)</f>
        <v>0</v>
      </c>
      <c r="V52" s="10" t="n">
        <f aca="false">IF(Q52="No",P52,0)</f>
        <v>2559.48</v>
      </c>
    </row>
    <row r="53" customFormat="false" ht="15" hidden="false" customHeight="false" outlineLevel="0" collapsed="false">
      <c r="A53" s="5" t="s">
        <v>186</v>
      </c>
      <c r="B53" s="5" t="s">
        <v>52</v>
      </c>
      <c r="C53" s="7" t="n">
        <v>45944</v>
      </c>
      <c r="D53" s="8" t="str">
        <f aca="false">INDEX(Dim_Supplier!$C$2:$C$21,MATCH(B53,Dim_Supplier!$A$2:$A$21,0))</f>
        <v>Raw Materials</v>
      </c>
      <c r="E53" s="8" t="str">
        <f aca="false">INDEX(Dim_Supplier!$B$2:$B$21,MATCH(B53,Dim_Supplier!$A$2:$A$21,0))</f>
        <v>Laurentian Metals Inc.</v>
      </c>
      <c r="F53" s="5" t="s">
        <v>139</v>
      </c>
      <c r="G53" s="5" t="s">
        <v>125</v>
      </c>
      <c r="H53" s="8" t="n">
        <f aca="false">INDEX(Lookup_Tables!$B$2:$B$5,MATCH(D53,Lookup_Tables!$A$2:$A$5,0))</f>
        <v>21</v>
      </c>
      <c r="I53" s="9" t="n">
        <f aca="false">C53+H53</f>
        <v>45965</v>
      </c>
      <c r="J53" s="5" t="n">
        <v>-4</v>
      </c>
      <c r="K53" s="9" t="n">
        <f aca="false">I53+J53</f>
        <v>45961</v>
      </c>
      <c r="L53" s="5" t="n">
        <v>258</v>
      </c>
      <c r="M53" s="10" t="n">
        <f aca="false">INDEX(Dim_Supplier!$F$2:$F$21,MATCH(B53,Dim_Supplier!$A$2:$A$21,0))</f>
        <v>61.2</v>
      </c>
      <c r="N53" s="11" t="n">
        <v>0.0085</v>
      </c>
      <c r="O53" s="10" t="n">
        <f aca="false">M53*(1+N53)</f>
        <v>61.7202</v>
      </c>
      <c r="P53" s="10" t="n">
        <f aca="false">O53*L53</f>
        <v>15923.8116</v>
      </c>
      <c r="Q53" s="5" t="s">
        <v>113</v>
      </c>
      <c r="R53" s="5" t="n">
        <v>0</v>
      </c>
      <c r="S53" s="5" t="n">
        <v>30</v>
      </c>
      <c r="T53" s="12" t="n">
        <f aca="false">(O53-M53)/M53</f>
        <v>0.00849999999999993</v>
      </c>
      <c r="U53" s="8" t="n">
        <f aca="false">IF(AND(K53&lt;=I53,R53=0),1,0)</f>
        <v>1</v>
      </c>
      <c r="V53" s="10" t="n">
        <f aca="false">IF(Q53="No",P53,0)</f>
        <v>0</v>
      </c>
    </row>
    <row r="54" customFormat="false" ht="15" hidden="false" customHeight="false" outlineLevel="0" collapsed="false">
      <c r="A54" s="5" t="s">
        <v>187</v>
      </c>
      <c r="B54" s="5" t="s">
        <v>84</v>
      </c>
      <c r="C54" s="7" t="n">
        <v>45374</v>
      </c>
      <c r="D54" s="8" t="str">
        <f aca="false">INDEX(Dim_Supplier!$C$2:$C$21,MATCH(B54,Dim_Supplier!$A$2:$A$21,0))</f>
        <v>Logistics</v>
      </c>
      <c r="E54" s="8" t="str">
        <f aca="false">INDEX(Dim_Supplier!$B$2:$B$21,MATCH(B54,Dim_Supplier!$A$2:$A$21,0))</f>
        <v>Trans-Canada Carriers</v>
      </c>
      <c r="F54" s="5" t="s">
        <v>154</v>
      </c>
      <c r="G54" s="5" t="s">
        <v>112</v>
      </c>
      <c r="H54" s="8" t="n">
        <f aca="false">INDEX(Lookup_Tables!$B$2:$B$5,MATCH(D54,Lookup_Tables!$A$2:$A$5,0))</f>
        <v>5</v>
      </c>
      <c r="I54" s="9" t="n">
        <f aca="false">C54+H54</f>
        <v>45379</v>
      </c>
      <c r="J54" s="5" t="n">
        <v>4</v>
      </c>
      <c r="K54" s="9" t="n">
        <f aca="false">I54+J54</f>
        <v>45383</v>
      </c>
      <c r="L54" s="5" t="n">
        <v>46</v>
      </c>
      <c r="M54" s="10" t="n">
        <f aca="false">INDEX(Dim_Supplier!$F$2:$F$21,MATCH(B54,Dim_Supplier!$A$2:$A$21,0))</f>
        <v>210</v>
      </c>
      <c r="N54" s="11" t="n">
        <v>0.1606</v>
      </c>
      <c r="O54" s="10" t="n">
        <f aca="false">M54*(1+N54)</f>
        <v>243.726</v>
      </c>
      <c r="P54" s="10" t="n">
        <f aca="false">O54*L54</f>
        <v>11211.396</v>
      </c>
      <c r="Q54" s="5" t="s">
        <v>113</v>
      </c>
      <c r="R54" s="5" t="n">
        <v>0</v>
      </c>
      <c r="S54" s="5" t="n">
        <v>30</v>
      </c>
      <c r="T54" s="12" t="n">
        <f aca="false">(O54-M54)/M54</f>
        <v>0.1606</v>
      </c>
      <c r="U54" s="8" t="n">
        <f aca="false">IF(AND(K54&lt;=I54,R54=0),1,0)</f>
        <v>0</v>
      </c>
      <c r="V54" s="10" t="n">
        <f aca="false">IF(Q54="No",P54,0)</f>
        <v>0</v>
      </c>
    </row>
    <row r="55" customFormat="false" ht="15" hidden="false" customHeight="false" outlineLevel="0" collapsed="false">
      <c r="A55" s="5" t="s">
        <v>188</v>
      </c>
      <c r="B55" s="5" t="s">
        <v>62</v>
      </c>
      <c r="C55" s="7" t="n">
        <v>45355</v>
      </c>
      <c r="D55" s="8" t="str">
        <f aca="false">INDEX(Dim_Supplier!$C$2:$C$21,MATCH(B55,Dim_Supplier!$A$2:$A$21,0))</f>
        <v>Packaging</v>
      </c>
      <c r="E55" s="8" t="str">
        <f aca="false">INDEX(Dim_Supplier!$B$2:$B$21,MATCH(B55,Dim_Supplier!$A$2:$A$21,0))</f>
        <v>Trillium Packaging Solutions</v>
      </c>
      <c r="F55" s="5" t="s">
        <v>158</v>
      </c>
      <c r="G55" s="5" t="s">
        <v>125</v>
      </c>
      <c r="H55" s="8" t="n">
        <f aca="false">INDEX(Lookup_Tables!$B$2:$B$5,MATCH(D55,Lookup_Tables!$A$2:$A$5,0))</f>
        <v>14</v>
      </c>
      <c r="I55" s="9" t="n">
        <f aca="false">C55+H55</f>
        <v>45369</v>
      </c>
      <c r="J55" s="5" t="n">
        <v>-4</v>
      </c>
      <c r="K55" s="9" t="n">
        <f aca="false">I55+J55</f>
        <v>45365</v>
      </c>
      <c r="L55" s="5" t="n">
        <v>660</v>
      </c>
      <c r="M55" s="10" t="n">
        <f aca="false">INDEX(Dim_Supplier!$F$2:$F$21,MATCH(B55,Dim_Supplier!$A$2:$A$21,0))</f>
        <v>5.6</v>
      </c>
      <c r="N55" s="11" t="n">
        <v>0.0419</v>
      </c>
      <c r="O55" s="10" t="n">
        <f aca="false">M55*(1+N55)</f>
        <v>5.83464</v>
      </c>
      <c r="P55" s="10" t="n">
        <f aca="false">O55*L55</f>
        <v>3850.8624</v>
      </c>
      <c r="Q55" s="5" t="s">
        <v>113</v>
      </c>
      <c r="R55" s="5" t="n">
        <v>0</v>
      </c>
      <c r="S55" s="5" t="n">
        <v>30</v>
      </c>
      <c r="T55" s="12" t="n">
        <f aca="false">(O55-M55)/M55</f>
        <v>0.0419000000000001</v>
      </c>
      <c r="U55" s="8" t="n">
        <f aca="false">IF(AND(K55&lt;=I55,R55=0),1,0)</f>
        <v>1</v>
      </c>
      <c r="V55" s="10" t="n">
        <f aca="false">IF(Q55="No",P55,0)</f>
        <v>0</v>
      </c>
    </row>
    <row r="56" customFormat="false" ht="15" hidden="false" customHeight="false" outlineLevel="0" collapsed="false">
      <c r="A56" s="5" t="s">
        <v>189</v>
      </c>
      <c r="B56" s="5" t="s">
        <v>41</v>
      </c>
      <c r="C56" s="7" t="n">
        <v>45652</v>
      </c>
      <c r="D56" s="8" t="str">
        <f aca="false">INDEX(Dim_Supplier!$C$2:$C$21,MATCH(B56,Dim_Supplier!$A$2:$A$21,0))</f>
        <v>Raw Materials</v>
      </c>
      <c r="E56" s="8" t="str">
        <f aca="false">INDEX(Dim_Supplier!$B$2:$B$21,MATCH(B56,Dim_Supplier!$A$2:$A$21,0))</f>
        <v>Ontario Steel Partners</v>
      </c>
      <c r="F56" s="5" t="s">
        <v>139</v>
      </c>
      <c r="G56" s="5" t="s">
        <v>125</v>
      </c>
      <c r="H56" s="8" t="n">
        <f aca="false">INDEX(Lookup_Tables!$B$2:$B$5,MATCH(D56,Lookup_Tables!$A$2:$A$5,0))</f>
        <v>21</v>
      </c>
      <c r="I56" s="9" t="n">
        <f aca="false">C56+H56</f>
        <v>45673</v>
      </c>
      <c r="J56" s="5" t="n">
        <v>0</v>
      </c>
      <c r="K56" s="9" t="n">
        <f aca="false">I56+J56</f>
        <v>45673</v>
      </c>
      <c r="L56" s="5" t="n">
        <v>958</v>
      </c>
      <c r="M56" s="10" t="n">
        <f aca="false">INDEX(Dim_Supplier!$F$2:$F$21,MATCH(B56,Dim_Supplier!$A$2:$A$21,0))</f>
        <v>58</v>
      </c>
      <c r="N56" s="11" t="n">
        <v>-0.0294</v>
      </c>
      <c r="O56" s="10" t="n">
        <f aca="false">M56*(1+N56)</f>
        <v>56.2948</v>
      </c>
      <c r="P56" s="10" t="n">
        <f aca="false">O56*L56</f>
        <v>53930.4184</v>
      </c>
      <c r="Q56" s="5" t="s">
        <v>113</v>
      </c>
      <c r="R56" s="5" t="n">
        <v>0</v>
      </c>
      <c r="S56" s="5" t="n">
        <v>45</v>
      </c>
      <c r="T56" s="12" t="n">
        <f aca="false">(O56-M56)/M56</f>
        <v>-0.0294</v>
      </c>
      <c r="U56" s="8" t="n">
        <f aca="false">IF(AND(K56&lt;=I56,R56=0),1,0)</f>
        <v>1</v>
      </c>
      <c r="V56" s="10" t="n">
        <f aca="false">IF(Q56="No",P56,0)</f>
        <v>0</v>
      </c>
    </row>
    <row r="57" customFormat="false" ht="15" hidden="false" customHeight="false" outlineLevel="0" collapsed="false">
      <c r="A57" s="5" t="s">
        <v>190</v>
      </c>
      <c r="B57" s="5" t="s">
        <v>86</v>
      </c>
      <c r="C57" s="7" t="n">
        <v>45791</v>
      </c>
      <c r="D57" s="8" t="str">
        <f aca="false">INDEX(Dim_Supplier!$C$2:$C$21,MATCH(B57,Dim_Supplier!$A$2:$A$21,0))</f>
        <v>Logistics</v>
      </c>
      <c r="E57" s="8" t="str">
        <f aca="false">INDEX(Dim_Supplier!$B$2:$B$21,MATCH(B57,Dim_Supplier!$A$2:$A$21,0))</f>
        <v>Blue Water Customs Brokerage</v>
      </c>
      <c r="F57" s="5" t="s">
        <v>154</v>
      </c>
      <c r="G57" s="5" t="s">
        <v>120</v>
      </c>
      <c r="H57" s="8" t="n">
        <f aca="false">INDEX(Lookup_Tables!$B$2:$B$5,MATCH(D57,Lookup_Tables!$A$2:$A$5,0))</f>
        <v>5</v>
      </c>
      <c r="I57" s="9" t="n">
        <f aca="false">C57+H57</f>
        <v>45796</v>
      </c>
      <c r="J57" s="5" t="n">
        <v>-2</v>
      </c>
      <c r="K57" s="9" t="n">
        <f aca="false">I57+J57</f>
        <v>45794</v>
      </c>
      <c r="L57" s="5" t="n">
        <v>22</v>
      </c>
      <c r="M57" s="10" t="n">
        <f aca="false">INDEX(Dim_Supplier!$F$2:$F$21,MATCH(B57,Dim_Supplier!$A$2:$A$21,0))</f>
        <v>175</v>
      </c>
      <c r="N57" s="11" t="n">
        <v>0.0119</v>
      </c>
      <c r="O57" s="10" t="n">
        <f aca="false">M57*(1+N57)</f>
        <v>177.0825</v>
      </c>
      <c r="P57" s="10" t="n">
        <f aca="false">O57*L57</f>
        <v>3895.815</v>
      </c>
      <c r="Q57" s="5" t="s">
        <v>113</v>
      </c>
      <c r="R57" s="5" t="n">
        <v>0</v>
      </c>
      <c r="S57" s="5" t="n">
        <v>45</v>
      </c>
      <c r="T57" s="12" t="n">
        <f aca="false">(O57-M57)/M57</f>
        <v>0.0119000000000001</v>
      </c>
      <c r="U57" s="8" t="n">
        <f aca="false">IF(AND(K57&lt;=I57,R57=0),1,0)</f>
        <v>1</v>
      </c>
      <c r="V57" s="10" t="n">
        <f aca="false">IF(Q57="No",P57,0)</f>
        <v>0</v>
      </c>
    </row>
    <row r="58" customFormat="false" ht="15" hidden="false" customHeight="false" outlineLevel="0" collapsed="false">
      <c r="A58" s="5" t="s">
        <v>191</v>
      </c>
      <c r="B58" s="5" t="s">
        <v>82</v>
      </c>
      <c r="C58" s="7" t="n">
        <v>45422</v>
      </c>
      <c r="D58" s="8" t="str">
        <f aca="false">INDEX(Dim_Supplier!$C$2:$C$21,MATCH(B58,Dim_Supplier!$A$2:$A$21,0))</f>
        <v>Logistics</v>
      </c>
      <c r="E58" s="8" t="str">
        <f aca="false">INDEX(Dim_Supplier!$B$2:$B$21,MATCH(B58,Dim_Supplier!$A$2:$A$21,0))</f>
        <v>Maple Route Logistics</v>
      </c>
      <c r="F58" s="5" t="s">
        <v>185</v>
      </c>
      <c r="G58" s="5" t="s">
        <v>129</v>
      </c>
      <c r="H58" s="8" t="n">
        <f aca="false">INDEX(Lookup_Tables!$B$2:$B$5,MATCH(D58,Lookup_Tables!$A$2:$A$5,0))</f>
        <v>5</v>
      </c>
      <c r="I58" s="9" t="n">
        <f aca="false">C58+H58</f>
        <v>45427</v>
      </c>
      <c r="J58" s="5" t="n">
        <v>1</v>
      </c>
      <c r="K58" s="9" t="n">
        <f aca="false">I58+J58</f>
        <v>45428</v>
      </c>
      <c r="L58" s="5" t="n">
        <v>43</v>
      </c>
      <c r="M58" s="10" t="n">
        <f aca="false">INDEX(Dim_Supplier!$F$2:$F$21,MATCH(B58,Dim_Supplier!$A$2:$A$21,0))</f>
        <v>285</v>
      </c>
      <c r="N58" s="11" t="n">
        <v>0.0152</v>
      </c>
      <c r="O58" s="10" t="n">
        <f aca="false">M58*(1+N58)</f>
        <v>289.332</v>
      </c>
      <c r="P58" s="10" t="n">
        <f aca="false">O58*L58</f>
        <v>12441.276</v>
      </c>
      <c r="Q58" s="5" t="s">
        <v>113</v>
      </c>
      <c r="R58" s="5" t="n">
        <v>0</v>
      </c>
      <c r="S58" s="5" t="n">
        <v>30</v>
      </c>
      <c r="T58" s="12" t="n">
        <f aca="false">(O58-M58)/M58</f>
        <v>0.0152000000000002</v>
      </c>
      <c r="U58" s="8" t="n">
        <f aca="false">IF(AND(K58&lt;=I58,R58=0),1,0)</f>
        <v>0</v>
      </c>
      <c r="V58" s="10" t="n">
        <f aca="false">IF(Q58="No",P58,0)</f>
        <v>0</v>
      </c>
    </row>
    <row r="59" customFormat="false" ht="15" hidden="false" customHeight="false" outlineLevel="0" collapsed="false">
      <c r="A59" s="5" t="s">
        <v>192</v>
      </c>
      <c r="B59" s="5" t="s">
        <v>62</v>
      </c>
      <c r="C59" s="7" t="n">
        <v>45343</v>
      </c>
      <c r="D59" s="8" t="str">
        <f aca="false">INDEX(Dim_Supplier!$C$2:$C$21,MATCH(B59,Dim_Supplier!$A$2:$A$21,0))</f>
        <v>Packaging</v>
      </c>
      <c r="E59" s="8" t="str">
        <f aca="false">INDEX(Dim_Supplier!$B$2:$B$21,MATCH(B59,Dim_Supplier!$A$2:$A$21,0))</f>
        <v>Trillium Packaging Solutions</v>
      </c>
      <c r="F59" s="5" t="s">
        <v>119</v>
      </c>
      <c r="G59" s="5" t="s">
        <v>125</v>
      </c>
      <c r="H59" s="8" t="n">
        <f aca="false">INDEX(Lookup_Tables!$B$2:$B$5,MATCH(D59,Lookup_Tables!$A$2:$A$5,0))</f>
        <v>14</v>
      </c>
      <c r="I59" s="9" t="n">
        <f aca="false">C59+H59</f>
        <v>45357</v>
      </c>
      <c r="J59" s="5" t="n">
        <v>-4</v>
      </c>
      <c r="K59" s="9" t="n">
        <f aca="false">I59+J59</f>
        <v>45353</v>
      </c>
      <c r="L59" s="5" t="n">
        <v>3264</v>
      </c>
      <c r="M59" s="10" t="n">
        <f aca="false">INDEX(Dim_Supplier!$F$2:$F$21,MATCH(B59,Dim_Supplier!$A$2:$A$21,0))</f>
        <v>5.6</v>
      </c>
      <c r="N59" s="11" t="n">
        <v>0.0395</v>
      </c>
      <c r="O59" s="10" t="n">
        <f aca="false">M59*(1+N59)</f>
        <v>5.8212</v>
      </c>
      <c r="P59" s="10" t="n">
        <f aca="false">O59*L59</f>
        <v>19000.3968</v>
      </c>
      <c r="Q59" s="5" t="s">
        <v>113</v>
      </c>
      <c r="R59" s="5" t="n">
        <v>0</v>
      </c>
      <c r="S59" s="5" t="n">
        <v>45</v>
      </c>
      <c r="T59" s="12" t="n">
        <f aca="false">(O59-M59)/M59</f>
        <v>0.0395000000000001</v>
      </c>
      <c r="U59" s="8" t="n">
        <f aca="false">IF(AND(K59&lt;=I59,R59=0),1,0)</f>
        <v>1</v>
      </c>
      <c r="V59" s="10" t="n">
        <f aca="false">IF(Q59="No",P59,0)</f>
        <v>0</v>
      </c>
    </row>
    <row r="60" customFormat="false" ht="15" hidden="false" customHeight="false" outlineLevel="0" collapsed="false">
      <c r="A60" s="5" t="s">
        <v>193</v>
      </c>
      <c r="B60" s="5" t="s">
        <v>82</v>
      </c>
      <c r="C60" s="7" t="n">
        <v>45550</v>
      </c>
      <c r="D60" s="8" t="str">
        <f aca="false">INDEX(Dim_Supplier!$C$2:$C$21,MATCH(B60,Dim_Supplier!$A$2:$A$21,0))</f>
        <v>Logistics</v>
      </c>
      <c r="E60" s="8" t="str">
        <f aca="false">INDEX(Dim_Supplier!$B$2:$B$21,MATCH(B60,Dim_Supplier!$A$2:$A$21,0))</f>
        <v>Maple Route Logistics</v>
      </c>
      <c r="F60" s="5" t="s">
        <v>124</v>
      </c>
      <c r="G60" s="5" t="s">
        <v>125</v>
      </c>
      <c r="H60" s="8" t="n">
        <f aca="false">INDEX(Lookup_Tables!$B$2:$B$5,MATCH(D60,Lookup_Tables!$A$2:$A$5,0))</f>
        <v>5</v>
      </c>
      <c r="I60" s="9" t="n">
        <f aca="false">C60+H60</f>
        <v>45555</v>
      </c>
      <c r="J60" s="5" t="n">
        <v>1</v>
      </c>
      <c r="K60" s="9" t="n">
        <f aca="false">I60+J60</f>
        <v>45556</v>
      </c>
      <c r="L60" s="5" t="n">
        <v>23</v>
      </c>
      <c r="M60" s="10" t="n">
        <f aca="false">INDEX(Dim_Supplier!$F$2:$F$21,MATCH(B60,Dim_Supplier!$A$2:$A$21,0))</f>
        <v>285</v>
      </c>
      <c r="N60" s="11" t="n">
        <v>0.033</v>
      </c>
      <c r="O60" s="10" t="n">
        <f aca="false">M60*(1+N60)</f>
        <v>294.405</v>
      </c>
      <c r="P60" s="10" t="n">
        <f aca="false">O60*L60</f>
        <v>6771.315</v>
      </c>
      <c r="Q60" s="5" t="s">
        <v>113</v>
      </c>
      <c r="R60" s="5" t="n">
        <v>0</v>
      </c>
      <c r="S60" s="5" t="n">
        <v>60</v>
      </c>
      <c r="T60" s="12" t="n">
        <f aca="false">(O60-M60)/M60</f>
        <v>0.0329999999999999</v>
      </c>
      <c r="U60" s="8" t="n">
        <f aca="false">IF(AND(K60&lt;=I60,R60=0),1,0)</f>
        <v>0</v>
      </c>
      <c r="V60" s="10" t="n">
        <f aca="false">IF(Q60="No",P60,0)</f>
        <v>0</v>
      </c>
    </row>
    <row r="61" customFormat="false" ht="15" hidden="false" customHeight="false" outlineLevel="0" collapsed="false">
      <c r="A61" s="5" t="s">
        <v>194</v>
      </c>
      <c r="B61" s="5" t="s">
        <v>41</v>
      </c>
      <c r="C61" s="7" t="n">
        <v>45323</v>
      </c>
      <c r="D61" s="8" t="str">
        <f aca="false">INDEX(Dim_Supplier!$C$2:$C$21,MATCH(B61,Dim_Supplier!$A$2:$A$21,0))</f>
        <v>Raw Materials</v>
      </c>
      <c r="E61" s="8" t="str">
        <f aca="false">INDEX(Dim_Supplier!$B$2:$B$21,MATCH(B61,Dim_Supplier!$A$2:$A$21,0))</f>
        <v>Ontario Steel Partners</v>
      </c>
      <c r="F61" s="5" t="s">
        <v>115</v>
      </c>
      <c r="G61" s="5" t="s">
        <v>112</v>
      </c>
      <c r="H61" s="8" t="n">
        <f aca="false">INDEX(Lookup_Tables!$B$2:$B$5,MATCH(D61,Lookup_Tables!$A$2:$A$5,0))</f>
        <v>21</v>
      </c>
      <c r="I61" s="9" t="n">
        <f aca="false">C61+H61</f>
        <v>45344</v>
      </c>
      <c r="J61" s="5" t="n">
        <v>-2</v>
      </c>
      <c r="K61" s="9" t="n">
        <f aca="false">I61+J61</f>
        <v>45342</v>
      </c>
      <c r="L61" s="5" t="n">
        <v>588</v>
      </c>
      <c r="M61" s="10" t="n">
        <f aca="false">INDEX(Dim_Supplier!$F$2:$F$21,MATCH(B61,Dim_Supplier!$A$2:$A$21,0))</f>
        <v>58</v>
      </c>
      <c r="N61" s="11" t="n">
        <v>-0.0136</v>
      </c>
      <c r="O61" s="10" t="n">
        <f aca="false">M61*(1+N61)</f>
        <v>57.2112</v>
      </c>
      <c r="P61" s="10" t="n">
        <f aca="false">O61*L61</f>
        <v>33640.1856</v>
      </c>
      <c r="Q61" s="5" t="s">
        <v>113</v>
      </c>
      <c r="R61" s="5" t="n">
        <v>0</v>
      </c>
      <c r="S61" s="5" t="n">
        <v>45</v>
      </c>
      <c r="T61" s="12" t="n">
        <f aca="false">(O61-M61)/M61</f>
        <v>-0.0135999999999999</v>
      </c>
      <c r="U61" s="8" t="n">
        <f aca="false">IF(AND(K61&lt;=I61,R61=0),1,0)</f>
        <v>1</v>
      </c>
      <c r="V61" s="10" t="n">
        <f aca="false">IF(Q61="No",P61,0)</f>
        <v>0</v>
      </c>
    </row>
    <row r="62" customFormat="false" ht="15" hidden="false" customHeight="false" outlineLevel="0" collapsed="false">
      <c r="A62" s="5" t="s">
        <v>195</v>
      </c>
      <c r="B62" s="5" t="s">
        <v>52</v>
      </c>
      <c r="C62" s="7" t="n">
        <v>46008</v>
      </c>
      <c r="D62" s="8" t="str">
        <f aca="false">INDEX(Dim_Supplier!$C$2:$C$21,MATCH(B62,Dim_Supplier!$A$2:$A$21,0))</f>
        <v>Raw Materials</v>
      </c>
      <c r="E62" s="8" t="str">
        <f aca="false">INDEX(Dim_Supplier!$B$2:$B$21,MATCH(B62,Dim_Supplier!$A$2:$A$21,0))</f>
        <v>Laurentian Metals Inc.</v>
      </c>
      <c r="F62" s="5" t="s">
        <v>139</v>
      </c>
      <c r="G62" s="5" t="s">
        <v>120</v>
      </c>
      <c r="H62" s="8" t="n">
        <f aca="false">INDEX(Lookup_Tables!$B$2:$B$5,MATCH(D62,Lookup_Tables!$A$2:$A$5,0))</f>
        <v>21</v>
      </c>
      <c r="I62" s="9" t="n">
        <f aca="false">C62+H62</f>
        <v>46029</v>
      </c>
      <c r="J62" s="5" t="n">
        <v>-2</v>
      </c>
      <c r="K62" s="9" t="n">
        <f aca="false">I62+J62</f>
        <v>46027</v>
      </c>
      <c r="L62" s="5" t="n">
        <v>1631</v>
      </c>
      <c r="M62" s="10" t="n">
        <f aca="false">INDEX(Dim_Supplier!$F$2:$F$21,MATCH(B62,Dim_Supplier!$A$2:$A$21,0))</f>
        <v>61.2</v>
      </c>
      <c r="N62" s="11" t="n">
        <v>0.0438</v>
      </c>
      <c r="O62" s="10" t="n">
        <f aca="false">M62*(1+N62)</f>
        <v>63.88056</v>
      </c>
      <c r="P62" s="10" t="n">
        <f aca="false">O62*L62</f>
        <v>104189.19336</v>
      </c>
      <c r="Q62" s="5" t="s">
        <v>113</v>
      </c>
      <c r="R62" s="5" t="n">
        <v>0</v>
      </c>
      <c r="S62" s="5" t="n">
        <v>30</v>
      </c>
      <c r="T62" s="12" t="n">
        <f aca="false">(O62-M62)/M62</f>
        <v>0.0438000000000001</v>
      </c>
      <c r="U62" s="8" t="n">
        <f aca="false">IF(AND(K62&lt;=I62,R62=0),1,0)</f>
        <v>1</v>
      </c>
      <c r="V62" s="10" t="n">
        <f aca="false">IF(Q62="No",P62,0)</f>
        <v>0</v>
      </c>
    </row>
    <row r="63" customFormat="false" ht="15" hidden="false" customHeight="false" outlineLevel="0" collapsed="false">
      <c r="A63" s="5" t="s">
        <v>196</v>
      </c>
      <c r="B63" s="5" t="s">
        <v>57</v>
      </c>
      <c r="C63" s="7" t="n">
        <v>45884</v>
      </c>
      <c r="D63" s="8" t="str">
        <f aca="false">INDEX(Dim_Supplier!$C$2:$C$21,MATCH(B63,Dim_Supplier!$A$2:$A$21,0))</f>
        <v>Packaging</v>
      </c>
      <c r="E63" s="8" t="str">
        <f aca="false">INDEX(Dim_Supplier!$B$2:$B$21,MATCH(B63,Dim_Supplier!$A$2:$A$21,0))</f>
        <v>Great Lakes Packaging Co.</v>
      </c>
      <c r="F63" s="5" t="s">
        <v>117</v>
      </c>
      <c r="G63" s="5" t="s">
        <v>120</v>
      </c>
      <c r="H63" s="8" t="n">
        <f aca="false">INDEX(Lookup_Tables!$B$2:$B$5,MATCH(D63,Lookup_Tables!$A$2:$A$5,0))</f>
        <v>14</v>
      </c>
      <c r="I63" s="9" t="n">
        <f aca="false">C63+H63</f>
        <v>45898</v>
      </c>
      <c r="J63" s="5" t="n">
        <v>-4</v>
      </c>
      <c r="K63" s="9" t="n">
        <f aca="false">I63+J63</f>
        <v>45894</v>
      </c>
      <c r="L63" s="5" t="n">
        <v>3574</v>
      </c>
      <c r="M63" s="10" t="n">
        <f aca="false">INDEX(Dim_Supplier!$F$2:$F$21,MATCH(B63,Dim_Supplier!$A$2:$A$21,0))</f>
        <v>4.35</v>
      </c>
      <c r="N63" s="11" t="n">
        <v>-0.01</v>
      </c>
      <c r="O63" s="10" t="n">
        <f aca="false">M63*(1+N63)</f>
        <v>4.3065</v>
      </c>
      <c r="P63" s="10" t="n">
        <f aca="false">O63*L63</f>
        <v>15391.431</v>
      </c>
      <c r="Q63" s="5" t="s">
        <v>113</v>
      </c>
      <c r="R63" s="5" t="n">
        <v>0</v>
      </c>
      <c r="S63" s="5" t="n">
        <v>30</v>
      </c>
      <c r="T63" s="12" t="n">
        <f aca="false">(O63-M63)/M63</f>
        <v>-0.00999999999999997</v>
      </c>
      <c r="U63" s="8" t="n">
        <f aca="false">IF(AND(K63&lt;=I63,R63=0),1,0)</f>
        <v>1</v>
      </c>
      <c r="V63" s="10" t="n">
        <f aca="false">IF(Q63="No",P63,0)</f>
        <v>0</v>
      </c>
    </row>
    <row r="64" customFormat="false" ht="15" hidden="false" customHeight="false" outlineLevel="0" collapsed="false">
      <c r="A64" s="5" t="s">
        <v>197</v>
      </c>
      <c r="B64" s="5" t="s">
        <v>75</v>
      </c>
      <c r="C64" s="7" t="n">
        <v>45934</v>
      </c>
      <c r="D64" s="8" t="str">
        <f aca="false">INDEX(Dim_Supplier!$C$2:$C$21,MATCH(B64,Dim_Supplier!$A$2:$A$21,0))</f>
        <v>MRO</v>
      </c>
      <c r="E64" s="8" t="str">
        <f aca="false">INDEX(Dim_Supplier!$B$2:$B$21,MATCH(B64,Dim_Supplier!$A$2:$A$21,0))</f>
        <v>Sterling Lubricants Inc.</v>
      </c>
      <c r="F64" s="5" t="s">
        <v>164</v>
      </c>
      <c r="G64" s="5" t="s">
        <v>129</v>
      </c>
      <c r="H64" s="8" t="n">
        <f aca="false">INDEX(Lookup_Tables!$B$2:$B$5,MATCH(D64,Lookup_Tables!$A$2:$A$5,0))</f>
        <v>10</v>
      </c>
      <c r="I64" s="9" t="n">
        <f aca="false">C64+H64</f>
        <v>45944</v>
      </c>
      <c r="J64" s="5" t="n">
        <v>-4</v>
      </c>
      <c r="K64" s="9" t="n">
        <f aca="false">I64+J64</f>
        <v>45940</v>
      </c>
      <c r="L64" s="5" t="n">
        <v>180</v>
      </c>
      <c r="M64" s="10" t="n">
        <f aca="false">INDEX(Dim_Supplier!$F$2:$F$21,MATCH(B64,Dim_Supplier!$A$2:$A$21,0))</f>
        <v>27.1</v>
      </c>
      <c r="N64" s="11" t="n">
        <v>0.004</v>
      </c>
      <c r="O64" s="10" t="n">
        <f aca="false">M64*(1+N64)</f>
        <v>27.2084</v>
      </c>
      <c r="P64" s="10" t="n">
        <f aca="false">O64*L64</f>
        <v>4897.512</v>
      </c>
      <c r="Q64" s="5" t="s">
        <v>113</v>
      </c>
      <c r="R64" s="5" t="n">
        <v>0</v>
      </c>
      <c r="S64" s="5" t="n">
        <v>60</v>
      </c>
      <c r="T64" s="12" t="n">
        <f aca="false">(O64-M64)/M64</f>
        <v>0.00399999999999999</v>
      </c>
      <c r="U64" s="8" t="n">
        <f aca="false">IF(AND(K64&lt;=I64,R64=0),1,0)</f>
        <v>1</v>
      </c>
      <c r="V64" s="10" t="n">
        <f aca="false">IF(Q64="No",P64,0)</f>
        <v>0</v>
      </c>
    </row>
    <row r="65" customFormat="false" ht="15" hidden="false" customHeight="false" outlineLevel="0" collapsed="false">
      <c r="A65" s="5" t="s">
        <v>198</v>
      </c>
      <c r="B65" s="5" t="s">
        <v>79</v>
      </c>
      <c r="C65" s="7" t="n">
        <v>45647</v>
      </c>
      <c r="D65" s="8" t="str">
        <f aca="false">INDEX(Dim_Supplier!$C$2:$C$21,MATCH(B65,Dim_Supplier!$A$2:$A$21,0))</f>
        <v>Logistics</v>
      </c>
      <c r="E65" s="8" t="str">
        <f aca="false">INDEX(Dim_Supplier!$B$2:$B$21,MATCH(B65,Dim_Supplier!$A$2:$A$21,0))</f>
        <v>Niagara Freight Solutions</v>
      </c>
      <c r="F65" s="5" t="s">
        <v>185</v>
      </c>
      <c r="G65" s="5" t="s">
        <v>125</v>
      </c>
      <c r="H65" s="8" t="n">
        <f aca="false">INDEX(Lookup_Tables!$B$2:$B$5,MATCH(D65,Lookup_Tables!$A$2:$A$5,0))</f>
        <v>5</v>
      </c>
      <c r="I65" s="9" t="n">
        <f aca="false">C65+H65</f>
        <v>45652</v>
      </c>
      <c r="J65" s="5" t="n">
        <v>-2</v>
      </c>
      <c r="K65" s="9" t="n">
        <f aca="false">I65+J65</f>
        <v>45650</v>
      </c>
      <c r="L65" s="5" t="n">
        <v>42</v>
      </c>
      <c r="M65" s="10" t="n">
        <f aca="false">INDEX(Dim_Supplier!$F$2:$F$21,MATCH(B65,Dim_Supplier!$A$2:$A$21,0))</f>
        <v>340</v>
      </c>
      <c r="N65" s="11" t="n">
        <v>0.0036</v>
      </c>
      <c r="O65" s="10" t="n">
        <f aca="false">M65*(1+N65)</f>
        <v>341.224</v>
      </c>
      <c r="P65" s="10" t="n">
        <f aca="false">O65*L65</f>
        <v>14331.408</v>
      </c>
      <c r="Q65" s="5" t="s">
        <v>113</v>
      </c>
      <c r="R65" s="5" t="n">
        <v>0</v>
      </c>
      <c r="S65" s="5" t="n">
        <v>60</v>
      </c>
      <c r="T65" s="12" t="n">
        <f aca="false">(O65-M65)/M65</f>
        <v>0.00359999999999997</v>
      </c>
      <c r="U65" s="8" t="n">
        <f aca="false">IF(AND(K65&lt;=I65,R65=0),1,0)</f>
        <v>1</v>
      </c>
      <c r="V65" s="10" t="n">
        <f aca="false">IF(Q65="No",P65,0)</f>
        <v>0</v>
      </c>
    </row>
    <row r="66" customFormat="false" ht="15" hidden="false" customHeight="false" outlineLevel="0" collapsed="false">
      <c r="A66" s="5" t="s">
        <v>199</v>
      </c>
      <c r="B66" s="5" t="s">
        <v>46</v>
      </c>
      <c r="C66" s="7" t="n">
        <v>45662</v>
      </c>
      <c r="D66" s="8" t="str">
        <f aca="false">INDEX(Dim_Supplier!$C$2:$C$21,MATCH(B66,Dim_Supplier!$A$2:$A$21,0))</f>
        <v>Raw Materials</v>
      </c>
      <c r="E66" s="8" t="str">
        <f aca="false">INDEX(Dim_Supplier!$B$2:$B$21,MATCH(B66,Dim_Supplier!$A$2:$A$21,0))</f>
        <v>Niagara Alloy Supply</v>
      </c>
      <c r="F66" s="5" t="s">
        <v>142</v>
      </c>
      <c r="G66" s="5" t="s">
        <v>112</v>
      </c>
      <c r="H66" s="8" t="n">
        <f aca="false">INDEX(Lookup_Tables!$B$2:$B$5,MATCH(D66,Lookup_Tables!$A$2:$A$5,0))</f>
        <v>21</v>
      </c>
      <c r="I66" s="9" t="n">
        <f aca="false">C66+H66</f>
        <v>45683</v>
      </c>
      <c r="J66" s="5" t="n">
        <v>-4</v>
      </c>
      <c r="K66" s="9" t="n">
        <f aca="false">I66+J66</f>
        <v>45679</v>
      </c>
      <c r="L66" s="5" t="n">
        <v>1432</v>
      </c>
      <c r="M66" s="10" t="n">
        <f aca="false">INDEX(Dim_Supplier!$F$2:$F$21,MATCH(B66,Dim_Supplier!$A$2:$A$21,0))</f>
        <v>46.5</v>
      </c>
      <c r="N66" s="11" t="n">
        <v>0.0428</v>
      </c>
      <c r="O66" s="10" t="n">
        <f aca="false">M66*(1+N66)</f>
        <v>48.4902</v>
      </c>
      <c r="P66" s="10" t="n">
        <f aca="false">O66*L66</f>
        <v>69437.9664</v>
      </c>
      <c r="Q66" s="5" t="s">
        <v>113</v>
      </c>
      <c r="R66" s="5" t="n">
        <v>0</v>
      </c>
      <c r="S66" s="5" t="n">
        <v>45</v>
      </c>
      <c r="T66" s="12" t="n">
        <f aca="false">(O66-M66)/M66</f>
        <v>0.0427999999999999</v>
      </c>
      <c r="U66" s="8" t="n">
        <f aca="false">IF(AND(K66&lt;=I66,R66=0),1,0)</f>
        <v>1</v>
      </c>
      <c r="V66" s="10" t="n">
        <f aca="false">IF(Q66="No",P66,0)</f>
        <v>0</v>
      </c>
    </row>
    <row r="67" customFormat="false" ht="15" hidden="false" customHeight="false" outlineLevel="0" collapsed="false">
      <c r="A67" s="5" t="s">
        <v>200</v>
      </c>
      <c r="B67" s="5" t="s">
        <v>64</v>
      </c>
      <c r="C67" s="7" t="n">
        <v>45738</v>
      </c>
      <c r="D67" s="8" t="str">
        <f aca="false">INDEX(Dim_Supplier!$C$2:$C$21,MATCH(B67,Dim_Supplier!$A$2:$A$21,0))</f>
        <v>Packaging</v>
      </c>
      <c r="E67" s="8" t="str">
        <f aca="false">INDEX(Dim_Supplier!$B$2:$B$21,MATCH(B67,Dim_Supplier!$A$2:$A$21,0))</f>
        <v>Huron Pallet Works</v>
      </c>
      <c r="F67" s="5" t="s">
        <v>122</v>
      </c>
      <c r="G67" s="5" t="s">
        <v>120</v>
      </c>
      <c r="H67" s="8" t="n">
        <f aca="false">INDEX(Lookup_Tables!$B$2:$B$5,MATCH(D67,Lookup_Tables!$A$2:$A$5,0))</f>
        <v>14</v>
      </c>
      <c r="I67" s="9" t="n">
        <f aca="false">C67+H67</f>
        <v>45752</v>
      </c>
      <c r="J67" s="5" t="n">
        <v>4</v>
      </c>
      <c r="K67" s="9" t="n">
        <f aca="false">I67+J67</f>
        <v>45756</v>
      </c>
      <c r="L67" s="5" t="n">
        <v>1209</v>
      </c>
      <c r="M67" s="10" t="n">
        <f aca="false">INDEX(Dim_Supplier!$F$2:$F$21,MATCH(B67,Dim_Supplier!$A$2:$A$21,0))</f>
        <v>2.25</v>
      </c>
      <c r="N67" s="11" t="n">
        <v>0.1535</v>
      </c>
      <c r="O67" s="10" t="n">
        <f aca="false">M67*(1+N67)</f>
        <v>2.595375</v>
      </c>
      <c r="P67" s="10" t="n">
        <f aca="false">O67*L67</f>
        <v>3137.808375</v>
      </c>
      <c r="Q67" s="5" t="s">
        <v>113</v>
      </c>
      <c r="R67" s="5" t="n">
        <v>0</v>
      </c>
      <c r="S67" s="5" t="n">
        <v>45</v>
      </c>
      <c r="T67" s="12" t="n">
        <f aca="false">(O67-M67)/M67</f>
        <v>0.1535</v>
      </c>
      <c r="U67" s="8" t="n">
        <f aca="false">IF(AND(K67&lt;=I67,R67=0),1,0)</f>
        <v>0</v>
      </c>
      <c r="V67" s="10" t="n">
        <f aca="false">IF(Q67="No",P67,0)</f>
        <v>0</v>
      </c>
    </row>
    <row r="68" customFormat="false" ht="15" hidden="false" customHeight="false" outlineLevel="0" collapsed="false">
      <c r="A68" s="5" t="s">
        <v>201</v>
      </c>
      <c r="B68" s="5" t="s">
        <v>68</v>
      </c>
      <c r="C68" s="7" t="n">
        <v>45976</v>
      </c>
      <c r="D68" s="8" t="str">
        <f aca="false">INDEX(Dim_Supplier!$C$2:$C$21,MATCH(B68,Dim_Supplier!$A$2:$A$21,0))</f>
        <v>MRO</v>
      </c>
      <c r="E68" s="8" t="str">
        <f aca="false">INDEX(Dim_Supplier!$B$2:$B$21,MATCH(B68,Dim_Supplier!$A$2:$A$21,0))</f>
        <v>Precision Tool &amp; Supply</v>
      </c>
      <c r="F68" s="5" t="s">
        <v>179</v>
      </c>
      <c r="G68" s="5" t="s">
        <v>120</v>
      </c>
      <c r="H68" s="8" t="n">
        <f aca="false">INDEX(Lookup_Tables!$B$2:$B$5,MATCH(D68,Lookup_Tables!$A$2:$A$5,0))</f>
        <v>10</v>
      </c>
      <c r="I68" s="9" t="n">
        <f aca="false">C68+H68</f>
        <v>45986</v>
      </c>
      <c r="J68" s="5" t="n">
        <v>1</v>
      </c>
      <c r="K68" s="9" t="n">
        <f aca="false">I68+J68</f>
        <v>45987</v>
      </c>
      <c r="L68" s="5" t="n">
        <v>51</v>
      </c>
      <c r="M68" s="10" t="n">
        <f aca="false">INDEX(Dim_Supplier!$F$2:$F$21,MATCH(B68,Dim_Supplier!$A$2:$A$21,0))</f>
        <v>22.4</v>
      </c>
      <c r="N68" s="11" t="n">
        <v>0.017</v>
      </c>
      <c r="O68" s="10" t="n">
        <f aca="false">M68*(1+N68)</f>
        <v>22.7808</v>
      </c>
      <c r="P68" s="10" t="n">
        <f aca="false">O68*L68</f>
        <v>1161.8208</v>
      </c>
      <c r="Q68" s="5" t="s">
        <v>113</v>
      </c>
      <c r="R68" s="5" t="n">
        <v>0</v>
      </c>
      <c r="S68" s="5" t="n">
        <v>30</v>
      </c>
      <c r="T68" s="12" t="n">
        <f aca="false">(O68-M68)/M68</f>
        <v>0.0169999999999999</v>
      </c>
      <c r="U68" s="8" t="n">
        <f aca="false">IF(AND(K68&lt;=I68,R68=0),1,0)</f>
        <v>0</v>
      </c>
      <c r="V68" s="10" t="n">
        <f aca="false">IF(Q68="No",P68,0)</f>
        <v>0</v>
      </c>
    </row>
    <row r="69" customFormat="false" ht="15" hidden="false" customHeight="false" outlineLevel="0" collapsed="false">
      <c r="A69" s="5" t="s">
        <v>202</v>
      </c>
      <c r="B69" s="5" t="s">
        <v>54</v>
      </c>
      <c r="C69" s="7" t="n">
        <v>45902</v>
      </c>
      <c r="D69" s="8" t="str">
        <f aca="false">INDEX(Dim_Supplier!$C$2:$C$21,MATCH(B69,Dim_Supplier!$A$2:$A$21,0))</f>
        <v>Raw Materials</v>
      </c>
      <c r="E69" s="8" t="str">
        <f aca="false">INDEX(Dim_Supplier!$B$2:$B$21,MATCH(B69,Dim_Supplier!$A$2:$A$21,0))</f>
        <v>Northern Resin Solutions</v>
      </c>
      <c r="F69" s="5" t="s">
        <v>139</v>
      </c>
      <c r="G69" s="5" t="s">
        <v>129</v>
      </c>
      <c r="H69" s="8" t="n">
        <f aca="false">INDEX(Lookup_Tables!$B$2:$B$5,MATCH(D69,Lookup_Tables!$A$2:$A$5,0))</f>
        <v>21</v>
      </c>
      <c r="I69" s="9" t="n">
        <f aca="false">C69+H69</f>
        <v>45923</v>
      </c>
      <c r="J69" s="5" t="n">
        <v>-2</v>
      </c>
      <c r="K69" s="9" t="n">
        <f aca="false">I69+J69</f>
        <v>45921</v>
      </c>
      <c r="L69" s="5" t="n">
        <v>594</v>
      </c>
      <c r="M69" s="10" t="n">
        <f aca="false">INDEX(Dim_Supplier!$F$2:$F$21,MATCH(B69,Dim_Supplier!$A$2:$A$21,0))</f>
        <v>38.9</v>
      </c>
      <c r="N69" s="11" t="n">
        <v>0.0486</v>
      </c>
      <c r="O69" s="10" t="n">
        <f aca="false">M69*(1+N69)</f>
        <v>40.79054</v>
      </c>
      <c r="P69" s="10" t="n">
        <f aca="false">O69*L69</f>
        <v>24229.58076</v>
      </c>
      <c r="Q69" s="5" t="s">
        <v>113</v>
      </c>
      <c r="R69" s="5" t="n">
        <v>0</v>
      </c>
      <c r="S69" s="5" t="n">
        <v>45</v>
      </c>
      <c r="T69" s="12" t="n">
        <f aca="false">(O69-M69)/M69</f>
        <v>0.0486</v>
      </c>
      <c r="U69" s="8" t="n">
        <f aca="false">IF(AND(K69&lt;=I69,R69=0),1,0)</f>
        <v>1</v>
      </c>
      <c r="V69" s="10" t="n">
        <f aca="false">IF(Q69="No",P69,0)</f>
        <v>0</v>
      </c>
    </row>
    <row r="70" customFormat="false" ht="15" hidden="false" customHeight="false" outlineLevel="0" collapsed="false">
      <c r="A70" s="5" t="s">
        <v>203</v>
      </c>
      <c r="B70" s="5" t="s">
        <v>75</v>
      </c>
      <c r="C70" s="7" t="n">
        <v>45953</v>
      </c>
      <c r="D70" s="8" t="str">
        <f aca="false">INDEX(Dim_Supplier!$C$2:$C$21,MATCH(B70,Dim_Supplier!$A$2:$A$21,0))</f>
        <v>MRO</v>
      </c>
      <c r="E70" s="8" t="str">
        <f aca="false">INDEX(Dim_Supplier!$B$2:$B$21,MATCH(B70,Dim_Supplier!$A$2:$A$21,0))</f>
        <v>Sterling Lubricants Inc.</v>
      </c>
      <c r="F70" s="5" t="s">
        <v>179</v>
      </c>
      <c r="G70" s="5" t="s">
        <v>125</v>
      </c>
      <c r="H70" s="8" t="n">
        <f aca="false">INDEX(Lookup_Tables!$B$2:$B$5,MATCH(D70,Lookup_Tables!$A$2:$A$5,0))</f>
        <v>10</v>
      </c>
      <c r="I70" s="9" t="n">
        <f aca="false">C70+H70</f>
        <v>45963</v>
      </c>
      <c r="J70" s="5" t="n">
        <v>-3</v>
      </c>
      <c r="K70" s="9" t="n">
        <f aca="false">I70+J70</f>
        <v>45960</v>
      </c>
      <c r="L70" s="5" t="n">
        <v>61</v>
      </c>
      <c r="M70" s="10" t="n">
        <f aca="false">INDEX(Dim_Supplier!$F$2:$F$21,MATCH(B70,Dim_Supplier!$A$2:$A$21,0))</f>
        <v>27.1</v>
      </c>
      <c r="N70" s="11" t="n">
        <v>0.0115</v>
      </c>
      <c r="O70" s="10" t="n">
        <f aca="false">M70*(1+N70)</f>
        <v>27.41165</v>
      </c>
      <c r="P70" s="10" t="n">
        <f aca="false">O70*L70</f>
        <v>1672.11065</v>
      </c>
      <c r="Q70" s="5" t="s">
        <v>113</v>
      </c>
      <c r="R70" s="5" t="n">
        <v>0</v>
      </c>
      <c r="S70" s="5" t="n">
        <v>45</v>
      </c>
      <c r="T70" s="12" t="n">
        <f aca="false">(O70-M70)/M70</f>
        <v>0.0115</v>
      </c>
      <c r="U70" s="8" t="n">
        <f aca="false">IF(AND(K70&lt;=I70,R70=0),1,0)</f>
        <v>1</v>
      </c>
      <c r="V70" s="10" t="n">
        <f aca="false">IF(Q70="No",P70,0)</f>
        <v>0</v>
      </c>
    </row>
    <row r="71" customFormat="false" ht="15" hidden="false" customHeight="false" outlineLevel="0" collapsed="false">
      <c r="A71" s="5" t="s">
        <v>204</v>
      </c>
      <c r="B71" s="5" t="s">
        <v>60</v>
      </c>
      <c r="C71" s="7" t="n">
        <v>45858</v>
      </c>
      <c r="D71" s="8" t="str">
        <f aca="false">INDEX(Dim_Supplier!$C$2:$C$21,MATCH(B71,Dim_Supplier!$A$2:$A$21,0))</f>
        <v>Packaging</v>
      </c>
      <c r="E71" s="8" t="str">
        <f aca="false">INDEX(Dim_Supplier!$B$2:$B$21,MATCH(B71,Dim_Supplier!$A$2:$A$21,0))</f>
        <v>Maple Leaf Box &amp; Crate</v>
      </c>
      <c r="F71" s="5" t="s">
        <v>122</v>
      </c>
      <c r="G71" s="5" t="s">
        <v>120</v>
      </c>
      <c r="H71" s="8" t="n">
        <f aca="false">INDEX(Lookup_Tables!$B$2:$B$5,MATCH(D71,Lookup_Tables!$A$2:$A$5,0))</f>
        <v>14</v>
      </c>
      <c r="I71" s="9" t="n">
        <f aca="false">C71+H71</f>
        <v>45872</v>
      </c>
      <c r="J71" s="5" t="n">
        <v>-4</v>
      </c>
      <c r="K71" s="9" t="n">
        <f aca="false">I71+J71</f>
        <v>45868</v>
      </c>
      <c r="L71" s="5" t="n">
        <v>3209</v>
      </c>
      <c r="M71" s="10" t="n">
        <f aca="false">INDEX(Dim_Supplier!$F$2:$F$21,MATCH(B71,Dim_Supplier!$A$2:$A$21,0))</f>
        <v>3.1</v>
      </c>
      <c r="N71" s="11" t="n">
        <v>0.0549</v>
      </c>
      <c r="O71" s="10" t="n">
        <f aca="false">M71*(1+N71)</f>
        <v>3.27019</v>
      </c>
      <c r="P71" s="10" t="n">
        <f aca="false">O71*L71</f>
        <v>10494.03971</v>
      </c>
      <c r="Q71" s="5" t="s">
        <v>113</v>
      </c>
      <c r="R71" s="5" t="n">
        <v>0</v>
      </c>
      <c r="S71" s="5" t="n">
        <v>30</v>
      </c>
      <c r="T71" s="12" t="n">
        <f aca="false">(O71-M71)/M71</f>
        <v>0.0549</v>
      </c>
      <c r="U71" s="8" t="n">
        <f aca="false">IF(AND(K71&lt;=I71,R71=0),1,0)</f>
        <v>1</v>
      </c>
      <c r="V71" s="10" t="n">
        <f aca="false">IF(Q71="No",P71,0)</f>
        <v>0</v>
      </c>
    </row>
    <row r="72" customFormat="false" ht="15" hidden="false" customHeight="false" outlineLevel="0" collapsed="false">
      <c r="A72" s="5" t="s">
        <v>205</v>
      </c>
      <c r="B72" s="5" t="s">
        <v>52</v>
      </c>
      <c r="C72" s="7" t="n">
        <v>46030</v>
      </c>
      <c r="D72" s="8" t="str">
        <f aca="false">INDEX(Dim_Supplier!$C$2:$C$21,MATCH(B72,Dim_Supplier!$A$2:$A$21,0))</f>
        <v>Raw Materials</v>
      </c>
      <c r="E72" s="8" t="str">
        <f aca="false">INDEX(Dim_Supplier!$B$2:$B$21,MATCH(B72,Dim_Supplier!$A$2:$A$21,0))</f>
        <v>Laurentian Metals Inc.</v>
      </c>
      <c r="F72" s="5" t="s">
        <v>115</v>
      </c>
      <c r="G72" s="5" t="s">
        <v>120</v>
      </c>
      <c r="H72" s="8" t="n">
        <f aca="false">INDEX(Lookup_Tables!$B$2:$B$5,MATCH(D72,Lookup_Tables!$A$2:$A$5,0))</f>
        <v>21</v>
      </c>
      <c r="I72" s="9" t="n">
        <f aca="false">C72+H72</f>
        <v>46051</v>
      </c>
      <c r="J72" s="5" t="n">
        <v>-1</v>
      </c>
      <c r="K72" s="9" t="n">
        <f aca="false">I72+J72</f>
        <v>46050</v>
      </c>
      <c r="L72" s="5" t="n">
        <v>1660</v>
      </c>
      <c r="M72" s="10" t="n">
        <f aca="false">INDEX(Dim_Supplier!$F$2:$F$21,MATCH(B72,Dim_Supplier!$A$2:$A$21,0))</f>
        <v>61.2</v>
      </c>
      <c r="N72" s="11" t="n">
        <v>0.0369</v>
      </c>
      <c r="O72" s="10" t="n">
        <f aca="false">M72*(1+N72)</f>
        <v>63.45828</v>
      </c>
      <c r="P72" s="10" t="n">
        <f aca="false">O72*L72</f>
        <v>105340.7448</v>
      </c>
      <c r="Q72" s="5" t="s">
        <v>113</v>
      </c>
      <c r="R72" s="5" t="n">
        <v>0</v>
      </c>
      <c r="S72" s="5" t="n">
        <v>45</v>
      </c>
      <c r="T72" s="12" t="n">
        <f aca="false">(O72-M72)/M72</f>
        <v>0.0369</v>
      </c>
      <c r="U72" s="8" t="n">
        <f aca="false">IF(AND(K72&lt;=I72,R72=0),1,0)</f>
        <v>1</v>
      </c>
      <c r="V72" s="10" t="n">
        <f aca="false">IF(Q72="No",P72,0)</f>
        <v>0</v>
      </c>
    </row>
    <row r="73" customFormat="false" ht="15" hidden="false" customHeight="false" outlineLevel="0" collapsed="false">
      <c r="A73" s="5" t="s">
        <v>206</v>
      </c>
      <c r="B73" s="5" t="s">
        <v>54</v>
      </c>
      <c r="C73" s="7" t="n">
        <v>45895</v>
      </c>
      <c r="D73" s="8" t="str">
        <f aca="false">INDEX(Dim_Supplier!$C$2:$C$21,MATCH(B73,Dim_Supplier!$A$2:$A$21,0))</f>
        <v>Raw Materials</v>
      </c>
      <c r="E73" s="8" t="str">
        <f aca="false">INDEX(Dim_Supplier!$B$2:$B$21,MATCH(B73,Dim_Supplier!$A$2:$A$21,0))</f>
        <v>Northern Resin Solutions</v>
      </c>
      <c r="F73" s="5" t="s">
        <v>144</v>
      </c>
      <c r="G73" s="5" t="s">
        <v>120</v>
      </c>
      <c r="H73" s="8" t="n">
        <f aca="false">INDEX(Lookup_Tables!$B$2:$B$5,MATCH(D73,Lookup_Tables!$A$2:$A$5,0))</f>
        <v>21</v>
      </c>
      <c r="I73" s="9" t="n">
        <f aca="false">C73+H73</f>
        <v>45916</v>
      </c>
      <c r="J73" s="5" t="n">
        <v>3</v>
      </c>
      <c r="K73" s="9" t="n">
        <f aca="false">I73+J73</f>
        <v>45919</v>
      </c>
      <c r="L73" s="5" t="n">
        <v>706</v>
      </c>
      <c r="M73" s="10" t="n">
        <f aca="false">INDEX(Dim_Supplier!$F$2:$F$21,MATCH(B73,Dim_Supplier!$A$2:$A$21,0))</f>
        <v>38.9</v>
      </c>
      <c r="N73" s="11" t="n">
        <v>0.0454</v>
      </c>
      <c r="O73" s="10" t="n">
        <f aca="false">M73*(1+N73)</f>
        <v>40.66606</v>
      </c>
      <c r="P73" s="10" t="n">
        <f aca="false">O73*L73</f>
        <v>28710.23836</v>
      </c>
      <c r="Q73" s="5" t="s">
        <v>113</v>
      </c>
      <c r="R73" s="5" t="n">
        <v>0</v>
      </c>
      <c r="S73" s="5" t="n">
        <v>30</v>
      </c>
      <c r="T73" s="12" t="n">
        <f aca="false">(O73-M73)/M73</f>
        <v>0.0454000000000001</v>
      </c>
      <c r="U73" s="8" t="n">
        <f aca="false">IF(AND(K73&lt;=I73,R73=0),1,0)</f>
        <v>0</v>
      </c>
      <c r="V73" s="10" t="n">
        <f aca="false">IF(Q73="No",P73,0)</f>
        <v>0</v>
      </c>
    </row>
    <row r="74" customFormat="false" ht="15" hidden="false" customHeight="false" outlineLevel="0" collapsed="false">
      <c r="A74" s="5" t="s">
        <v>207</v>
      </c>
      <c r="B74" s="5" t="s">
        <v>68</v>
      </c>
      <c r="C74" s="7" t="n">
        <v>45572</v>
      </c>
      <c r="D74" s="8" t="str">
        <f aca="false">INDEX(Dim_Supplier!$C$2:$C$21,MATCH(B74,Dim_Supplier!$A$2:$A$21,0))</f>
        <v>MRO</v>
      </c>
      <c r="E74" s="8" t="str">
        <f aca="false">INDEX(Dim_Supplier!$B$2:$B$21,MATCH(B74,Dim_Supplier!$A$2:$A$21,0))</f>
        <v>Precision Tool &amp; Supply</v>
      </c>
      <c r="F74" s="5" t="s">
        <v>127</v>
      </c>
      <c r="G74" s="5" t="s">
        <v>129</v>
      </c>
      <c r="H74" s="8" t="n">
        <f aca="false">INDEX(Lookup_Tables!$B$2:$B$5,MATCH(D74,Lookup_Tables!$A$2:$A$5,0))</f>
        <v>10</v>
      </c>
      <c r="I74" s="9" t="n">
        <f aca="false">C74+H74</f>
        <v>45582</v>
      </c>
      <c r="J74" s="5" t="n">
        <v>-4</v>
      </c>
      <c r="K74" s="9" t="n">
        <f aca="false">I74+J74</f>
        <v>45578</v>
      </c>
      <c r="L74" s="5" t="n">
        <v>37</v>
      </c>
      <c r="M74" s="10" t="n">
        <f aca="false">INDEX(Dim_Supplier!$F$2:$F$21,MATCH(B74,Dim_Supplier!$A$2:$A$21,0))</f>
        <v>22.4</v>
      </c>
      <c r="N74" s="11" t="n">
        <v>-0.0002</v>
      </c>
      <c r="O74" s="10" t="n">
        <f aca="false">M74*(1+N74)</f>
        <v>22.39552</v>
      </c>
      <c r="P74" s="10" t="n">
        <f aca="false">O74*L74</f>
        <v>828.63424</v>
      </c>
      <c r="Q74" s="5" t="s">
        <v>113</v>
      </c>
      <c r="R74" s="5" t="n">
        <v>0</v>
      </c>
      <c r="S74" s="5" t="n">
        <v>30</v>
      </c>
      <c r="T74" s="12" t="n">
        <f aca="false">(O74-M74)/M74</f>
        <v>-0.000200000000000041</v>
      </c>
      <c r="U74" s="8" t="n">
        <f aca="false">IF(AND(K74&lt;=I74,R74=0),1,0)</f>
        <v>1</v>
      </c>
      <c r="V74" s="10" t="n">
        <f aca="false">IF(Q74="No",P74,0)</f>
        <v>0</v>
      </c>
    </row>
    <row r="75" customFormat="false" ht="15" hidden="false" customHeight="false" outlineLevel="0" collapsed="false">
      <c r="A75" s="5" t="s">
        <v>208</v>
      </c>
      <c r="B75" s="5" t="s">
        <v>41</v>
      </c>
      <c r="C75" s="7" t="n">
        <v>45583</v>
      </c>
      <c r="D75" s="8" t="str">
        <f aca="false">INDEX(Dim_Supplier!$C$2:$C$21,MATCH(B75,Dim_Supplier!$A$2:$A$21,0))</f>
        <v>Raw Materials</v>
      </c>
      <c r="E75" s="8" t="str">
        <f aca="false">INDEX(Dim_Supplier!$B$2:$B$21,MATCH(B75,Dim_Supplier!$A$2:$A$21,0))</f>
        <v>Ontario Steel Partners</v>
      </c>
      <c r="F75" s="5" t="s">
        <v>142</v>
      </c>
      <c r="G75" s="5" t="s">
        <v>125</v>
      </c>
      <c r="H75" s="8" t="n">
        <f aca="false">INDEX(Lookup_Tables!$B$2:$B$5,MATCH(D75,Lookup_Tables!$A$2:$A$5,0))</f>
        <v>21</v>
      </c>
      <c r="I75" s="9" t="n">
        <f aca="false">C75+H75</f>
        <v>45604</v>
      </c>
      <c r="J75" s="5" t="n">
        <v>-4</v>
      </c>
      <c r="K75" s="9" t="n">
        <f aca="false">I75+J75</f>
        <v>45600</v>
      </c>
      <c r="L75" s="5" t="n">
        <v>205</v>
      </c>
      <c r="M75" s="10" t="n">
        <f aca="false">INDEX(Dim_Supplier!$F$2:$F$21,MATCH(B75,Dim_Supplier!$A$2:$A$21,0))</f>
        <v>58</v>
      </c>
      <c r="N75" s="11" t="n">
        <v>0.0147</v>
      </c>
      <c r="O75" s="10" t="n">
        <f aca="false">M75*(1+N75)</f>
        <v>58.8526</v>
      </c>
      <c r="P75" s="10" t="n">
        <f aca="false">O75*L75</f>
        <v>12064.783</v>
      </c>
      <c r="Q75" s="5" t="s">
        <v>113</v>
      </c>
      <c r="R75" s="5" t="n">
        <v>0</v>
      </c>
      <c r="S75" s="5" t="n">
        <v>30</v>
      </c>
      <c r="T75" s="12" t="n">
        <f aca="false">(O75-M75)/M75</f>
        <v>0.0146999999999999</v>
      </c>
      <c r="U75" s="8" t="n">
        <f aca="false">IF(AND(K75&lt;=I75,R75=0),1,0)</f>
        <v>1</v>
      </c>
      <c r="V75" s="10" t="n">
        <f aca="false">IF(Q75="No",P75,0)</f>
        <v>0</v>
      </c>
    </row>
    <row r="76" customFormat="false" ht="15" hidden="false" customHeight="false" outlineLevel="0" collapsed="false">
      <c r="A76" s="5" t="s">
        <v>209</v>
      </c>
      <c r="B76" s="5" t="s">
        <v>41</v>
      </c>
      <c r="C76" s="7" t="n">
        <v>45795</v>
      </c>
      <c r="D76" s="8" t="str">
        <f aca="false">INDEX(Dim_Supplier!$C$2:$C$21,MATCH(B76,Dim_Supplier!$A$2:$A$21,0))</f>
        <v>Raw Materials</v>
      </c>
      <c r="E76" s="8" t="str">
        <f aca="false">INDEX(Dim_Supplier!$B$2:$B$21,MATCH(B76,Dim_Supplier!$A$2:$A$21,0))</f>
        <v>Ontario Steel Partners</v>
      </c>
      <c r="F76" s="5" t="s">
        <v>148</v>
      </c>
      <c r="G76" s="5" t="s">
        <v>129</v>
      </c>
      <c r="H76" s="8" t="n">
        <f aca="false">INDEX(Lookup_Tables!$B$2:$B$5,MATCH(D76,Lookup_Tables!$A$2:$A$5,0))</f>
        <v>21</v>
      </c>
      <c r="I76" s="9" t="n">
        <f aca="false">C76+H76</f>
        <v>45816</v>
      </c>
      <c r="J76" s="5" t="n">
        <v>-1</v>
      </c>
      <c r="K76" s="9" t="n">
        <f aca="false">I76+J76</f>
        <v>45815</v>
      </c>
      <c r="L76" s="5" t="n">
        <v>722</v>
      </c>
      <c r="M76" s="10" t="n">
        <f aca="false">INDEX(Dim_Supplier!$F$2:$F$21,MATCH(B76,Dim_Supplier!$A$2:$A$21,0))</f>
        <v>58</v>
      </c>
      <c r="N76" s="11" t="n">
        <v>0.0398</v>
      </c>
      <c r="O76" s="10" t="n">
        <f aca="false">M76*(1+N76)</f>
        <v>60.3084</v>
      </c>
      <c r="P76" s="10" t="n">
        <f aca="false">O76*L76</f>
        <v>43542.6648</v>
      </c>
      <c r="Q76" s="5" t="s">
        <v>113</v>
      </c>
      <c r="R76" s="5" t="n">
        <v>0</v>
      </c>
      <c r="S76" s="5" t="n">
        <v>45</v>
      </c>
      <c r="T76" s="12" t="n">
        <f aca="false">(O76-M76)/M76</f>
        <v>0.0398000000000001</v>
      </c>
      <c r="U76" s="8" t="n">
        <f aca="false">IF(AND(K76&lt;=I76,R76=0),1,0)</f>
        <v>1</v>
      </c>
      <c r="V76" s="10" t="n">
        <f aca="false">IF(Q76="No",P76,0)</f>
        <v>0</v>
      </c>
    </row>
    <row r="77" customFormat="false" ht="15" hidden="false" customHeight="false" outlineLevel="0" collapsed="false">
      <c r="A77" s="5" t="s">
        <v>210</v>
      </c>
      <c r="B77" s="5" t="s">
        <v>62</v>
      </c>
      <c r="C77" s="7" t="n">
        <v>45902</v>
      </c>
      <c r="D77" s="8" t="str">
        <f aca="false">INDEX(Dim_Supplier!$C$2:$C$21,MATCH(B77,Dim_Supplier!$A$2:$A$21,0))</f>
        <v>Packaging</v>
      </c>
      <c r="E77" s="8" t="str">
        <f aca="false">INDEX(Dim_Supplier!$B$2:$B$21,MATCH(B77,Dim_Supplier!$A$2:$A$21,0))</f>
        <v>Trillium Packaging Solutions</v>
      </c>
      <c r="F77" s="5" t="s">
        <v>122</v>
      </c>
      <c r="G77" s="5" t="s">
        <v>112</v>
      </c>
      <c r="H77" s="8" t="n">
        <f aca="false">INDEX(Lookup_Tables!$B$2:$B$5,MATCH(D77,Lookup_Tables!$A$2:$A$5,0))</f>
        <v>14</v>
      </c>
      <c r="I77" s="9" t="n">
        <f aca="false">C77+H77</f>
        <v>45916</v>
      </c>
      <c r="J77" s="5" t="n">
        <v>-3</v>
      </c>
      <c r="K77" s="9" t="n">
        <f aca="false">I77+J77</f>
        <v>45913</v>
      </c>
      <c r="L77" s="5" t="n">
        <v>4126</v>
      </c>
      <c r="M77" s="10" t="n">
        <f aca="false">INDEX(Dim_Supplier!$F$2:$F$21,MATCH(B77,Dim_Supplier!$A$2:$A$21,0))</f>
        <v>5.6</v>
      </c>
      <c r="N77" s="11" t="n">
        <v>0.0007</v>
      </c>
      <c r="O77" s="10" t="n">
        <f aca="false">M77*(1+N77)</f>
        <v>5.60392</v>
      </c>
      <c r="P77" s="10" t="n">
        <f aca="false">O77*L77</f>
        <v>23121.77392</v>
      </c>
      <c r="Q77" s="5" t="s">
        <v>113</v>
      </c>
      <c r="R77" s="5" t="n">
        <v>0</v>
      </c>
      <c r="S77" s="5" t="n">
        <v>30</v>
      </c>
      <c r="T77" s="12" t="n">
        <f aca="false">(O77-M77)/M77</f>
        <v>0.000699999999999986</v>
      </c>
      <c r="U77" s="8" t="n">
        <f aca="false">IF(AND(K77&lt;=I77,R77=0),1,0)</f>
        <v>1</v>
      </c>
      <c r="V77" s="10" t="n">
        <f aca="false">IF(Q77="No",P77,0)</f>
        <v>0</v>
      </c>
    </row>
    <row r="78" customFormat="false" ht="15" hidden="false" customHeight="false" outlineLevel="0" collapsed="false">
      <c r="A78" s="5" t="s">
        <v>211</v>
      </c>
      <c r="B78" s="5" t="s">
        <v>68</v>
      </c>
      <c r="C78" s="7" t="n">
        <v>45353</v>
      </c>
      <c r="D78" s="8" t="str">
        <f aca="false">INDEX(Dim_Supplier!$C$2:$C$21,MATCH(B78,Dim_Supplier!$A$2:$A$21,0))</f>
        <v>MRO</v>
      </c>
      <c r="E78" s="8" t="str">
        <f aca="false">INDEX(Dim_Supplier!$B$2:$B$21,MATCH(B78,Dim_Supplier!$A$2:$A$21,0))</f>
        <v>Precision Tool &amp; Supply</v>
      </c>
      <c r="F78" s="5" t="s">
        <v>132</v>
      </c>
      <c r="G78" s="5" t="s">
        <v>129</v>
      </c>
      <c r="H78" s="8" t="n">
        <f aca="false">INDEX(Lookup_Tables!$B$2:$B$5,MATCH(D78,Lookup_Tables!$A$2:$A$5,0))</f>
        <v>10</v>
      </c>
      <c r="I78" s="9" t="n">
        <f aca="false">C78+H78</f>
        <v>45363</v>
      </c>
      <c r="J78" s="5" t="n">
        <v>-2</v>
      </c>
      <c r="K78" s="9" t="n">
        <f aca="false">I78+J78</f>
        <v>45361</v>
      </c>
      <c r="L78" s="5" t="n">
        <v>59</v>
      </c>
      <c r="M78" s="10" t="n">
        <f aca="false">INDEX(Dim_Supplier!$F$2:$F$21,MATCH(B78,Dim_Supplier!$A$2:$A$21,0))</f>
        <v>22.4</v>
      </c>
      <c r="N78" s="11" t="n">
        <v>0.0056</v>
      </c>
      <c r="O78" s="10" t="n">
        <f aca="false">M78*(1+N78)</f>
        <v>22.52544</v>
      </c>
      <c r="P78" s="10" t="n">
        <f aca="false">O78*L78</f>
        <v>1329.00096</v>
      </c>
      <c r="Q78" s="5" t="s">
        <v>113</v>
      </c>
      <c r="R78" s="5" t="n">
        <v>0</v>
      </c>
      <c r="S78" s="5" t="n">
        <v>30</v>
      </c>
      <c r="T78" s="12" t="n">
        <f aca="false">(O78-M78)/M78</f>
        <v>0.00560000000000005</v>
      </c>
      <c r="U78" s="8" t="n">
        <f aca="false">IF(AND(K78&lt;=I78,R78=0),1,0)</f>
        <v>1</v>
      </c>
      <c r="V78" s="10" t="n">
        <f aca="false">IF(Q78="No",P78,0)</f>
        <v>0</v>
      </c>
    </row>
    <row r="79" customFormat="false" ht="15" hidden="false" customHeight="false" outlineLevel="0" collapsed="false">
      <c r="A79" s="5" t="s">
        <v>212</v>
      </c>
      <c r="B79" s="5" t="s">
        <v>68</v>
      </c>
      <c r="C79" s="7" t="n">
        <v>45452</v>
      </c>
      <c r="D79" s="8" t="str">
        <f aca="false">INDEX(Dim_Supplier!$C$2:$C$21,MATCH(B79,Dim_Supplier!$A$2:$A$21,0))</f>
        <v>MRO</v>
      </c>
      <c r="E79" s="8" t="str">
        <f aca="false">INDEX(Dim_Supplier!$B$2:$B$21,MATCH(B79,Dim_Supplier!$A$2:$A$21,0))</f>
        <v>Precision Tool &amp; Supply</v>
      </c>
      <c r="F79" s="5" t="s">
        <v>127</v>
      </c>
      <c r="G79" s="5" t="s">
        <v>125</v>
      </c>
      <c r="H79" s="8" t="n">
        <f aca="false">INDEX(Lookup_Tables!$B$2:$B$5,MATCH(D79,Lookup_Tables!$A$2:$A$5,0))</f>
        <v>10</v>
      </c>
      <c r="I79" s="9" t="n">
        <f aca="false">C79+H79</f>
        <v>45462</v>
      </c>
      <c r="J79" s="5" t="n">
        <v>-4</v>
      </c>
      <c r="K79" s="9" t="n">
        <f aca="false">I79+J79</f>
        <v>45458</v>
      </c>
      <c r="L79" s="5" t="n">
        <v>79</v>
      </c>
      <c r="M79" s="10" t="n">
        <f aca="false">INDEX(Dim_Supplier!$F$2:$F$21,MATCH(B79,Dim_Supplier!$A$2:$A$21,0))</f>
        <v>22.4</v>
      </c>
      <c r="N79" s="11" t="n">
        <v>0.0182</v>
      </c>
      <c r="O79" s="10" t="n">
        <f aca="false">M79*(1+N79)</f>
        <v>22.80768</v>
      </c>
      <c r="P79" s="10" t="n">
        <f aca="false">O79*L79</f>
        <v>1801.80672</v>
      </c>
      <c r="Q79" s="5" t="s">
        <v>113</v>
      </c>
      <c r="R79" s="5" t="n">
        <v>0</v>
      </c>
      <c r="S79" s="5" t="n">
        <v>30</v>
      </c>
      <c r="T79" s="12" t="n">
        <f aca="false">(O79-M79)/M79</f>
        <v>0.0182</v>
      </c>
      <c r="U79" s="8" t="n">
        <f aca="false">IF(AND(K79&lt;=I79,R79=0),1,0)</f>
        <v>1</v>
      </c>
      <c r="V79" s="10" t="n">
        <f aca="false">IF(Q79="No",P79,0)</f>
        <v>0</v>
      </c>
    </row>
    <row r="80" customFormat="false" ht="15" hidden="false" customHeight="false" outlineLevel="0" collapsed="false">
      <c r="A80" s="5" t="s">
        <v>213</v>
      </c>
      <c r="B80" s="5" t="s">
        <v>82</v>
      </c>
      <c r="C80" s="7" t="n">
        <v>45364</v>
      </c>
      <c r="D80" s="8" t="str">
        <f aca="false">INDEX(Dim_Supplier!$C$2:$C$21,MATCH(B80,Dim_Supplier!$A$2:$A$21,0))</f>
        <v>Logistics</v>
      </c>
      <c r="E80" s="8" t="str">
        <f aca="false">INDEX(Dim_Supplier!$B$2:$B$21,MATCH(B80,Dim_Supplier!$A$2:$A$21,0))</f>
        <v>Maple Route Logistics</v>
      </c>
      <c r="F80" s="5" t="s">
        <v>154</v>
      </c>
      <c r="G80" s="5" t="s">
        <v>120</v>
      </c>
      <c r="H80" s="8" t="n">
        <f aca="false">INDEX(Lookup_Tables!$B$2:$B$5,MATCH(D80,Lookup_Tables!$A$2:$A$5,0))</f>
        <v>5</v>
      </c>
      <c r="I80" s="9" t="n">
        <f aca="false">C80+H80</f>
        <v>45369</v>
      </c>
      <c r="J80" s="5" t="n">
        <v>0</v>
      </c>
      <c r="K80" s="9" t="n">
        <f aca="false">I80+J80</f>
        <v>45369</v>
      </c>
      <c r="L80" s="5" t="n">
        <v>43</v>
      </c>
      <c r="M80" s="10" t="n">
        <f aca="false">INDEX(Dim_Supplier!$F$2:$F$21,MATCH(B80,Dim_Supplier!$A$2:$A$21,0))</f>
        <v>285</v>
      </c>
      <c r="N80" s="11" t="n">
        <v>0.0028</v>
      </c>
      <c r="O80" s="10" t="n">
        <f aca="false">M80*(1+N80)</f>
        <v>285.798</v>
      </c>
      <c r="P80" s="10" t="n">
        <f aca="false">O80*L80</f>
        <v>12289.314</v>
      </c>
      <c r="Q80" s="5" t="s">
        <v>113</v>
      </c>
      <c r="R80" s="5" t="n">
        <v>0</v>
      </c>
      <c r="S80" s="5" t="n">
        <v>30</v>
      </c>
      <c r="T80" s="12" t="n">
        <f aca="false">(O80-M80)/M80</f>
        <v>0.00280000000000001</v>
      </c>
      <c r="U80" s="8" t="n">
        <f aca="false">IF(AND(K80&lt;=I80,R80=0),1,0)</f>
        <v>1</v>
      </c>
      <c r="V80" s="10" t="n">
        <f aca="false">IF(Q80="No",P80,0)</f>
        <v>0</v>
      </c>
    </row>
    <row r="81" customFormat="false" ht="15" hidden="false" customHeight="false" outlineLevel="0" collapsed="false">
      <c r="A81" s="5" t="s">
        <v>214</v>
      </c>
      <c r="B81" s="5" t="s">
        <v>52</v>
      </c>
      <c r="C81" s="7" t="n">
        <v>45444</v>
      </c>
      <c r="D81" s="8" t="str">
        <f aca="false">INDEX(Dim_Supplier!$C$2:$C$21,MATCH(B81,Dim_Supplier!$A$2:$A$21,0))</f>
        <v>Raw Materials</v>
      </c>
      <c r="E81" s="8" t="str">
        <f aca="false">INDEX(Dim_Supplier!$B$2:$B$21,MATCH(B81,Dim_Supplier!$A$2:$A$21,0))</f>
        <v>Laurentian Metals Inc.</v>
      </c>
      <c r="F81" s="5" t="s">
        <v>139</v>
      </c>
      <c r="G81" s="5" t="s">
        <v>112</v>
      </c>
      <c r="H81" s="8" t="n">
        <f aca="false">INDEX(Lookup_Tables!$B$2:$B$5,MATCH(D81,Lookup_Tables!$A$2:$A$5,0))</f>
        <v>21</v>
      </c>
      <c r="I81" s="9" t="n">
        <f aca="false">C81+H81</f>
        <v>45465</v>
      </c>
      <c r="J81" s="5" t="n">
        <v>-2</v>
      </c>
      <c r="K81" s="9" t="n">
        <f aca="false">I81+J81</f>
        <v>45463</v>
      </c>
      <c r="L81" s="5" t="n">
        <v>729</v>
      </c>
      <c r="M81" s="10" t="n">
        <f aca="false">INDEX(Dim_Supplier!$F$2:$F$21,MATCH(B81,Dim_Supplier!$A$2:$A$21,0))</f>
        <v>61.2</v>
      </c>
      <c r="N81" s="11" t="n">
        <v>0.0252</v>
      </c>
      <c r="O81" s="10" t="n">
        <f aca="false">M81*(1+N81)</f>
        <v>62.74224</v>
      </c>
      <c r="P81" s="10" t="n">
        <f aca="false">O81*L81</f>
        <v>45739.09296</v>
      </c>
      <c r="Q81" s="5" t="s">
        <v>113</v>
      </c>
      <c r="R81" s="5" t="n">
        <v>0</v>
      </c>
      <c r="S81" s="5" t="n">
        <v>60</v>
      </c>
      <c r="T81" s="12" t="n">
        <f aca="false">(O81-M81)/M81</f>
        <v>0.0251999999999999</v>
      </c>
      <c r="U81" s="8" t="n">
        <f aca="false">IF(AND(K81&lt;=I81,R81=0),1,0)</f>
        <v>1</v>
      </c>
      <c r="V81" s="10" t="n">
        <f aca="false">IF(Q81="No",P81,0)</f>
        <v>0</v>
      </c>
    </row>
    <row r="82" customFormat="false" ht="15" hidden="false" customHeight="false" outlineLevel="0" collapsed="false">
      <c r="A82" s="5" t="s">
        <v>215</v>
      </c>
      <c r="B82" s="5" t="s">
        <v>62</v>
      </c>
      <c r="C82" s="7" t="n">
        <v>45771</v>
      </c>
      <c r="D82" s="8" t="str">
        <f aca="false">INDEX(Dim_Supplier!$C$2:$C$21,MATCH(B82,Dim_Supplier!$A$2:$A$21,0))</f>
        <v>Packaging</v>
      </c>
      <c r="E82" s="8" t="str">
        <f aca="false">INDEX(Dim_Supplier!$B$2:$B$21,MATCH(B82,Dim_Supplier!$A$2:$A$21,0))</f>
        <v>Trillium Packaging Solutions</v>
      </c>
      <c r="F82" s="5" t="s">
        <v>119</v>
      </c>
      <c r="G82" s="5" t="s">
        <v>125</v>
      </c>
      <c r="H82" s="8" t="n">
        <f aca="false">INDEX(Lookup_Tables!$B$2:$B$5,MATCH(D82,Lookup_Tables!$A$2:$A$5,0))</f>
        <v>14</v>
      </c>
      <c r="I82" s="9" t="n">
        <f aca="false">C82+H82</f>
        <v>45785</v>
      </c>
      <c r="J82" s="5" t="n">
        <v>-1</v>
      </c>
      <c r="K82" s="9" t="n">
        <f aca="false">I82+J82</f>
        <v>45784</v>
      </c>
      <c r="L82" s="5" t="n">
        <v>4545</v>
      </c>
      <c r="M82" s="10" t="n">
        <f aca="false">INDEX(Dim_Supplier!$F$2:$F$21,MATCH(B82,Dim_Supplier!$A$2:$A$21,0))</f>
        <v>5.6</v>
      </c>
      <c r="N82" s="11" t="n">
        <v>0.0117</v>
      </c>
      <c r="O82" s="10" t="n">
        <f aca="false">M82*(1+N82)</f>
        <v>5.66552</v>
      </c>
      <c r="P82" s="10" t="n">
        <f aca="false">O82*L82</f>
        <v>25749.7884</v>
      </c>
      <c r="Q82" s="5" t="s">
        <v>113</v>
      </c>
      <c r="R82" s="5" t="n">
        <v>0</v>
      </c>
      <c r="S82" s="5" t="n">
        <v>60</v>
      </c>
      <c r="T82" s="12" t="n">
        <f aca="false">(O82-M82)/M82</f>
        <v>0.0117</v>
      </c>
      <c r="U82" s="8" t="n">
        <f aca="false">IF(AND(K82&lt;=I82,R82=0),1,0)</f>
        <v>1</v>
      </c>
      <c r="V82" s="10" t="n">
        <f aca="false">IF(Q82="No",P82,0)</f>
        <v>0</v>
      </c>
    </row>
    <row r="83" customFormat="false" ht="15" hidden="false" customHeight="false" outlineLevel="0" collapsed="false">
      <c r="A83" s="5" t="s">
        <v>216</v>
      </c>
      <c r="B83" s="5" t="s">
        <v>77</v>
      </c>
      <c r="C83" s="7" t="n">
        <v>45910</v>
      </c>
      <c r="D83" s="8" t="str">
        <f aca="false">INDEX(Dim_Supplier!$C$2:$C$21,MATCH(B83,Dim_Supplier!$A$2:$A$21,0))</f>
        <v>MRO</v>
      </c>
      <c r="E83" s="8" t="str">
        <f aca="false">INDEX(Dim_Supplier!$B$2:$B$21,MATCH(B83,Dim_Supplier!$A$2:$A$21,0))</f>
        <v>Apex Industrial Supply</v>
      </c>
      <c r="F83" s="5" t="s">
        <v>111</v>
      </c>
      <c r="G83" s="5" t="s">
        <v>129</v>
      </c>
      <c r="H83" s="8" t="n">
        <f aca="false">INDEX(Lookup_Tables!$B$2:$B$5,MATCH(D83,Lookup_Tables!$A$2:$A$5,0))</f>
        <v>10</v>
      </c>
      <c r="I83" s="9" t="n">
        <f aca="false">C83+H83</f>
        <v>45920</v>
      </c>
      <c r="J83" s="5" t="n">
        <v>3</v>
      </c>
      <c r="K83" s="9" t="n">
        <f aca="false">I83+J83</f>
        <v>45923</v>
      </c>
      <c r="L83" s="5" t="n">
        <v>152</v>
      </c>
      <c r="M83" s="10" t="n">
        <f aca="false">INDEX(Dim_Supplier!$F$2:$F$21,MATCH(B83,Dim_Supplier!$A$2:$A$21,0))</f>
        <v>24.6</v>
      </c>
      <c r="N83" s="11" t="n">
        <v>0.0778</v>
      </c>
      <c r="O83" s="10" t="n">
        <f aca="false">M83*(1+N83)</f>
        <v>26.51388</v>
      </c>
      <c r="P83" s="10" t="n">
        <f aca="false">O83*L83</f>
        <v>4030.10976</v>
      </c>
      <c r="Q83" s="5" t="s">
        <v>113</v>
      </c>
      <c r="R83" s="5" t="n">
        <v>11</v>
      </c>
      <c r="S83" s="5" t="n">
        <v>60</v>
      </c>
      <c r="T83" s="12" t="n">
        <f aca="false">(O83-M83)/M83</f>
        <v>0.0778000000000001</v>
      </c>
      <c r="U83" s="8" t="n">
        <f aca="false">IF(AND(K83&lt;=I83,R83=0),1,0)</f>
        <v>0</v>
      </c>
      <c r="V83" s="10" t="n">
        <f aca="false">IF(Q83="No",P83,0)</f>
        <v>0</v>
      </c>
    </row>
    <row r="84" customFormat="false" ht="15" hidden="false" customHeight="false" outlineLevel="0" collapsed="false">
      <c r="A84" s="5" t="s">
        <v>217</v>
      </c>
      <c r="B84" s="5" t="s">
        <v>68</v>
      </c>
      <c r="C84" s="7" t="n">
        <v>46073</v>
      </c>
      <c r="D84" s="8" t="str">
        <f aca="false">INDEX(Dim_Supplier!$C$2:$C$21,MATCH(B84,Dim_Supplier!$A$2:$A$21,0))</f>
        <v>MRO</v>
      </c>
      <c r="E84" s="8" t="str">
        <f aca="false">INDEX(Dim_Supplier!$B$2:$B$21,MATCH(B84,Dim_Supplier!$A$2:$A$21,0))</f>
        <v>Precision Tool &amp; Supply</v>
      </c>
      <c r="F84" s="5" t="s">
        <v>164</v>
      </c>
      <c r="G84" s="5" t="s">
        <v>125</v>
      </c>
      <c r="H84" s="8" t="n">
        <f aca="false">INDEX(Lookup_Tables!$B$2:$B$5,MATCH(D84,Lookup_Tables!$A$2:$A$5,0))</f>
        <v>10</v>
      </c>
      <c r="I84" s="9" t="n">
        <f aca="false">C84+H84</f>
        <v>46083</v>
      </c>
      <c r="J84" s="5" t="n">
        <v>-4</v>
      </c>
      <c r="K84" s="9" t="n">
        <f aca="false">I84+J84</f>
        <v>46079</v>
      </c>
      <c r="L84" s="5" t="n">
        <v>76</v>
      </c>
      <c r="M84" s="10" t="n">
        <f aca="false">INDEX(Dim_Supplier!$F$2:$F$21,MATCH(B84,Dim_Supplier!$A$2:$A$21,0))</f>
        <v>22.4</v>
      </c>
      <c r="N84" s="11" t="n">
        <v>0.0074</v>
      </c>
      <c r="O84" s="10" t="n">
        <f aca="false">M84*(1+N84)</f>
        <v>22.56576</v>
      </c>
      <c r="P84" s="10" t="n">
        <f aca="false">O84*L84</f>
        <v>1714.99776</v>
      </c>
      <c r="Q84" s="5" t="s">
        <v>113</v>
      </c>
      <c r="R84" s="5" t="n">
        <v>0</v>
      </c>
      <c r="S84" s="5" t="n">
        <v>45</v>
      </c>
      <c r="T84" s="12" t="n">
        <f aca="false">(O84-M84)/M84</f>
        <v>0.00740000000000011</v>
      </c>
      <c r="U84" s="8" t="n">
        <f aca="false">IF(AND(K84&lt;=I84,R84=0),1,0)</f>
        <v>1</v>
      </c>
      <c r="V84" s="10" t="n">
        <f aca="false">IF(Q84="No",P84,0)</f>
        <v>0</v>
      </c>
    </row>
    <row r="85" customFormat="false" ht="15" hidden="false" customHeight="false" outlineLevel="0" collapsed="false">
      <c r="A85" s="5" t="s">
        <v>218</v>
      </c>
      <c r="B85" s="5" t="s">
        <v>66</v>
      </c>
      <c r="C85" s="7" t="n">
        <v>45385</v>
      </c>
      <c r="D85" s="8" t="str">
        <f aca="false">INDEX(Dim_Supplier!$C$2:$C$21,MATCH(B85,Dim_Supplier!$A$2:$A$21,0))</f>
        <v>Packaging</v>
      </c>
      <c r="E85" s="8" t="str">
        <f aca="false">INDEX(Dim_Supplier!$B$2:$B$21,MATCH(B85,Dim_Supplier!$A$2:$A$21,0))</f>
        <v>EverGreen Wrap Industries</v>
      </c>
      <c r="F85" s="5" t="s">
        <v>137</v>
      </c>
      <c r="G85" s="5" t="s">
        <v>120</v>
      </c>
      <c r="H85" s="8" t="n">
        <f aca="false">INDEX(Lookup_Tables!$B$2:$B$5,MATCH(D85,Lookup_Tables!$A$2:$A$5,0))</f>
        <v>14</v>
      </c>
      <c r="I85" s="9" t="n">
        <f aca="false">C85+H85</f>
        <v>45399</v>
      </c>
      <c r="J85" s="5" t="n">
        <v>-2</v>
      </c>
      <c r="K85" s="9" t="n">
        <f aca="false">I85+J85</f>
        <v>45397</v>
      </c>
      <c r="L85" s="5" t="n">
        <v>1356</v>
      </c>
      <c r="M85" s="10" t="n">
        <f aca="false">INDEX(Dim_Supplier!$F$2:$F$21,MATCH(B85,Dim_Supplier!$A$2:$A$21,0))</f>
        <v>6.8</v>
      </c>
      <c r="N85" s="11" t="n">
        <v>0.0696</v>
      </c>
      <c r="O85" s="10" t="n">
        <f aca="false">M85*(1+N85)</f>
        <v>7.27328</v>
      </c>
      <c r="P85" s="10" t="n">
        <f aca="false">O85*L85</f>
        <v>9862.56768</v>
      </c>
      <c r="Q85" s="5" t="s">
        <v>133</v>
      </c>
      <c r="R85" s="5" t="n">
        <v>0</v>
      </c>
      <c r="S85" s="5" t="n">
        <v>45</v>
      </c>
      <c r="T85" s="12" t="n">
        <f aca="false">(O85-M85)/M85</f>
        <v>0.0695999999999999</v>
      </c>
      <c r="U85" s="8" t="n">
        <f aca="false">IF(AND(K85&lt;=I85,R85=0),1,0)</f>
        <v>1</v>
      </c>
      <c r="V85" s="10" t="n">
        <f aca="false">IF(Q85="No",P85,0)</f>
        <v>9862.56768</v>
      </c>
    </row>
    <row r="86" customFormat="false" ht="15" hidden="false" customHeight="false" outlineLevel="0" collapsed="false">
      <c r="A86" s="5" t="s">
        <v>219</v>
      </c>
      <c r="B86" s="5" t="s">
        <v>54</v>
      </c>
      <c r="C86" s="7" t="n">
        <v>45702</v>
      </c>
      <c r="D86" s="8" t="str">
        <f aca="false">INDEX(Dim_Supplier!$C$2:$C$21,MATCH(B86,Dim_Supplier!$A$2:$A$21,0))</f>
        <v>Raw Materials</v>
      </c>
      <c r="E86" s="8" t="str">
        <f aca="false">INDEX(Dim_Supplier!$B$2:$B$21,MATCH(B86,Dim_Supplier!$A$2:$A$21,0))</f>
        <v>Northern Resin Solutions</v>
      </c>
      <c r="F86" s="5" t="s">
        <v>144</v>
      </c>
      <c r="G86" s="5" t="s">
        <v>129</v>
      </c>
      <c r="H86" s="8" t="n">
        <f aca="false">INDEX(Lookup_Tables!$B$2:$B$5,MATCH(D86,Lookup_Tables!$A$2:$A$5,0))</f>
        <v>21</v>
      </c>
      <c r="I86" s="9" t="n">
        <f aca="false">C86+H86</f>
        <v>45723</v>
      </c>
      <c r="J86" s="5" t="n">
        <v>-3</v>
      </c>
      <c r="K86" s="9" t="n">
        <f aca="false">I86+J86</f>
        <v>45720</v>
      </c>
      <c r="L86" s="5" t="n">
        <v>762</v>
      </c>
      <c r="M86" s="10" t="n">
        <f aca="false">INDEX(Dim_Supplier!$F$2:$F$21,MATCH(B86,Dim_Supplier!$A$2:$A$21,0))</f>
        <v>38.9</v>
      </c>
      <c r="N86" s="11" t="n">
        <v>0.0549</v>
      </c>
      <c r="O86" s="10" t="n">
        <f aca="false">M86*(1+N86)</f>
        <v>41.03561</v>
      </c>
      <c r="P86" s="10" t="n">
        <f aca="false">O86*L86</f>
        <v>31269.13482</v>
      </c>
      <c r="Q86" s="5" t="s">
        <v>113</v>
      </c>
      <c r="R86" s="5" t="n">
        <v>0</v>
      </c>
      <c r="S86" s="5" t="n">
        <v>60</v>
      </c>
      <c r="T86" s="12" t="n">
        <f aca="false">(O86-M86)/M86</f>
        <v>0.0549</v>
      </c>
      <c r="U86" s="8" t="n">
        <f aca="false">IF(AND(K86&lt;=I86,R86=0),1,0)</f>
        <v>1</v>
      </c>
      <c r="V86" s="10" t="n">
        <f aca="false">IF(Q86="No",P86,0)</f>
        <v>0</v>
      </c>
    </row>
    <row r="87" customFormat="false" ht="15" hidden="false" customHeight="false" outlineLevel="0" collapsed="false">
      <c r="A87" s="5" t="s">
        <v>220</v>
      </c>
      <c r="B87" s="5" t="s">
        <v>79</v>
      </c>
      <c r="C87" s="7" t="n">
        <v>45293</v>
      </c>
      <c r="D87" s="8" t="str">
        <f aca="false">INDEX(Dim_Supplier!$C$2:$C$21,MATCH(B87,Dim_Supplier!$A$2:$A$21,0))</f>
        <v>Logistics</v>
      </c>
      <c r="E87" s="8" t="str">
        <f aca="false">INDEX(Dim_Supplier!$B$2:$B$21,MATCH(B87,Dim_Supplier!$A$2:$A$21,0))</f>
        <v>Niagara Freight Solutions</v>
      </c>
      <c r="F87" s="5" t="s">
        <v>185</v>
      </c>
      <c r="G87" s="5" t="s">
        <v>125</v>
      </c>
      <c r="H87" s="8" t="n">
        <f aca="false">INDEX(Lookup_Tables!$B$2:$B$5,MATCH(D87,Lookup_Tables!$A$2:$A$5,0))</f>
        <v>5</v>
      </c>
      <c r="I87" s="9" t="n">
        <f aca="false">C87+H87</f>
        <v>45298</v>
      </c>
      <c r="J87" s="5" t="n">
        <v>-3</v>
      </c>
      <c r="K87" s="9" t="n">
        <f aca="false">I87+J87</f>
        <v>45295</v>
      </c>
      <c r="L87" s="5" t="n">
        <v>24</v>
      </c>
      <c r="M87" s="10" t="n">
        <f aca="false">INDEX(Dim_Supplier!$F$2:$F$21,MATCH(B87,Dim_Supplier!$A$2:$A$21,0))</f>
        <v>340</v>
      </c>
      <c r="N87" s="11" t="n">
        <v>0.0167</v>
      </c>
      <c r="O87" s="10" t="n">
        <f aca="false">M87*(1+N87)</f>
        <v>345.678</v>
      </c>
      <c r="P87" s="10" t="n">
        <f aca="false">O87*L87</f>
        <v>8296.272</v>
      </c>
      <c r="Q87" s="5" t="s">
        <v>113</v>
      </c>
      <c r="R87" s="5" t="n">
        <v>0</v>
      </c>
      <c r="S87" s="5" t="n">
        <v>30</v>
      </c>
      <c r="T87" s="12" t="n">
        <f aca="false">(O87-M87)/M87</f>
        <v>0.0167</v>
      </c>
      <c r="U87" s="8" t="n">
        <f aca="false">IF(AND(K87&lt;=I87,R87=0),1,0)</f>
        <v>1</v>
      </c>
      <c r="V87" s="10" t="n">
        <f aca="false">IF(Q87="No",P87,0)</f>
        <v>0</v>
      </c>
    </row>
    <row r="88" customFormat="false" ht="15" hidden="false" customHeight="false" outlineLevel="0" collapsed="false">
      <c r="A88" s="5" t="s">
        <v>221</v>
      </c>
      <c r="B88" s="5" t="s">
        <v>41</v>
      </c>
      <c r="C88" s="7" t="n">
        <v>45565</v>
      </c>
      <c r="D88" s="8" t="str">
        <f aca="false">INDEX(Dim_Supplier!$C$2:$C$21,MATCH(B88,Dim_Supplier!$A$2:$A$21,0))</f>
        <v>Raw Materials</v>
      </c>
      <c r="E88" s="8" t="str">
        <f aca="false">INDEX(Dim_Supplier!$B$2:$B$21,MATCH(B88,Dim_Supplier!$A$2:$A$21,0))</f>
        <v>Ontario Steel Partners</v>
      </c>
      <c r="F88" s="5" t="s">
        <v>144</v>
      </c>
      <c r="G88" s="5" t="s">
        <v>112</v>
      </c>
      <c r="H88" s="8" t="n">
        <f aca="false">INDEX(Lookup_Tables!$B$2:$B$5,MATCH(D88,Lookup_Tables!$A$2:$A$5,0))</f>
        <v>21</v>
      </c>
      <c r="I88" s="9" t="n">
        <f aca="false">C88+H88</f>
        <v>45586</v>
      </c>
      <c r="J88" s="5" t="n">
        <v>-1</v>
      </c>
      <c r="K88" s="9" t="n">
        <f aca="false">I88+J88</f>
        <v>45585</v>
      </c>
      <c r="L88" s="5" t="n">
        <v>1530</v>
      </c>
      <c r="M88" s="10" t="n">
        <f aca="false">INDEX(Dim_Supplier!$F$2:$F$21,MATCH(B88,Dim_Supplier!$A$2:$A$21,0))</f>
        <v>58</v>
      </c>
      <c r="N88" s="11" t="n">
        <v>0.0006</v>
      </c>
      <c r="O88" s="10" t="n">
        <f aca="false">M88*(1+N88)</f>
        <v>58.0348</v>
      </c>
      <c r="P88" s="10" t="n">
        <f aca="false">O88*L88</f>
        <v>88793.244</v>
      </c>
      <c r="Q88" s="5" t="s">
        <v>113</v>
      </c>
      <c r="R88" s="5" t="n">
        <v>0</v>
      </c>
      <c r="S88" s="5" t="n">
        <v>45</v>
      </c>
      <c r="T88" s="12" t="n">
        <f aca="false">(O88-M88)/M88</f>
        <v>0.000599999999999949</v>
      </c>
      <c r="U88" s="8" t="n">
        <f aca="false">IF(AND(K88&lt;=I88,R88=0),1,0)</f>
        <v>1</v>
      </c>
      <c r="V88" s="10" t="n">
        <f aca="false">IF(Q88="No",P88,0)</f>
        <v>0</v>
      </c>
    </row>
    <row r="89" customFormat="false" ht="15" hidden="false" customHeight="false" outlineLevel="0" collapsed="false">
      <c r="A89" s="5" t="s">
        <v>222</v>
      </c>
      <c r="B89" s="5" t="s">
        <v>79</v>
      </c>
      <c r="C89" s="7" t="n">
        <v>46018</v>
      </c>
      <c r="D89" s="8" t="str">
        <f aca="false">INDEX(Dim_Supplier!$C$2:$C$21,MATCH(B89,Dim_Supplier!$A$2:$A$21,0))</f>
        <v>Logistics</v>
      </c>
      <c r="E89" s="8" t="str">
        <f aca="false">INDEX(Dim_Supplier!$B$2:$B$21,MATCH(B89,Dim_Supplier!$A$2:$A$21,0))</f>
        <v>Niagara Freight Solutions</v>
      </c>
      <c r="F89" s="5" t="s">
        <v>154</v>
      </c>
      <c r="G89" s="5" t="s">
        <v>120</v>
      </c>
      <c r="H89" s="8" t="n">
        <f aca="false">INDEX(Lookup_Tables!$B$2:$B$5,MATCH(D89,Lookup_Tables!$A$2:$A$5,0))</f>
        <v>5</v>
      </c>
      <c r="I89" s="9" t="n">
        <f aca="false">C89+H89</f>
        <v>46023</v>
      </c>
      <c r="J89" s="5" t="n">
        <v>-4</v>
      </c>
      <c r="K89" s="9" t="n">
        <f aca="false">I89+J89</f>
        <v>46019</v>
      </c>
      <c r="L89" s="5" t="n">
        <v>6</v>
      </c>
      <c r="M89" s="10" t="n">
        <f aca="false">INDEX(Dim_Supplier!$F$2:$F$21,MATCH(B89,Dim_Supplier!$A$2:$A$21,0))</f>
        <v>340</v>
      </c>
      <c r="N89" s="11" t="n">
        <v>0.002</v>
      </c>
      <c r="O89" s="10" t="n">
        <f aca="false">M89*(1+N89)</f>
        <v>340.68</v>
      </c>
      <c r="P89" s="10" t="n">
        <f aca="false">O89*L89</f>
        <v>2044.08</v>
      </c>
      <c r="Q89" s="5" t="s">
        <v>113</v>
      </c>
      <c r="R89" s="5" t="n">
        <v>0</v>
      </c>
      <c r="S89" s="5" t="n">
        <v>30</v>
      </c>
      <c r="T89" s="12" t="n">
        <f aca="false">(O89-M89)/M89</f>
        <v>0.00200000000000002</v>
      </c>
      <c r="U89" s="8" t="n">
        <f aca="false">IF(AND(K89&lt;=I89,R89=0),1,0)</f>
        <v>1</v>
      </c>
      <c r="V89" s="10" t="n">
        <f aca="false">IF(Q89="No",P89,0)</f>
        <v>0</v>
      </c>
    </row>
    <row r="90" customFormat="false" ht="15" hidden="false" customHeight="false" outlineLevel="0" collapsed="false">
      <c r="A90" s="5" t="s">
        <v>223</v>
      </c>
      <c r="B90" s="5" t="s">
        <v>86</v>
      </c>
      <c r="C90" s="7" t="n">
        <v>45955</v>
      </c>
      <c r="D90" s="8" t="str">
        <f aca="false">INDEX(Dim_Supplier!$C$2:$C$21,MATCH(B90,Dim_Supplier!$A$2:$A$21,0))</f>
        <v>Logistics</v>
      </c>
      <c r="E90" s="8" t="str">
        <f aca="false">INDEX(Dim_Supplier!$B$2:$B$21,MATCH(B90,Dim_Supplier!$A$2:$A$21,0))</f>
        <v>Blue Water Customs Brokerage</v>
      </c>
      <c r="F90" s="5" t="s">
        <v>154</v>
      </c>
      <c r="G90" s="5" t="s">
        <v>125</v>
      </c>
      <c r="H90" s="8" t="n">
        <f aca="false">INDEX(Lookup_Tables!$B$2:$B$5,MATCH(D90,Lookup_Tables!$A$2:$A$5,0))</f>
        <v>5</v>
      </c>
      <c r="I90" s="9" t="n">
        <f aca="false">C90+H90</f>
        <v>45960</v>
      </c>
      <c r="J90" s="5" t="n">
        <v>0</v>
      </c>
      <c r="K90" s="9" t="n">
        <f aca="false">I90+J90</f>
        <v>45960</v>
      </c>
      <c r="L90" s="5" t="n">
        <v>46</v>
      </c>
      <c r="M90" s="10" t="n">
        <f aca="false">INDEX(Dim_Supplier!$F$2:$F$21,MATCH(B90,Dim_Supplier!$A$2:$A$21,0))</f>
        <v>175</v>
      </c>
      <c r="N90" s="11" t="n">
        <v>0.0032</v>
      </c>
      <c r="O90" s="10" t="n">
        <f aca="false">M90*(1+N90)</f>
        <v>175.56</v>
      </c>
      <c r="P90" s="10" t="n">
        <f aca="false">O90*L90</f>
        <v>8075.76</v>
      </c>
      <c r="Q90" s="5" t="s">
        <v>113</v>
      </c>
      <c r="R90" s="5" t="n">
        <v>0</v>
      </c>
      <c r="S90" s="5" t="n">
        <v>60</v>
      </c>
      <c r="T90" s="12" t="n">
        <f aca="false">(O90-M90)/M90</f>
        <v>0.00320000000000001</v>
      </c>
      <c r="U90" s="8" t="n">
        <f aca="false">IF(AND(K90&lt;=I90,R90=0),1,0)</f>
        <v>1</v>
      </c>
      <c r="V90" s="10" t="n">
        <f aca="false">IF(Q90="No",P90,0)</f>
        <v>0</v>
      </c>
    </row>
    <row r="91" customFormat="false" ht="15" hidden="false" customHeight="false" outlineLevel="0" collapsed="false">
      <c r="A91" s="5" t="s">
        <v>224</v>
      </c>
      <c r="B91" s="5" t="s">
        <v>52</v>
      </c>
      <c r="C91" s="7" t="n">
        <v>45856</v>
      </c>
      <c r="D91" s="8" t="str">
        <f aca="false">INDEX(Dim_Supplier!$C$2:$C$21,MATCH(B91,Dim_Supplier!$A$2:$A$21,0))</f>
        <v>Raw Materials</v>
      </c>
      <c r="E91" s="8" t="str">
        <f aca="false">INDEX(Dim_Supplier!$B$2:$B$21,MATCH(B91,Dim_Supplier!$A$2:$A$21,0))</f>
        <v>Laurentian Metals Inc.</v>
      </c>
      <c r="F91" s="5" t="s">
        <v>115</v>
      </c>
      <c r="G91" s="5" t="s">
        <v>125</v>
      </c>
      <c r="H91" s="8" t="n">
        <f aca="false">INDEX(Lookup_Tables!$B$2:$B$5,MATCH(D91,Lookup_Tables!$A$2:$A$5,0))</f>
        <v>21</v>
      </c>
      <c r="I91" s="9" t="n">
        <f aca="false">C91+H91</f>
        <v>45877</v>
      </c>
      <c r="J91" s="5" t="n">
        <v>-2</v>
      </c>
      <c r="K91" s="9" t="n">
        <f aca="false">I91+J91</f>
        <v>45875</v>
      </c>
      <c r="L91" s="5" t="n">
        <v>1628</v>
      </c>
      <c r="M91" s="10" t="n">
        <f aca="false">INDEX(Dim_Supplier!$F$2:$F$21,MATCH(B91,Dim_Supplier!$A$2:$A$21,0))</f>
        <v>61.2</v>
      </c>
      <c r="N91" s="11" t="n">
        <v>0.0452</v>
      </c>
      <c r="O91" s="10" t="n">
        <f aca="false">M91*(1+N91)</f>
        <v>63.96624</v>
      </c>
      <c r="P91" s="10" t="n">
        <f aca="false">O91*L91</f>
        <v>104137.03872</v>
      </c>
      <c r="Q91" s="5" t="s">
        <v>113</v>
      </c>
      <c r="R91" s="5" t="n">
        <v>0</v>
      </c>
      <c r="S91" s="5" t="n">
        <v>30</v>
      </c>
      <c r="T91" s="12" t="n">
        <f aca="false">(O91-M91)/M91</f>
        <v>0.0451999999999999</v>
      </c>
      <c r="U91" s="8" t="n">
        <f aca="false">IF(AND(K91&lt;=I91,R91=0),1,0)</f>
        <v>1</v>
      </c>
      <c r="V91" s="10" t="n">
        <f aca="false">IF(Q91="No",P91,0)</f>
        <v>0</v>
      </c>
    </row>
    <row r="92" customFormat="false" ht="15" hidden="false" customHeight="false" outlineLevel="0" collapsed="false">
      <c r="A92" s="5" t="s">
        <v>225</v>
      </c>
      <c r="B92" s="5" t="s">
        <v>79</v>
      </c>
      <c r="C92" s="7" t="n">
        <v>45716</v>
      </c>
      <c r="D92" s="8" t="str">
        <f aca="false">INDEX(Dim_Supplier!$C$2:$C$21,MATCH(B92,Dim_Supplier!$A$2:$A$21,0))</f>
        <v>Logistics</v>
      </c>
      <c r="E92" s="8" t="str">
        <f aca="false">INDEX(Dim_Supplier!$B$2:$B$21,MATCH(B92,Dim_Supplier!$A$2:$A$21,0))</f>
        <v>Niagara Freight Solutions</v>
      </c>
      <c r="F92" s="5" t="s">
        <v>146</v>
      </c>
      <c r="G92" s="5" t="s">
        <v>120</v>
      </c>
      <c r="H92" s="8" t="n">
        <f aca="false">INDEX(Lookup_Tables!$B$2:$B$5,MATCH(D92,Lookup_Tables!$A$2:$A$5,0))</f>
        <v>5</v>
      </c>
      <c r="I92" s="9" t="n">
        <f aca="false">C92+H92</f>
        <v>45721</v>
      </c>
      <c r="J92" s="5" t="n">
        <v>-1</v>
      </c>
      <c r="K92" s="9" t="n">
        <f aca="false">I92+J92</f>
        <v>45720</v>
      </c>
      <c r="L92" s="5" t="n">
        <v>20</v>
      </c>
      <c r="M92" s="10" t="n">
        <f aca="false">INDEX(Dim_Supplier!$F$2:$F$21,MATCH(B92,Dim_Supplier!$A$2:$A$21,0))</f>
        <v>340</v>
      </c>
      <c r="N92" s="11" t="n">
        <v>-0.0047</v>
      </c>
      <c r="O92" s="10" t="n">
        <f aca="false">M92*(1+N92)</f>
        <v>338.402</v>
      </c>
      <c r="P92" s="10" t="n">
        <f aca="false">O92*L92</f>
        <v>6768.04</v>
      </c>
      <c r="Q92" s="5" t="s">
        <v>113</v>
      </c>
      <c r="R92" s="5" t="n">
        <v>0</v>
      </c>
      <c r="S92" s="5" t="n">
        <v>45</v>
      </c>
      <c r="T92" s="12" t="n">
        <f aca="false">(O92-M92)/M92</f>
        <v>-0.00470000000000004</v>
      </c>
      <c r="U92" s="8" t="n">
        <f aca="false">IF(AND(K92&lt;=I92,R92=0),1,0)</f>
        <v>1</v>
      </c>
      <c r="V92" s="10" t="n">
        <f aca="false">IF(Q92="No",P92,0)</f>
        <v>0</v>
      </c>
    </row>
    <row r="93" customFormat="false" ht="15" hidden="false" customHeight="false" outlineLevel="0" collapsed="false">
      <c r="A93" s="5" t="s">
        <v>226</v>
      </c>
      <c r="B93" s="5" t="s">
        <v>82</v>
      </c>
      <c r="C93" s="7" t="n">
        <v>45749</v>
      </c>
      <c r="D93" s="8" t="str">
        <f aca="false">INDEX(Dim_Supplier!$C$2:$C$21,MATCH(B93,Dim_Supplier!$A$2:$A$21,0))</f>
        <v>Logistics</v>
      </c>
      <c r="E93" s="8" t="str">
        <f aca="false">INDEX(Dim_Supplier!$B$2:$B$21,MATCH(B93,Dim_Supplier!$A$2:$A$21,0))</f>
        <v>Maple Route Logistics</v>
      </c>
      <c r="F93" s="5" t="s">
        <v>185</v>
      </c>
      <c r="G93" s="5" t="s">
        <v>125</v>
      </c>
      <c r="H93" s="8" t="n">
        <f aca="false">INDEX(Lookup_Tables!$B$2:$B$5,MATCH(D93,Lookup_Tables!$A$2:$A$5,0))</f>
        <v>5</v>
      </c>
      <c r="I93" s="9" t="n">
        <f aca="false">C93+H93</f>
        <v>45754</v>
      </c>
      <c r="J93" s="5" t="n">
        <v>-2</v>
      </c>
      <c r="K93" s="9" t="n">
        <f aca="false">I93+J93</f>
        <v>45752</v>
      </c>
      <c r="L93" s="5" t="n">
        <v>35</v>
      </c>
      <c r="M93" s="10" t="n">
        <f aca="false">INDEX(Dim_Supplier!$F$2:$F$21,MATCH(B93,Dim_Supplier!$A$2:$A$21,0))</f>
        <v>285</v>
      </c>
      <c r="N93" s="11" t="n">
        <v>0.0509</v>
      </c>
      <c r="O93" s="10" t="n">
        <f aca="false">M93*(1+N93)</f>
        <v>299.5065</v>
      </c>
      <c r="P93" s="10" t="n">
        <f aca="false">O93*L93</f>
        <v>10482.7275</v>
      </c>
      <c r="Q93" s="5" t="s">
        <v>113</v>
      </c>
      <c r="R93" s="5" t="n">
        <v>0</v>
      </c>
      <c r="S93" s="5" t="n">
        <v>60</v>
      </c>
      <c r="T93" s="12" t="n">
        <f aca="false">(O93-M93)/M93</f>
        <v>0.0508999999999999</v>
      </c>
      <c r="U93" s="8" t="n">
        <f aca="false">IF(AND(K93&lt;=I93,R93=0),1,0)</f>
        <v>1</v>
      </c>
      <c r="V93" s="10" t="n">
        <f aca="false">IF(Q93="No",P93,0)</f>
        <v>0</v>
      </c>
    </row>
    <row r="94" customFormat="false" ht="15" hidden="false" customHeight="false" outlineLevel="0" collapsed="false">
      <c r="A94" s="5" t="s">
        <v>227</v>
      </c>
      <c r="B94" s="5" t="s">
        <v>88</v>
      </c>
      <c r="C94" s="7" t="n">
        <v>45536</v>
      </c>
      <c r="D94" s="8" t="str">
        <f aca="false">INDEX(Dim_Supplier!$C$2:$C$21,MATCH(B94,Dim_Supplier!$A$2:$A$21,0))</f>
        <v>Logistics</v>
      </c>
      <c r="E94" s="8" t="str">
        <f aca="false">INDEX(Dim_Supplier!$B$2:$B$21,MATCH(B94,Dim_Supplier!$A$2:$A$21,0))</f>
        <v>Summit Last-Mile Delivery</v>
      </c>
      <c r="F94" s="5" t="s">
        <v>185</v>
      </c>
      <c r="G94" s="5" t="s">
        <v>125</v>
      </c>
      <c r="H94" s="8" t="n">
        <f aca="false">INDEX(Lookup_Tables!$B$2:$B$5,MATCH(D94,Lookup_Tables!$A$2:$A$5,0))</f>
        <v>5</v>
      </c>
      <c r="I94" s="9" t="n">
        <f aca="false">C94+H94</f>
        <v>45541</v>
      </c>
      <c r="J94" s="5" t="n">
        <v>-1</v>
      </c>
      <c r="K94" s="9" t="n">
        <f aca="false">I94+J94</f>
        <v>45540</v>
      </c>
      <c r="L94" s="5" t="n">
        <v>3</v>
      </c>
      <c r="M94" s="10" t="n">
        <f aca="false">INDEX(Dim_Supplier!$F$2:$F$21,MATCH(B94,Dim_Supplier!$A$2:$A$21,0))</f>
        <v>95</v>
      </c>
      <c r="N94" s="11" t="n">
        <v>0.0744</v>
      </c>
      <c r="O94" s="10" t="n">
        <f aca="false">M94*(1+N94)</f>
        <v>102.068</v>
      </c>
      <c r="P94" s="10" t="n">
        <f aca="false">O94*L94</f>
        <v>306.204</v>
      </c>
      <c r="Q94" s="5" t="s">
        <v>113</v>
      </c>
      <c r="R94" s="5" t="n">
        <v>0</v>
      </c>
      <c r="S94" s="5" t="n">
        <v>60</v>
      </c>
      <c r="T94" s="12" t="n">
        <f aca="false">(O94-M94)/M94</f>
        <v>0.0744</v>
      </c>
      <c r="U94" s="8" t="n">
        <f aca="false">IF(AND(K94&lt;=I94,R94=0),1,0)</f>
        <v>1</v>
      </c>
      <c r="V94" s="10" t="n">
        <f aca="false">IF(Q94="No",P94,0)</f>
        <v>0</v>
      </c>
    </row>
    <row r="95" customFormat="false" ht="15" hidden="false" customHeight="false" outlineLevel="0" collapsed="false">
      <c r="A95" s="5" t="s">
        <v>228</v>
      </c>
      <c r="B95" s="5" t="s">
        <v>60</v>
      </c>
      <c r="C95" s="7" t="n">
        <v>45971</v>
      </c>
      <c r="D95" s="8" t="str">
        <f aca="false">INDEX(Dim_Supplier!$C$2:$C$21,MATCH(B95,Dim_Supplier!$A$2:$A$21,0))</f>
        <v>Packaging</v>
      </c>
      <c r="E95" s="8" t="str">
        <f aca="false">INDEX(Dim_Supplier!$B$2:$B$21,MATCH(B95,Dim_Supplier!$A$2:$A$21,0))</f>
        <v>Maple Leaf Box &amp; Crate</v>
      </c>
      <c r="F95" s="5" t="s">
        <v>158</v>
      </c>
      <c r="G95" s="5" t="s">
        <v>125</v>
      </c>
      <c r="H95" s="8" t="n">
        <f aca="false">INDEX(Lookup_Tables!$B$2:$B$5,MATCH(D95,Lookup_Tables!$A$2:$A$5,0))</f>
        <v>14</v>
      </c>
      <c r="I95" s="9" t="n">
        <f aca="false">C95+H95</f>
        <v>45985</v>
      </c>
      <c r="J95" s="5" t="n">
        <v>0</v>
      </c>
      <c r="K95" s="9" t="n">
        <f aca="false">I95+J95</f>
        <v>45985</v>
      </c>
      <c r="L95" s="5" t="n">
        <v>3219</v>
      </c>
      <c r="M95" s="10" t="n">
        <f aca="false">INDEX(Dim_Supplier!$F$2:$F$21,MATCH(B95,Dim_Supplier!$A$2:$A$21,0))</f>
        <v>3.1</v>
      </c>
      <c r="N95" s="11" t="n">
        <v>0.0377</v>
      </c>
      <c r="O95" s="10" t="n">
        <f aca="false">M95*(1+N95)</f>
        <v>3.21687</v>
      </c>
      <c r="P95" s="10" t="n">
        <f aca="false">O95*L95</f>
        <v>10355.10453</v>
      </c>
      <c r="Q95" s="5" t="s">
        <v>133</v>
      </c>
      <c r="R95" s="5" t="n">
        <v>0</v>
      </c>
      <c r="S95" s="5" t="n">
        <v>30</v>
      </c>
      <c r="T95" s="12" t="n">
        <f aca="false">(O95-M95)/M95</f>
        <v>0.0377</v>
      </c>
      <c r="U95" s="8" t="n">
        <f aca="false">IF(AND(K95&lt;=I95,R95=0),1,0)</f>
        <v>1</v>
      </c>
      <c r="V95" s="10" t="n">
        <f aca="false">IF(Q95="No",P95,0)</f>
        <v>10355.10453</v>
      </c>
    </row>
    <row r="96" customFormat="false" ht="15" hidden="false" customHeight="false" outlineLevel="0" collapsed="false">
      <c r="A96" s="5" t="s">
        <v>229</v>
      </c>
      <c r="B96" s="5" t="s">
        <v>68</v>
      </c>
      <c r="C96" s="7" t="n">
        <v>45759</v>
      </c>
      <c r="D96" s="8" t="str">
        <f aca="false">INDEX(Dim_Supplier!$C$2:$C$21,MATCH(B96,Dim_Supplier!$A$2:$A$21,0))</f>
        <v>MRO</v>
      </c>
      <c r="E96" s="8" t="str">
        <f aca="false">INDEX(Dim_Supplier!$B$2:$B$21,MATCH(B96,Dim_Supplier!$A$2:$A$21,0))</f>
        <v>Precision Tool &amp; Supply</v>
      </c>
      <c r="F96" s="5" t="s">
        <v>127</v>
      </c>
      <c r="G96" s="5" t="s">
        <v>112</v>
      </c>
      <c r="H96" s="8" t="n">
        <f aca="false">INDEX(Lookup_Tables!$B$2:$B$5,MATCH(D96,Lookup_Tables!$A$2:$A$5,0))</f>
        <v>10</v>
      </c>
      <c r="I96" s="9" t="n">
        <f aca="false">C96+H96</f>
        <v>45769</v>
      </c>
      <c r="J96" s="5" t="n">
        <v>-4</v>
      </c>
      <c r="K96" s="9" t="n">
        <f aca="false">I96+J96</f>
        <v>45765</v>
      </c>
      <c r="L96" s="5" t="n">
        <v>44</v>
      </c>
      <c r="M96" s="10" t="n">
        <f aca="false">INDEX(Dim_Supplier!$F$2:$F$21,MATCH(B96,Dim_Supplier!$A$2:$A$21,0))</f>
        <v>22.4</v>
      </c>
      <c r="N96" s="11" t="n">
        <v>0.0256</v>
      </c>
      <c r="O96" s="10" t="n">
        <f aca="false">M96*(1+N96)</f>
        <v>22.97344</v>
      </c>
      <c r="P96" s="10" t="n">
        <f aca="false">O96*L96</f>
        <v>1010.83136</v>
      </c>
      <c r="Q96" s="5" t="s">
        <v>113</v>
      </c>
      <c r="R96" s="5" t="n">
        <v>0</v>
      </c>
      <c r="S96" s="5" t="n">
        <v>30</v>
      </c>
      <c r="T96" s="12" t="n">
        <f aca="false">(O96-M96)/M96</f>
        <v>0.0256000000000001</v>
      </c>
      <c r="U96" s="8" t="n">
        <f aca="false">IF(AND(K96&lt;=I96,R96=0),1,0)</f>
        <v>1</v>
      </c>
      <c r="V96" s="10" t="n">
        <f aca="false">IF(Q96="No",P96,0)</f>
        <v>0</v>
      </c>
    </row>
    <row r="97" customFormat="false" ht="15" hidden="false" customHeight="false" outlineLevel="0" collapsed="false">
      <c r="A97" s="5" t="s">
        <v>230</v>
      </c>
      <c r="B97" s="5" t="s">
        <v>71</v>
      </c>
      <c r="C97" s="7" t="n">
        <v>45699</v>
      </c>
      <c r="D97" s="8" t="str">
        <f aca="false">INDEX(Dim_Supplier!$C$2:$C$21,MATCH(B97,Dim_Supplier!$A$2:$A$21,0))</f>
        <v>MRO</v>
      </c>
      <c r="E97" s="8" t="str">
        <f aca="false">INDEX(Dim_Supplier!$B$2:$B$21,MATCH(B97,Dim_Supplier!$A$2:$A$21,0))</f>
        <v>CanSafe Equipment Ltd.</v>
      </c>
      <c r="F97" s="5" t="s">
        <v>127</v>
      </c>
      <c r="G97" s="5" t="s">
        <v>120</v>
      </c>
      <c r="H97" s="8" t="n">
        <f aca="false">INDEX(Lookup_Tables!$B$2:$B$5,MATCH(D97,Lookup_Tables!$A$2:$A$5,0))</f>
        <v>10</v>
      </c>
      <c r="I97" s="9" t="n">
        <f aca="false">C97+H97</f>
        <v>45709</v>
      </c>
      <c r="J97" s="5" t="n">
        <v>1</v>
      </c>
      <c r="K97" s="9" t="n">
        <f aca="false">I97+J97</f>
        <v>45710</v>
      </c>
      <c r="L97" s="5" t="n">
        <v>102</v>
      </c>
      <c r="M97" s="10" t="n">
        <f aca="false">INDEX(Dim_Supplier!$F$2:$F$21,MATCH(B97,Dim_Supplier!$A$2:$A$21,0))</f>
        <v>18.75</v>
      </c>
      <c r="N97" s="11" t="n">
        <v>-0.0017</v>
      </c>
      <c r="O97" s="10" t="n">
        <f aca="false">M97*(1+N97)</f>
        <v>18.718125</v>
      </c>
      <c r="P97" s="10" t="n">
        <f aca="false">O97*L97</f>
        <v>1909.24875</v>
      </c>
      <c r="Q97" s="5" t="s">
        <v>133</v>
      </c>
      <c r="R97" s="5" t="n">
        <v>0</v>
      </c>
      <c r="S97" s="5" t="n">
        <v>60</v>
      </c>
      <c r="T97" s="12" t="n">
        <f aca="false">(O97-M97)/M97</f>
        <v>-0.00169999999999997</v>
      </c>
      <c r="U97" s="8" t="n">
        <f aca="false">IF(AND(K97&lt;=I97,R97=0),1,0)</f>
        <v>0</v>
      </c>
      <c r="V97" s="10" t="n">
        <f aca="false">IF(Q97="No",P97,0)</f>
        <v>1909.24875</v>
      </c>
    </row>
    <row r="98" customFormat="false" ht="15" hidden="false" customHeight="false" outlineLevel="0" collapsed="false">
      <c r="A98" s="5" t="s">
        <v>231</v>
      </c>
      <c r="B98" s="5" t="s">
        <v>66</v>
      </c>
      <c r="C98" s="7" t="n">
        <v>45846</v>
      </c>
      <c r="D98" s="8" t="str">
        <f aca="false">INDEX(Dim_Supplier!$C$2:$C$21,MATCH(B98,Dim_Supplier!$A$2:$A$21,0))</f>
        <v>Packaging</v>
      </c>
      <c r="E98" s="8" t="str">
        <f aca="false">INDEX(Dim_Supplier!$B$2:$B$21,MATCH(B98,Dim_Supplier!$A$2:$A$21,0))</f>
        <v>EverGreen Wrap Industries</v>
      </c>
      <c r="F98" s="5" t="s">
        <v>117</v>
      </c>
      <c r="G98" s="5" t="s">
        <v>129</v>
      </c>
      <c r="H98" s="8" t="n">
        <f aca="false">INDEX(Lookup_Tables!$B$2:$B$5,MATCH(D98,Lookup_Tables!$A$2:$A$5,0))</f>
        <v>14</v>
      </c>
      <c r="I98" s="9" t="n">
        <f aca="false">C98+H98</f>
        <v>45860</v>
      </c>
      <c r="J98" s="5" t="n">
        <v>-1</v>
      </c>
      <c r="K98" s="9" t="n">
        <f aca="false">I98+J98</f>
        <v>45859</v>
      </c>
      <c r="L98" s="5" t="n">
        <v>2854</v>
      </c>
      <c r="M98" s="10" t="n">
        <f aca="false">INDEX(Dim_Supplier!$F$2:$F$21,MATCH(B98,Dim_Supplier!$A$2:$A$21,0))</f>
        <v>6.8</v>
      </c>
      <c r="N98" s="11" t="n">
        <v>0.0902</v>
      </c>
      <c r="O98" s="10" t="n">
        <f aca="false">M98*(1+N98)</f>
        <v>7.41336</v>
      </c>
      <c r="P98" s="10" t="n">
        <f aca="false">O98*L98</f>
        <v>21157.72944</v>
      </c>
      <c r="Q98" s="5" t="s">
        <v>133</v>
      </c>
      <c r="R98" s="5" t="n">
        <v>0</v>
      </c>
      <c r="S98" s="5" t="n">
        <v>30</v>
      </c>
      <c r="T98" s="12" t="n">
        <f aca="false">(O98-M98)/M98</f>
        <v>0.0902</v>
      </c>
      <c r="U98" s="8" t="n">
        <f aca="false">IF(AND(K98&lt;=I98,R98=0),1,0)</f>
        <v>1</v>
      </c>
      <c r="V98" s="10" t="n">
        <f aca="false">IF(Q98="No",P98,0)</f>
        <v>21157.72944</v>
      </c>
    </row>
    <row r="99" customFormat="false" ht="15" hidden="false" customHeight="false" outlineLevel="0" collapsed="false">
      <c r="A99" s="5" t="s">
        <v>232</v>
      </c>
      <c r="B99" s="5" t="s">
        <v>46</v>
      </c>
      <c r="C99" s="7" t="n">
        <v>45940</v>
      </c>
      <c r="D99" s="8" t="str">
        <f aca="false">INDEX(Dim_Supplier!$C$2:$C$21,MATCH(B99,Dim_Supplier!$A$2:$A$21,0))</f>
        <v>Raw Materials</v>
      </c>
      <c r="E99" s="8" t="str">
        <f aca="false">INDEX(Dim_Supplier!$B$2:$B$21,MATCH(B99,Dim_Supplier!$A$2:$A$21,0))</f>
        <v>Niagara Alloy Supply</v>
      </c>
      <c r="F99" s="5" t="s">
        <v>148</v>
      </c>
      <c r="G99" s="5" t="s">
        <v>125</v>
      </c>
      <c r="H99" s="8" t="n">
        <f aca="false">INDEX(Lookup_Tables!$B$2:$B$5,MATCH(D99,Lookup_Tables!$A$2:$A$5,0))</f>
        <v>21</v>
      </c>
      <c r="I99" s="9" t="n">
        <f aca="false">C99+H99</f>
        <v>45961</v>
      </c>
      <c r="J99" s="5" t="n">
        <v>0</v>
      </c>
      <c r="K99" s="9" t="n">
        <f aca="false">I99+J99</f>
        <v>45961</v>
      </c>
      <c r="L99" s="5" t="n">
        <v>159</v>
      </c>
      <c r="M99" s="10" t="n">
        <f aca="false">INDEX(Dim_Supplier!$F$2:$F$21,MATCH(B99,Dim_Supplier!$A$2:$A$21,0))</f>
        <v>46.5</v>
      </c>
      <c r="N99" s="11" t="n">
        <v>0.0446</v>
      </c>
      <c r="O99" s="10" t="n">
        <f aca="false">M99*(1+N99)</f>
        <v>48.5739</v>
      </c>
      <c r="P99" s="10" t="n">
        <f aca="false">O99*L99</f>
        <v>7723.2501</v>
      </c>
      <c r="Q99" s="5" t="s">
        <v>113</v>
      </c>
      <c r="R99" s="5" t="n">
        <v>0</v>
      </c>
      <c r="S99" s="5" t="n">
        <v>30</v>
      </c>
      <c r="T99" s="12" t="n">
        <f aca="false">(O99-M99)/M99</f>
        <v>0.0446</v>
      </c>
      <c r="U99" s="8" t="n">
        <f aca="false">IF(AND(K99&lt;=I99,R99=0),1,0)</f>
        <v>1</v>
      </c>
      <c r="V99" s="10" t="n">
        <f aca="false">IF(Q99="No",P99,0)</f>
        <v>0</v>
      </c>
    </row>
    <row r="100" customFormat="false" ht="15" hidden="false" customHeight="false" outlineLevel="0" collapsed="false">
      <c r="A100" s="5" t="s">
        <v>233</v>
      </c>
      <c r="B100" s="5" t="s">
        <v>60</v>
      </c>
      <c r="C100" s="7" t="n">
        <v>45441</v>
      </c>
      <c r="D100" s="8" t="str">
        <f aca="false">INDEX(Dim_Supplier!$C$2:$C$21,MATCH(B100,Dim_Supplier!$A$2:$A$21,0))</f>
        <v>Packaging</v>
      </c>
      <c r="E100" s="8" t="str">
        <f aca="false">INDEX(Dim_Supplier!$B$2:$B$21,MATCH(B100,Dim_Supplier!$A$2:$A$21,0))</f>
        <v>Maple Leaf Box &amp; Crate</v>
      </c>
      <c r="F100" s="5" t="s">
        <v>158</v>
      </c>
      <c r="G100" s="5" t="s">
        <v>125</v>
      </c>
      <c r="H100" s="8" t="n">
        <f aca="false">INDEX(Lookup_Tables!$B$2:$B$5,MATCH(D100,Lookup_Tables!$A$2:$A$5,0))</f>
        <v>14</v>
      </c>
      <c r="I100" s="9" t="n">
        <f aca="false">C100+H100</f>
        <v>45455</v>
      </c>
      <c r="J100" s="5" t="n">
        <v>-4</v>
      </c>
      <c r="K100" s="9" t="n">
        <f aca="false">I100+J100</f>
        <v>45451</v>
      </c>
      <c r="L100" s="5" t="n">
        <v>1892</v>
      </c>
      <c r="M100" s="10" t="n">
        <f aca="false">INDEX(Dim_Supplier!$F$2:$F$21,MATCH(B100,Dim_Supplier!$A$2:$A$21,0))</f>
        <v>3.1</v>
      </c>
      <c r="N100" s="11" t="n">
        <v>0.0257</v>
      </c>
      <c r="O100" s="10" t="n">
        <f aca="false">M100*(1+N100)</f>
        <v>3.17967</v>
      </c>
      <c r="P100" s="10" t="n">
        <f aca="false">O100*L100</f>
        <v>6015.93564</v>
      </c>
      <c r="Q100" s="5" t="s">
        <v>113</v>
      </c>
      <c r="R100" s="5" t="n">
        <v>0</v>
      </c>
      <c r="S100" s="5" t="n">
        <v>30</v>
      </c>
      <c r="T100" s="12" t="n">
        <f aca="false">(O100-M100)/M100</f>
        <v>0.0257</v>
      </c>
      <c r="U100" s="8" t="n">
        <f aca="false">IF(AND(K100&lt;=I100,R100=0),1,0)</f>
        <v>1</v>
      </c>
      <c r="V100" s="10" t="n">
        <f aca="false">IF(Q100="No",P100,0)</f>
        <v>0</v>
      </c>
    </row>
    <row r="101" customFormat="false" ht="15" hidden="false" customHeight="false" outlineLevel="0" collapsed="false">
      <c r="A101" s="5" t="s">
        <v>234</v>
      </c>
      <c r="B101" s="5" t="s">
        <v>75</v>
      </c>
      <c r="C101" s="7" t="n">
        <v>45801</v>
      </c>
      <c r="D101" s="8" t="str">
        <f aca="false">INDEX(Dim_Supplier!$C$2:$C$21,MATCH(B101,Dim_Supplier!$A$2:$A$21,0))</f>
        <v>MRO</v>
      </c>
      <c r="E101" s="8" t="str">
        <f aca="false">INDEX(Dim_Supplier!$B$2:$B$21,MATCH(B101,Dim_Supplier!$A$2:$A$21,0))</f>
        <v>Sterling Lubricants Inc.</v>
      </c>
      <c r="F101" s="5" t="s">
        <v>132</v>
      </c>
      <c r="G101" s="5" t="s">
        <v>112</v>
      </c>
      <c r="H101" s="8" t="n">
        <f aca="false">INDEX(Lookup_Tables!$B$2:$B$5,MATCH(D101,Lookup_Tables!$A$2:$A$5,0))</f>
        <v>10</v>
      </c>
      <c r="I101" s="9" t="n">
        <f aca="false">C101+H101</f>
        <v>45811</v>
      </c>
      <c r="J101" s="5" t="n">
        <v>-3</v>
      </c>
      <c r="K101" s="9" t="n">
        <f aca="false">I101+J101</f>
        <v>45808</v>
      </c>
      <c r="L101" s="5" t="n">
        <v>122</v>
      </c>
      <c r="M101" s="10" t="n">
        <f aca="false">INDEX(Dim_Supplier!$F$2:$F$21,MATCH(B101,Dim_Supplier!$A$2:$A$21,0))</f>
        <v>27.1</v>
      </c>
      <c r="N101" s="11" t="n">
        <v>0.0483</v>
      </c>
      <c r="O101" s="10" t="n">
        <f aca="false">M101*(1+N101)</f>
        <v>28.40893</v>
      </c>
      <c r="P101" s="10" t="n">
        <f aca="false">O101*L101</f>
        <v>3465.88946</v>
      </c>
      <c r="Q101" s="5" t="s">
        <v>113</v>
      </c>
      <c r="R101" s="5" t="n">
        <v>8</v>
      </c>
      <c r="S101" s="5" t="n">
        <v>60</v>
      </c>
      <c r="T101" s="12" t="n">
        <f aca="false">(O101-M101)/M101</f>
        <v>0.0483</v>
      </c>
      <c r="U101" s="8" t="n">
        <f aca="false">IF(AND(K101&lt;=I101,R101=0),1,0)</f>
        <v>0</v>
      </c>
      <c r="V101" s="10" t="n">
        <f aca="false">IF(Q101="No",P101,0)</f>
        <v>0</v>
      </c>
    </row>
    <row r="102" customFormat="false" ht="15" hidden="false" customHeight="false" outlineLevel="0" collapsed="false">
      <c r="A102" s="5" t="s">
        <v>235</v>
      </c>
      <c r="B102" s="5" t="s">
        <v>75</v>
      </c>
      <c r="C102" s="7" t="n">
        <v>45453</v>
      </c>
      <c r="D102" s="8" t="str">
        <f aca="false">INDEX(Dim_Supplier!$C$2:$C$21,MATCH(B102,Dim_Supplier!$A$2:$A$21,0))</f>
        <v>MRO</v>
      </c>
      <c r="E102" s="8" t="str">
        <f aca="false">INDEX(Dim_Supplier!$B$2:$B$21,MATCH(B102,Dim_Supplier!$A$2:$A$21,0))</f>
        <v>Sterling Lubricants Inc.</v>
      </c>
      <c r="F102" s="5" t="s">
        <v>127</v>
      </c>
      <c r="G102" s="5" t="s">
        <v>125</v>
      </c>
      <c r="H102" s="8" t="n">
        <f aca="false">INDEX(Lookup_Tables!$B$2:$B$5,MATCH(D102,Lookup_Tables!$A$2:$A$5,0))</f>
        <v>10</v>
      </c>
      <c r="I102" s="9" t="n">
        <f aca="false">C102+H102</f>
        <v>45463</v>
      </c>
      <c r="J102" s="5" t="n">
        <v>3</v>
      </c>
      <c r="K102" s="9" t="n">
        <f aca="false">I102+J102</f>
        <v>45466</v>
      </c>
      <c r="L102" s="5" t="n">
        <v>81</v>
      </c>
      <c r="M102" s="10" t="n">
        <f aca="false">INDEX(Dim_Supplier!$F$2:$F$21,MATCH(B102,Dim_Supplier!$A$2:$A$21,0))</f>
        <v>27.1</v>
      </c>
      <c r="N102" s="11" t="n">
        <v>0</v>
      </c>
      <c r="O102" s="10" t="n">
        <f aca="false">M102*(1+N102)</f>
        <v>27.1</v>
      </c>
      <c r="P102" s="10" t="n">
        <f aca="false">O102*L102</f>
        <v>2195.1</v>
      </c>
      <c r="Q102" s="5" t="s">
        <v>113</v>
      </c>
      <c r="R102" s="5" t="n">
        <v>0</v>
      </c>
      <c r="S102" s="5" t="n">
        <v>30</v>
      </c>
      <c r="T102" s="12" t="n">
        <f aca="false">(O102-M102)/M102</f>
        <v>0</v>
      </c>
      <c r="U102" s="8" t="n">
        <f aca="false">IF(AND(K102&lt;=I102,R102=0),1,0)</f>
        <v>0</v>
      </c>
      <c r="V102" s="10" t="n">
        <f aca="false">IF(Q102="No",P102,0)</f>
        <v>0</v>
      </c>
    </row>
    <row r="103" customFormat="false" ht="15" hidden="false" customHeight="false" outlineLevel="0" collapsed="false">
      <c r="A103" s="5" t="s">
        <v>236</v>
      </c>
      <c r="B103" s="5" t="s">
        <v>82</v>
      </c>
      <c r="C103" s="7" t="n">
        <v>45495</v>
      </c>
      <c r="D103" s="8" t="str">
        <f aca="false">INDEX(Dim_Supplier!$C$2:$C$21,MATCH(B103,Dim_Supplier!$A$2:$A$21,0))</f>
        <v>Logistics</v>
      </c>
      <c r="E103" s="8" t="str">
        <f aca="false">INDEX(Dim_Supplier!$B$2:$B$21,MATCH(B103,Dim_Supplier!$A$2:$A$21,0))</f>
        <v>Maple Route Logistics</v>
      </c>
      <c r="F103" s="5" t="s">
        <v>237</v>
      </c>
      <c r="G103" s="5" t="s">
        <v>125</v>
      </c>
      <c r="H103" s="8" t="n">
        <f aca="false">INDEX(Lookup_Tables!$B$2:$B$5,MATCH(D103,Lookup_Tables!$A$2:$A$5,0))</f>
        <v>5</v>
      </c>
      <c r="I103" s="9" t="n">
        <f aca="false">C103+H103</f>
        <v>45500</v>
      </c>
      <c r="J103" s="5" t="n">
        <v>1</v>
      </c>
      <c r="K103" s="9" t="n">
        <f aca="false">I103+J103</f>
        <v>45501</v>
      </c>
      <c r="L103" s="5" t="n">
        <v>23</v>
      </c>
      <c r="M103" s="10" t="n">
        <f aca="false">INDEX(Dim_Supplier!$F$2:$F$21,MATCH(B103,Dim_Supplier!$A$2:$A$21,0))</f>
        <v>285</v>
      </c>
      <c r="N103" s="11" t="n">
        <v>0.0422</v>
      </c>
      <c r="O103" s="10" t="n">
        <f aca="false">M103*(1+N103)</f>
        <v>297.027</v>
      </c>
      <c r="P103" s="10" t="n">
        <f aca="false">O103*L103</f>
        <v>6831.621</v>
      </c>
      <c r="Q103" s="5" t="s">
        <v>113</v>
      </c>
      <c r="R103" s="5" t="n">
        <v>0</v>
      </c>
      <c r="S103" s="5" t="n">
        <v>30</v>
      </c>
      <c r="T103" s="12" t="n">
        <f aca="false">(O103-M103)/M103</f>
        <v>0.0422</v>
      </c>
      <c r="U103" s="8" t="n">
        <f aca="false">IF(AND(K103&lt;=I103,R103=0),1,0)</f>
        <v>0</v>
      </c>
      <c r="V103" s="10" t="n">
        <f aca="false">IF(Q103="No",P103,0)</f>
        <v>0</v>
      </c>
    </row>
    <row r="104" customFormat="false" ht="15" hidden="false" customHeight="false" outlineLevel="0" collapsed="false">
      <c r="A104" s="5" t="s">
        <v>238</v>
      </c>
      <c r="B104" s="5" t="s">
        <v>88</v>
      </c>
      <c r="C104" s="7" t="n">
        <v>45966</v>
      </c>
      <c r="D104" s="8" t="str">
        <f aca="false">INDEX(Dim_Supplier!$C$2:$C$21,MATCH(B104,Dim_Supplier!$A$2:$A$21,0))</f>
        <v>Logistics</v>
      </c>
      <c r="E104" s="8" t="str">
        <f aca="false">INDEX(Dim_Supplier!$B$2:$B$21,MATCH(B104,Dim_Supplier!$A$2:$A$21,0))</f>
        <v>Summit Last-Mile Delivery</v>
      </c>
      <c r="F104" s="5" t="s">
        <v>237</v>
      </c>
      <c r="G104" s="5" t="s">
        <v>120</v>
      </c>
      <c r="H104" s="8" t="n">
        <f aca="false">INDEX(Lookup_Tables!$B$2:$B$5,MATCH(D104,Lookup_Tables!$A$2:$A$5,0))</f>
        <v>5</v>
      </c>
      <c r="I104" s="9" t="n">
        <f aca="false">C104+H104</f>
        <v>45971</v>
      </c>
      <c r="J104" s="5" t="n">
        <v>3</v>
      </c>
      <c r="K104" s="9" t="n">
        <f aca="false">I104+J104</f>
        <v>45974</v>
      </c>
      <c r="L104" s="5" t="n">
        <v>50</v>
      </c>
      <c r="M104" s="10" t="n">
        <f aca="false">INDEX(Dim_Supplier!$F$2:$F$21,MATCH(B104,Dim_Supplier!$A$2:$A$21,0))</f>
        <v>95</v>
      </c>
      <c r="N104" s="11" t="n">
        <v>0.042</v>
      </c>
      <c r="O104" s="10" t="n">
        <f aca="false">M104*(1+N104)</f>
        <v>98.99</v>
      </c>
      <c r="P104" s="10" t="n">
        <f aca="false">O104*L104</f>
        <v>4949.5</v>
      </c>
      <c r="Q104" s="5" t="s">
        <v>113</v>
      </c>
      <c r="R104" s="5" t="n">
        <v>0</v>
      </c>
      <c r="S104" s="5" t="n">
        <v>45</v>
      </c>
      <c r="T104" s="12" t="n">
        <f aca="false">(O104-M104)/M104</f>
        <v>0.0420000000000001</v>
      </c>
      <c r="U104" s="8" t="n">
        <f aca="false">IF(AND(K104&lt;=I104,R104=0),1,0)</f>
        <v>0</v>
      </c>
      <c r="V104" s="10" t="n">
        <f aca="false">IF(Q104="No",P104,0)</f>
        <v>0</v>
      </c>
    </row>
    <row r="105" customFormat="false" ht="15" hidden="false" customHeight="false" outlineLevel="0" collapsed="false">
      <c r="A105" s="5" t="s">
        <v>239</v>
      </c>
      <c r="B105" s="5" t="s">
        <v>66</v>
      </c>
      <c r="C105" s="7" t="n">
        <v>45585</v>
      </c>
      <c r="D105" s="8" t="str">
        <f aca="false">INDEX(Dim_Supplier!$C$2:$C$21,MATCH(B105,Dim_Supplier!$A$2:$A$21,0))</f>
        <v>Packaging</v>
      </c>
      <c r="E105" s="8" t="str">
        <f aca="false">INDEX(Dim_Supplier!$B$2:$B$21,MATCH(B105,Dim_Supplier!$A$2:$A$21,0))</f>
        <v>EverGreen Wrap Industries</v>
      </c>
      <c r="F105" s="5" t="s">
        <v>158</v>
      </c>
      <c r="G105" s="5" t="s">
        <v>120</v>
      </c>
      <c r="H105" s="8" t="n">
        <f aca="false">INDEX(Lookup_Tables!$B$2:$B$5,MATCH(D105,Lookup_Tables!$A$2:$A$5,0))</f>
        <v>14</v>
      </c>
      <c r="I105" s="9" t="n">
        <f aca="false">C105+H105</f>
        <v>45599</v>
      </c>
      <c r="J105" s="5" t="n">
        <v>-1</v>
      </c>
      <c r="K105" s="9" t="n">
        <f aca="false">I105+J105</f>
        <v>45598</v>
      </c>
      <c r="L105" s="5" t="n">
        <v>2553</v>
      </c>
      <c r="M105" s="10" t="n">
        <f aca="false">INDEX(Dim_Supplier!$F$2:$F$21,MATCH(B105,Dim_Supplier!$A$2:$A$21,0))</f>
        <v>6.8</v>
      </c>
      <c r="N105" s="11" t="n">
        <v>0.0727</v>
      </c>
      <c r="O105" s="10" t="n">
        <f aca="false">M105*(1+N105)</f>
        <v>7.29436</v>
      </c>
      <c r="P105" s="10" t="n">
        <f aca="false">O105*L105</f>
        <v>18622.50108</v>
      </c>
      <c r="Q105" s="5" t="s">
        <v>113</v>
      </c>
      <c r="R105" s="5" t="n">
        <v>0</v>
      </c>
      <c r="S105" s="5" t="n">
        <v>45</v>
      </c>
      <c r="T105" s="12" t="n">
        <f aca="false">(O105-M105)/M105</f>
        <v>0.0726999999999999</v>
      </c>
      <c r="U105" s="8" t="n">
        <f aca="false">IF(AND(K105&lt;=I105,R105=0),1,0)</f>
        <v>1</v>
      </c>
      <c r="V105" s="10" t="n">
        <f aca="false">IF(Q105="No",P105,0)</f>
        <v>0</v>
      </c>
    </row>
    <row r="106" customFormat="false" ht="15" hidden="false" customHeight="false" outlineLevel="0" collapsed="false">
      <c r="A106" s="5" t="s">
        <v>240</v>
      </c>
      <c r="B106" s="5" t="s">
        <v>82</v>
      </c>
      <c r="C106" s="7" t="n">
        <v>45935</v>
      </c>
      <c r="D106" s="8" t="str">
        <f aca="false">INDEX(Dim_Supplier!$C$2:$C$21,MATCH(B106,Dim_Supplier!$A$2:$A$21,0))</f>
        <v>Logistics</v>
      </c>
      <c r="E106" s="8" t="str">
        <f aca="false">INDEX(Dim_Supplier!$B$2:$B$21,MATCH(B106,Dim_Supplier!$A$2:$A$21,0))</f>
        <v>Maple Route Logistics</v>
      </c>
      <c r="F106" s="5" t="s">
        <v>124</v>
      </c>
      <c r="G106" s="5" t="s">
        <v>129</v>
      </c>
      <c r="H106" s="8" t="n">
        <f aca="false">INDEX(Lookup_Tables!$B$2:$B$5,MATCH(D106,Lookup_Tables!$A$2:$A$5,0))</f>
        <v>5</v>
      </c>
      <c r="I106" s="9" t="n">
        <f aca="false">C106+H106</f>
        <v>45940</v>
      </c>
      <c r="J106" s="5" t="n">
        <v>-2</v>
      </c>
      <c r="K106" s="9" t="n">
        <f aca="false">I106+J106</f>
        <v>45938</v>
      </c>
      <c r="L106" s="5" t="n">
        <v>38</v>
      </c>
      <c r="M106" s="10" t="n">
        <f aca="false">INDEX(Dim_Supplier!$F$2:$F$21,MATCH(B106,Dim_Supplier!$A$2:$A$21,0))</f>
        <v>285</v>
      </c>
      <c r="N106" s="11" t="n">
        <v>0.0501</v>
      </c>
      <c r="O106" s="10" t="n">
        <f aca="false">M106*(1+N106)</f>
        <v>299.2785</v>
      </c>
      <c r="P106" s="10" t="n">
        <f aca="false">O106*L106</f>
        <v>11372.583</v>
      </c>
      <c r="Q106" s="5" t="s">
        <v>113</v>
      </c>
      <c r="R106" s="5" t="n">
        <v>0</v>
      </c>
      <c r="S106" s="5" t="n">
        <v>60</v>
      </c>
      <c r="T106" s="12" t="n">
        <f aca="false">(O106-M106)/M106</f>
        <v>0.0501</v>
      </c>
      <c r="U106" s="8" t="n">
        <f aca="false">IF(AND(K106&lt;=I106,R106=0),1,0)</f>
        <v>1</v>
      </c>
      <c r="V106" s="10" t="n">
        <f aca="false">IF(Q106="No",P106,0)</f>
        <v>0</v>
      </c>
    </row>
    <row r="107" customFormat="false" ht="15" hidden="false" customHeight="false" outlineLevel="0" collapsed="false">
      <c r="A107" s="5" t="s">
        <v>241</v>
      </c>
      <c r="B107" s="5" t="s">
        <v>57</v>
      </c>
      <c r="C107" s="7" t="n">
        <v>45717</v>
      </c>
      <c r="D107" s="8" t="str">
        <f aca="false">INDEX(Dim_Supplier!$C$2:$C$21,MATCH(B107,Dim_Supplier!$A$2:$A$21,0))</f>
        <v>Packaging</v>
      </c>
      <c r="E107" s="8" t="str">
        <f aca="false">INDEX(Dim_Supplier!$B$2:$B$21,MATCH(B107,Dim_Supplier!$A$2:$A$21,0))</f>
        <v>Great Lakes Packaging Co.</v>
      </c>
      <c r="F107" s="5" t="s">
        <v>158</v>
      </c>
      <c r="G107" s="5" t="s">
        <v>112</v>
      </c>
      <c r="H107" s="8" t="n">
        <f aca="false">INDEX(Lookup_Tables!$B$2:$B$5,MATCH(D107,Lookup_Tables!$A$2:$A$5,0))</f>
        <v>14</v>
      </c>
      <c r="I107" s="9" t="n">
        <f aca="false">C107+H107</f>
        <v>45731</v>
      </c>
      <c r="J107" s="5" t="n">
        <v>-1</v>
      </c>
      <c r="K107" s="9" t="n">
        <f aca="false">I107+J107</f>
        <v>45730</v>
      </c>
      <c r="L107" s="5" t="n">
        <v>3497</v>
      </c>
      <c r="M107" s="10" t="n">
        <f aca="false">INDEX(Dim_Supplier!$F$2:$F$21,MATCH(B107,Dim_Supplier!$A$2:$A$21,0))</f>
        <v>4.35</v>
      </c>
      <c r="N107" s="11" t="n">
        <v>0.0284</v>
      </c>
      <c r="O107" s="10" t="n">
        <f aca="false">M107*(1+N107)</f>
        <v>4.47354</v>
      </c>
      <c r="P107" s="10" t="n">
        <f aca="false">O107*L107</f>
        <v>15643.96938</v>
      </c>
      <c r="Q107" s="5" t="s">
        <v>113</v>
      </c>
      <c r="R107" s="5" t="n">
        <v>0</v>
      </c>
      <c r="S107" s="5" t="n">
        <v>60</v>
      </c>
      <c r="T107" s="12" t="n">
        <f aca="false">(O107-M107)/M107</f>
        <v>0.0284000000000001</v>
      </c>
      <c r="U107" s="8" t="n">
        <f aca="false">IF(AND(K107&lt;=I107,R107=0),1,0)</f>
        <v>1</v>
      </c>
      <c r="V107" s="10" t="n">
        <f aca="false">IF(Q107="No",P107,0)</f>
        <v>0</v>
      </c>
    </row>
    <row r="108" customFormat="false" ht="15" hidden="false" customHeight="false" outlineLevel="0" collapsed="false">
      <c r="A108" s="5" t="s">
        <v>242</v>
      </c>
      <c r="B108" s="5" t="s">
        <v>54</v>
      </c>
      <c r="C108" s="7" t="n">
        <v>46136</v>
      </c>
      <c r="D108" s="8" t="str">
        <f aca="false">INDEX(Dim_Supplier!$C$2:$C$21,MATCH(B108,Dim_Supplier!$A$2:$A$21,0))</f>
        <v>Raw Materials</v>
      </c>
      <c r="E108" s="8" t="str">
        <f aca="false">INDEX(Dim_Supplier!$B$2:$B$21,MATCH(B108,Dim_Supplier!$A$2:$A$21,0))</f>
        <v>Northern Resin Solutions</v>
      </c>
      <c r="F108" s="5" t="s">
        <v>142</v>
      </c>
      <c r="G108" s="5" t="s">
        <v>120</v>
      </c>
      <c r="H108" s="8" t="n">
        <f aca="false">INDEX(Lookup_Tables!$B$2:$B$5,MATCH(D108,Lookup_Tables!$A$2:$A$5,0))</f>
        <v>21</v>
      </c>
      <c r="I108" s="9" t="n">
        <f aca="false">C108+H108</f>
        <v>46157</v>
      </c>
      <c r="J108" s="5" t="n">
        <v>-1</v>
      </c>
      <c r="K108" s="9" t="n">
        <f aca="false">I108+J108</f>
        <v>46156</v>
      </c>
      <c r="L108" s="5" t="n">
        <v>335</v>
      </c>
      <c r="M108" s="10" t="n">
        <f aca="false">INDEX(Dim_Supplier!$F$2:$F$21,MATCH(B108,Dim_Supplier!$A$2:$A$21,0))</f>
        <v>38.9</v>
      </c>
      <c r="N108" s="11" t="n">
        <v>0.0318</v>
      </c>
      <c r="O108" s="10" t="n">
        <f aca="false">M108*(1+N108)</f>
        <v>40.13702</v>
      </c>
      <c r="P108" s="10" t="n">
        <f aca="false">O108*L108</f>
        <v>13445.9017</v>
      </c>
      <c r="Q108" s="5" t="s">
        <v>113</v>
      </c>
      <c r="R108" s="5" t="n">
        <v>0</v>
      </c>
      <c r="S108" s="5" t="n">
        <v>45</v>
      </c>
      <c r="T108" s="12" t="n">
        <f aca="false">(O108-M108)/M108</f>
        <v>0.0318</v>
      </c>
      <c r="U108" s="8" t="n">
        <f aca="false">IF(AND(K108&lt;=I108,R108=0),1,0)</f>
        <v>1</v>
      </c>
      <c r="V108" s="10" t="n">
        <f aca="false">IF(Q108="No",P108,0)</f>
        <v>0</v>
      </c>
    </row>
    <row r="109" customFormat="false" ht="15" hidden="false" customHeight="false" outlineLevel="0" collapsed="false">
      <c r="A109" s="5" t="s">
        <v>243</v>
      </c>
      <c r="B109" s="5" t="s">
        <v>52</v>
      </c>
      <c r="C109" s="7" t="n">
        <v>45984</v>
      </c>
      <c r="D109" s="8" t="str">
        <f aca="false">INDEX(Dim_Supplier!$C$2:$C$21,MATCH(B109,Dim_Supplier!$A$2:$A$21,0))</f>
        <v>Raw Materials</v>
      </c>
      <c r="E109" s="8" t="str">
        <f aca="false">INDEX(Dim_Supplier!$B$2:$B$21,MATCH(B109,Dim_Supplier!$A$2:$A$21,0))</f>
        <v>Laurentian Metals Inc.</v>
      </c>
      <c r="F109" s="5" t="s">
        <v>142</v>
      </c>
      <c r="G109" s="5" t="s">
        <v>120</v>
      </c>
      <c r="H109" s="8" t="n">
        <f aca="false">INDEX(Lookup_Tables!$B$2:$B$5,MATCH(D109,Lookup_Tables!$A$2:$A$5,0))</f>
        <v>21</v>
      </c>
      <c r="I109" s="9" t="n">
        <f aca="false">C109+H109</f>
        <v>46005</v>
      </c>
      <c r="J109" s="5" t="n">
        <v>-1</v>
      </c>
      <c r="K109" s="9" t="n">
        <f aca="false">I109+J109</f>
        <v>46004</v>
      </c>
      <c r="L109" s="5" t="n">
        <v>641</v>
      </c>
      <c r="M109" s="10" t="n">
        <f aca="false">INDEX(Dim_Supplier!$F$2:$F$21,MATCH(B109,Dim_Supplier!$A$2:$A$21,0))</f>
        <v>61.2</v>
      </c>
      <c r="N109" s="11" t="n">
        <v>0.0308</v>
      </c>
      <c r="O109" s="10" t="n">
        <f aca="false">M109*(1+N109)</f>
        <v>63.08496</v>
      </c>
      <c r="P109" s="10" t="n">
        <f aca="false">O109*L109</f>
        <v>40437.45936</v>
      </c>
      <c r="Q109" s="5" t="s">
        <v>113</v>
      </c>
      <c r="R109" s="5" t="n">
        <v>0</v>
      </c>
      <c r="S109" s="5" t="n">
        <v>45</v>
      </c>
      <c r="T109" s="12" t="n">
        <f aca="false">(O109-M109)/M109</f>
        <v>0.0308</v>
      </c>
      <c r="U109" s="8" t="n">
        <f aca="false">IF(AND(K109&lt;=I109,R109=0),1,0)</f>
        <v>1</v>
      </c>
      <c r="V109" s="10" t="n">
        <f aca="false">IF(Q109="No",P109,0)</f>
        <v>0</v>
      </c>
    </row>
    <row r="110" customFormat="false" ht="15" hidden="false" customHeight="false" outlineLevel="0" collapsed="false">
      <c r="A110" s="5" t="s">
        <v>244</v>
      </c>
      <c r="B110" s="5" t="s">
        <v>75</v>
      </c>
      <c r="C110" s="7" t="n">
        <v>45890</v>
      </c>
      <c r="D110" s="8" t="str">
        <f aca="false">INDEX(Dim_Supplier!$C$2:$C$21,MATCH(B110,Dim_Supplier!$A$2:$A$21,0))</f>
        <v>MRO</v>
      </c>
      <c r="E110" s="8" t="str">
        <f aca="false">INDEX(Dim_Supplier!$B$2:$B$21,MATCH(B110,Dim_Supplier!$A$2:$A$21,0))</f>
        <v>Sterling Lubricants Inc.</v>
      </c>
      <c r="F110" s="5" t="s">
        <v>179</v>
      </c>
      <c r="G110" s="5" t="s">
        <v>120</v>
      </c>
      <c r="H110" s="8" t="n">
        <f aca="false">INDEX(Lookup_Tables!$B$2:$B$5,MATCH(D110,Lookup_Tables!$A$2:$A$5,0))</f>
        <v>10</v>
      </c>
      <c r="I110" s="9" t="n">
        <f aca="false">C110+H110</f>
        <v>45900</v>
      </c>
      <c r="J110" s="5" t="n">
        <v>-2</v>
      </c>
      <c r="K110" s="9" t="n">
        <f aca="false">I110+J110</f>
        <v>45898</v>
      </c>
      <c r="L110" s="5" t="n">
        <v>11</v>
      </c>
      <c r="M110" s="10" t="n">
        <f aca="false">INDEX(Dim_Supplier!$F$2:$F$21,MATCH(B110,Dim_Supplier!$A$2:$A$21,0))</f>
        <v>27.1</v>
      </c>
      <c r="N110" s="11" t="n">
        <v>0.0292</v>
      </c>
      <c r="O110" s="10" t="n">
        <f aca="false">M110*(1+N110)</f>
        <v>27.89132</v>
      </c>
      <c r="P110" s="10" t="n">
        <f aca="false">O110*L110</f>
        <v>306.80452</v>
      </c>
      <c r="Q110" s="5" t="s">
        <v>113</v>
      </c>
      <c r="R110" s="5" t="n">
        <v>0</v>
      </c>
      <c r="S110" s="5" t="n">
        <v>30</v>
      </c>
      <c r="T110" s="12" t="n">
        <f aca="false">(O110-M110)/M110</f>
        <v>0.0291999999999998</v>
      </c>
      <c r="U110" s="8" t="n">
        <f aca="false">IF(AND(K110&lt;=I110,R110=0),1,0)</f>
        <v>1</v>
      </c>
      <c r="V110" s="10" t="n">
        <f aca="false">IF(Q110="No",P110,0)</f>
        <v>0</v>
      </c>
    </row>
    <row r="111" customFormat="false" ht="15" hidden="false" customHeight="false" outlineLevel="0" collapsed="false">
      <c r="A111" s="5" t="s">
        <v>245</v>
      </c>
      <c r="B111" s="5" t="s">
        <v>71</v>
      </c>
      <c r="C111" s="7" t="n">
        <v>45955</v>
      </c>
      <c r="D111" s="8" t="str">
        <f aca="false">INDEX(Dim_Supplier!$C$2:$C$21,MATCH(B111,Dim_Supplier!$A$2:$A$21,0))</f>
        <v>MRO</v>
      </c>
      <c r="E111" s="8" t="str">
        <f aca="false">INDEX(Dim_Supplier!$B$2:$B$21,MATCH(B111,Dim_Supplier!$A$2:$A$21,0))</f>
        <v>CanSafe Equipment Ltd.</v>
      </c>
      <c r="F111" s="5" t="s">
        <v>127</v>
      </c>
      <c r="G111" s="5" t="s">
        <v>125</v>
      </c>
      <c r="H111" s="8" t="n">
        <f aca="false">INDEX(Lookup_Tables!$B$2:$B$5,MATCH(D111,Lookup_Tables!$A$2:$A$5,0))</f>
        <v>10</v>
      </c>
      <c r="I111" s="9" t="n">
        <f aca="false">C111+H111</f>
        <v>45965</v>
      </c>
      <c r="J111" s="5" t="n">
        <v>0</v>
      </c>
      <c r="K111" s="9" t="n">
        <f aca="false">I111+J111</f>
        <v>45965</v>
      </c>
      <c r="L111" s="5" t="n">
        <v>109</v>
      </c>
      <c r="M111" s="10" t="n">
        <f aca="false">INDEX(Dim_Supplier!$F$2:$F$21,MATCH(B111,Dim_Supplier!$A$2:$A$21,0))</f>
        <v>18.75</v>
      </c>
      <c r="N111" s="11" t="n">
        <v>0.0209</v>
      </c>
      <c r="O111" s="10" t="n">
        <f aca="false">M111*(1+N111)</f>
        <v>19.141875</v>
      </c>
      <c r="P111" s="10" t="n">
        <f aca="false">O111*L111</f>
        <v>2086.464375</v>
      </c>
      <c r="Q111" s="5" t="s">
        <v>113</v>
      </c>
      <c r="R111" s="5" t="n">
        <v>0</v>
      </c>
      <c r="S111" s="5" t="n">
        <v>30</v>
      </c>
      <c r="T111" s="12" t="n">
        <f aca="false">(O111-M111)/M111</f>
        <v>0.0208999999999999</v>
      </c>
      <c r="U111" s="8" t="n">
        <f aca="false">IF(AND(K111&lt;=I111,R111=0),1,0)</f>
        <v>1</v>
      </c>
      <c r="V111" s="10" t="n">
        <f aca="false">IF(Q111="No",P111,0)</f>
        <v>0</v>
      </c>
    </row>
    <row r="112" customFormat="false" ht="15" hidden="false" customHeight="false" outlineLevel="0" collapsed="false">
      <c r="A112" s="5" t="s">
        <v>246</v>
      </c>
      <c r="B112" s="5" t="s">
        <v>88</v>
      </c>
      <c r="C112" s="7" t="n">
        <v>45410</v>
      </c>
      <c r="D112" s="8" t="str">
        <f aca="false">INDEX(Dim_Supplier!$C$2:$C$21,MATCH(B112,Dim_Supplier!$A$2:$A$21,0))</f>
        <v>Logistics</v>
      </c>
      <c r="E112" s="8" t="str">
        <f aca="false">INDEX(Dim_Supplier!$B$2:$B$21,MATCH(B112,Dim_Supplier!$A$2:$A$21,0))</f>
        <v>Summit Last-Mile Delivery</v>
      </c>
      <c r="F112" s="5" t="s">
        <v>124</v>
      </c>
      <c r="G112" s="5" t="s">
        <v>112</v>
      </c>
      <c r="H112" s="8" t="n">
        <f aca="false">INDEX(Lookup_Tables!$B$2:$B$5,MATCH(D112,Lookup_Tables!$A$2:$A$5,0))</f>
        <v>5</v>
      </c>
      <c r="I112" s="9" t="n">
        <f aca="false">C112+H112</f>
        <v>45415</v>
      </c>
      <c r="J112" s="5" t="n">
        <v>0</v>
      </c>
      <c r="K112" s="9" t="n">
        <f aca="false">I112+J112</f>
        <v>45415</v>
      </c>
      <c r="L112" s="5" t="n">
        <v>30</v>
      </c>
      <c r="M112" s="10" t="n">
        <f aca="false">INDEX(Dim_Supplier!$F$2:$F$21,MATCH(B112,Dim_Supplier!$A$2:$A$21,0))</f>
        <v>95</v>
      </c>
      <c r="N112" s="11" t="n">
        <v>0.033</v>
      </c>
      <c r="O112" s="10" t="n">
        <f aca="false">M112*(1+N112)</f>
        <v>98.135</v>
      </c>
      <c r="P112" s="10" t="n">
        <f aca="false">O112*L112</f>
        <v>2944.05</v>
      </c>
      <c r="Q112" s="5" t="s">
        <v>113</v>
      </c>
      <c r="R112" s="5" t="n">
        <v>0</v>
      </c>
      <c r="S112" s="5" t="n">
        <v>45</v>
      </c>
      <c r="T112" s="12" t="n">
        <f aca="false">(O112-M112)/M112</f>
        <v>0.0329999999999999</v>
      </c>
      <c r="U112" s="8" t="n">
        <f aca="false">IF(AND(K112&lt;=I112,R112=0),1,0)</f>
        <v>1</v>
      </c>
      <c r="V112" s="10" t="n">
        <f aca="false">IF(Q112="No",P112,0)</f>
        <v>0</v>
      </c>
    </row>
    <row r="113" customFormat="false" ht="15" hidden="false" customHeight="false" outlineLevel="0" collapsed="false">
      <c r="A113" s="5" t="s">
        <v>247</v>
      </c>
      <c r="B113" s="5" t="s">
        <v>68</v>
      </c>
      <c r="C113" s="7" t="n">
        <v>45893</v>
      </c>
      <c r="D113" s="8" t="str">
        <f aca="false">INDEX(Dim_Supplier!$C$2:$C$21,MATCH(B113,Dim_Supplier!$A$2:$A$21,0))</f>
        <v>MRO</v>
      </c>
      <c r="E113" s="8" t="str">
        <f aca="false">INDEX(Dim_Supplier!$B$2:$B$21,MATCH(B113,Dim_Supplier!$A$2:$A$21,0))</f>
        <v>Precision Tool &amp; Supply</v>
      </c>
      <c r="F113" s="5" t="s">
        <v>164</v>
      </c>
      <c r="G113" s="5" t="s">
        <v>125</v>
      </c>
      <c r="H113" s="8" t="n">
        <f aca="false">INDEX(Lookup_Tables!$B$2:$B$5,MATCH(D113,Lookup_Tables!$A$2:$A$5,0))</f>
        <v>10</v>
      </c>
      <c r="I113" s="9" t="n">
        <f aca="false">C113+H113</f>
        <v>45903</v>
      </c>
      <c r="J113" s="5" t="n">
        <v>-4</v>
      </c>
      <c r="K113" s="9" t="n">
        <f aca="false">I113+J113</f>
        <v>45899</v>
      </c>
      <c r="L113" s="5" t="n">
        <v>162</v>
      </c>
      <c r="M113" s="10" t="n">
        <f aca="false">INDEX(Dim_Supplier!$F$2:$F$21,MATCH(B113,Dim_Supplier!$A$2:$A$21,0))</f>
        <v>22.4</v>
      </c>
      <c r="N113" s="11" t="n">
        <v>-0.0213</v>
      </c>
      <c r="O113" s="10" t="n">
        <f aca="false">M113*(1+N113)</f>
        <v>21.92288</v>
      </c>
      <c r="P113" s="10" t="n">
        <f aca="false">O113*L113</f>
        <v>3551.50656</v>
      </c>
      <c r="Q113" s="5" t="s">
        <v>113</v>
      </c>
      <c r="R113" s="5" t="n">
        <v>0</v>
      </c>
      <c r="S113" s="5" t="n">
        <v>30</v>
      </c>
      <c r="T113" s="12" t="n">
        <f aca="false">(O113-M113)/M113</f>
        <v>-0.0213</v>
      </c>
      <c r="U113" s="8" t="n">
        <f aca="false">IF(AND(K113&lt;=I113,R113=0),1,0)</f>
        <v>1</v>
      </c>
      <c r="V113" s="10" t="n">
        <f aca="false">IF(Q113="No",P113,0)</f>
        <v>0</v>
      </c>
    </row>
    <row r="114" customFormat="false" ht="15" hidden="false" customHeight="false" outlineLevel="0" collapsed="false">
      <c r="A114" s="5" t="s">
        <v>248</v>
      </c>
      <c r="B114" s="5" t="s">
        <v>60</v>
      </c>
      <c r="C114" s="7" t="n">
        <v>45746</v>
      </c>
      <c r="D114" s="8" t="str">
        <f aca="false">INDEX(Dim_Supplier!$C$2:$C$21,MATCH(B114,Dim_Supplier!$A$2:$A$21,0))</f>
        <v>Packaging</v>
      </c>
      <c r="E114" s="8" t="str">
        <f aca="false">INDEX(Dim_Supplier!$B$2:$B$21,MATCH(B114,Dim_Supplier!$A$2:$A$21,0))</f>
        <v>Maple Leaf Box &amp; Crate</v>
      </c>
      <c r="F114" s="5" t="s">
        <v>137</v>
      </c>
      <c r="G114" s="5" t="s">
        <v>112</v>
      </c>
      <c r="H114" s="8" t="n">
        <f aca="false">INDEX(Lookup_Tables!$B$2:$B$5,MATCH(D114,Lookup_Tables!$A$2:$A$5,0))</f>
        <v>14</v>
      </c>
      <c r="I114" s="9" t="n">
        <f aca="false">C114+H114</f>
        <v>45760</v>
      </c>
      <c r="J114" s="5" t="n">
        <v>0</v>
      </c>
      <c r="K114" s="9" t="n">
        <f aca="false">I114+J114</f>
        <v>45760</v>
      </c>
      <c r="L114" s="5" t="n">
        <v>3509</v>
      </c>
      <c r="M114" s="10" t="n">
        <f aca="false">INDEX(Dim_Supplier!$F$2:$F$21,MATCH(B114,Dim_Supplier!$A$2:$A$21,0))</f>
        <v>3.1</v>
      </c>
      <c r="N114" s="11" t="n">
        <v>0.0328</v>
      </c>
      <c r="O114" s="10" t="n">
        <f aca="false">M114*(1+N114)</f>
        <v>3.20168</v>
      </c>
      <c r="P114" s="10" t="n">
        <f aca="false">O114*L114</f>
        <v>11234.69512</v>
      </c>
      <c r="Q114" s="5" t="s">
        <v>113</v>
      </c>
      <c r="R114" s="5" t="n">
        <v>0</v>
      </c>
      <c r="S114" s="5" t="n">
        <v>30</v>
      </c>
      <c r="T114" s="12" t="n">
        <f aca="false">(O114-M114)/M114</f>
        <v>0.0328</v>
      </c>
      <c r="U114" s="8" t="n">
        <f aca="false">IF(AND(K114&lt;=I114,R114=0),1,0)</f>
        <v>1</v>
      </c>
      <c r="V114" s="10" t="n">
        <f aca="false">IF(Q114="No",P114,0)</f>
        <v>0</v>
      </c>
    </row>
    <row r="115" customFormat="false" ht="15" hidden="false" customHeight="false" outlineLevel="0" collapsed="false">
      <c r="A115" s="5" t="s">
        <v>249</v>
      </c>
      <c r="B115" s="5" t="s">
        <v>60</v>
      </c>
      <c r="C115" s="7" t="n">
        <v>45486</v>
      </c>
      <c r="D115" s="8" t="str">
        <f aca="false">INDEX(Dim_Supplier!$C$2:$C$21,MATCH(B115,Dim_Supplier!$A$2:$A$21,0))</f>
        <v>Packaging</v>
      </c>
      <c r="E115" s="8" t="str">
        <f aca="false">INDEX(Dim_Supplier!$B$2:$B$21,MATCH(B115,Dim_Supplier!$A$2:$A$21,0))</f>
        <v>Maple Leaf Box &amp; Crate</v>
      </c>
      <c r="F115" s="5" t="s">
        <v>117</v>
      </c>
      <c r="G115" s="5" t="s">
        <v>125</v>
      </c>
      <c r="H115" s="8" t="n">
        <f aca="false">INDEX(Lookup_Tables!$B$2:$B$5,MATCH(D115,Lookup_Tables!$A$2:$A$5,0))</f>
        <v>14</v>
      </c>
      <c r="I115" s="9" t="n">
        <f aca="false">C115+H115</f>
        <v>45500</v>
      </c>
      <c r="J115" s="5" t="n">
        <v>0</v>
      </c>
      <c r="K115" s="9" t="n">
        <f aca="false">I115+J115</f>
        <v>45500</v>
      </c>
      <c r="L115" s="5" t="n">
        <v>674</v>
      </c>
      <c r="M115" s="10" t="n">
        <f aca="false">INDEX(Dim_Supplier!$F$2:$F$21,MATCH(B115,Dim_Supplier!$A$2:$A$21,0))</f>
        <v>3.1</v>
      </c>
      <c r="N115" s="11" t="n">
        <v>0.0475</v>
      </c>
      <c r="O115" s="10" t="n">
        <f aca="false">M115*(1+N115)</f>
        <v>3.24725</v>
      </c>
      <c r="P115" s="10" t="n">
        <f aca="false">O115*L115</f>
        <v>2188.6465</v>
      </c>
      <c r="Q115" s="5" t="s">
        <v>113</v>
      </c>
      <c r="R115" s="5" t="n">
        <v>0</v>
      </c>
      <c r="S115" s="5" t="n">
        <v>60</v>
      </c>
      <c r="T115" s="12" t="n">
        <f aca="false">(O115-M115)/M115</f>
        <v>0.0475</v>
      </c>
      <c r="U115" s="8" t="n">
        <f aca="false">IF(AND(K115&lt;=I115,R115=0),1,0)</f>
        <v>1</v>
      </c>
      <c r="V115" s="10" t="n">
        <f aca="false">IF(Q115="No",P115,0)</f>
        <v>0</v>
      </c>
    </row>
    <row r="116" customFormat="false" ht="15" hidden="false" customHeight="false" outlineLevel="0" collapsed="false">
      <c r="A116" s="5" t="s">
        <v>250</v>
      </c>
      <c r="B116" s="5" t="s">
        <v>79</v>
      </c>
      <c r="C116" s="7" t="n">
        <v>45502</v>
      </c>
      <c r="D116" s="8" t="str">
        <f aca="false">INDEX(Dim_Supplier!$C$2:$C$21,MATCH(B116,Dim_Supplier!$A$2:$A$21,0))</f>
        <v>Logistics</v>
      </c>
      <c r="E116" s="8" t="str">
        <f aca="false">INDEX(Dim_Supplier!$B$2:$B$21,MATCH(B116,Dim_Supplier!$A$2:$A$21,0))</f>
        <v>Niagara Freight Solutions</v>
      </c>
      <c r="F116" s="5" t="s">
        <v>124</v>
      </c>
      <c r="G116" s="5" t="s">
        <v>112</v>
      </c>
      <c r="H116" s="8" t="n">
        <f aca="false">INDEX(Lookup_Tables!$B$2:$B$5,MATCH(D116,Lookup_Tables!$A$2:$A$5,0))</f>
        <v>5</v>
      </c>
      <c r="I116" s="9" t="n">
        <f aca="false">C116+H116</f>
        <v>45507</v>
      </c>
      <c r="J116" s="5" t="n">
        <v>-4</v>
      </c>
      <c r="K116" s="9" t="n">
        <f aca="false">I116+J116</f>
        <v>45503</v>
      </c>
      <c r="L116" s="5" t="n">
        <v>15</v>
      </c>
      <c r="M116" s="10" t="n">
        <f aca="false">INDEX(Dim_Supplier!$F$2:$F$21,MATCH(B116,Dim_Supplier!$A$2:$A$21,0))</f>
        <v>340</v>
      </c>
      <c r="N116" s="11" t="n">
        <v>-0.0089</v>
      </c>
      <c r="O116" s="10" t="n">
        <f aca="false">M116*(1+N116)</f>
        <v>336.974</v>
      </c>
      <c r="P116" s="10" t="n">
        <f aca="false">O116*L116</f>
        <v>5054.61</v>
      </c>
      <c r="Q116" s="5" t="s">
        <v>113</v>
      </c>
      <c r="R116" s="5" t="n">
        <v>0</v>
      </c>
      <c r="S116" s="5" t="n">
        <v>60</v>
      </c>
      <c r="T116" s="12" t="n">
        <f aca="false">(O116-M116)/M116</f>
        <v>-0.00890000000000003</v>
      </c>
      <c r="U116" s="8" t="n">
        <f aca="false">IF(AND(K116&lt;=I116,R116=0),1,0)</f>
        <v>1</v>
      </c>
      <c r="V116" s="10" t="n">
        <f aca="false">IF(Q116="No",P116,0)</f>
        <v>0</v>
      </c>
    </row>
    <row r="117" customFormat="false" ht="15" hidden="false" customHeight="false" outlineLevel="0" collapsed="false">
      <c r="A117" s="5" t="s">
        <v>251</v>
      </c>
      <c r="B117" s="5" t="s">
        <v>41</v>
      </c>
      <c r="C117" s="7" t="n">
        <v>46171</v>
      </c>
      <c r="D117" s="8" t="str">
        <f aca="false">INDEX(Dim_Supplier!$C$2:$C$21,MATCH(B117,Dim_Supplier!$A$2:$A$21,0))</f>
        <v>Raw Materials</v>
      </c>
      <c r="E117" s="8" t="str">
        <f aca="false">INDEX(Dim_Supplier!$B$2:$B$21,MATCH(B117,Dim_Supplier!$A$2:$A$21,0))</f>
        <v>Ontario Steel Partners</v>
      </c>
      <c r="F117" s="5" t="s">
        <v>115</v>
      </c>
      <c r="G117" s="5" t="s">
        <v>112</v>
      </c>
      <c r="H117" s="8" t="n">
        <f aca="false">INDEX(Lookup_Tables!$B$2:$B$5,MATCH(D117,Lookup_Tables!$A$2:$A$5,0))</f>
        <v>21</v>
      </c>
      <c r="I117" s="9" t="n">
        <f aca="false">C117+H117</f>
        <v>46192</v>
      </c>
      <c r="J117" s="5" t="n">
        <v>-4</v>
      </c>
      <c r="K117" s="9" t="n">
        <f aca="false">I117+J117</f>
        <v>46188</v>
      </c>
      <c r="L117" s="5" t="n">
        <v>325</v>
      </c>
      <c r="M117" s="10" t="n">
        <f aca="false">INDEX(Dim_Supplier!$F$2:$F$21,MATCH(B117,Dim_Supplier!$A$2:$A$21,0))</f>
        <v>58</v>
      </c>
      <c r="N117" s="11" t="n">
        <v>0.0011</v>
      </c>
      <c r="O117" s="10" t="n">
        <f aca="false">M117*(1+N117)</f>
        <v>58.0638</v>
      </c>
      <c r="P117" s="10" t="n">
        <f aca="false">O117*L117</f>
        <v>18870.735</v>
      </c>
      <c r="Q117" s="5" t="s">
        <v>113</v>
      </c>
      <c r="R117" s="5" t="n">
        <v>0</v>
      </c>
      <c r="S117" s="5" t="n">
        <v>30</v>
      </c>
      <c r="T117" s="12" t="n">
        <f aca="false">(O117-M117)/M117</f>
        <v>0.00110000000000013</v>
      </c>
      <c r="U117" s="8" t="n">
        <f aca="false">IF(AND(K117&lt;=I117,R117=0),1,0)</f>
        <v>1</v>
      </c>
      <c r="V117" s="10" t="n">
        <f aca="false">IF(Q117="No",P117,0)</f>
        <v>0</v>
      </c>
    </row>
    <row r="118" customFormat="false" ht="15" hidden="false" customHeight="false" outlineLevel="0" collapsed="false">
      <c r="A118" s="5" t="s">
        <v>252</v>
      </c>
      <c r="B118" s="5" t="s">
        <v>79</v>
      </c>
      <c r="C118" s="7" t="n">
        <v>45535</v>
      </c>
      <c r="D118" s="8" t="str">
        <f aca="false">INDEX(Dim_Supplier!$C$2:$C$21,MATCH(B118,Dim_Supplier!$A$2:$A$21,0))</f>
        <v>Logistics</v>
      </c>
      <c r="E118" s="8" t="str">
        <f aca="false">INDEX(Dim_Supplier!$B$2:$B$21,MATCH(B118,Dim_Supplier!$A$2:$A$21,0))</f>
        <v>Niagara Freight Solutions</v>
      </c>
      <c r="F118" s="5" t="s">
        <v>185</v>
      </c>
      <c r="G118" s="5" t="s">
        <v>120</v>
      </c>
      <c r="H118" s="8" t="n">
        <f aca="false">INDEX(Lookup_Tables!$B$2:$B$5,MATCH(D118,Lookup_Tables!$A$2:$A$5,0))</f>
        <v>5</v>
      </c>
      <c r="I118" s="9" t="n">
        <f aca="false">C118+H118</f>
        <v>45540</v>
      </c>
      <c r="J118" s="5" t="n">
        <v>0</v>
      </c>
      <c r="K118" s="9" t="n">
        <f aca="false">I118+J118</f>
        <v>45540</v>
      </c>
      <c r="L118" s="5" t="n">
        <v>9</v>
      </c>
      <c r="M118" s="10" t="n">
        <f aca="false">INDEX(Dim_Supplier!$F$2:$F$21,MATCH(B118,Dim_Supplier!$A$2:$A$21,0))</f>
        <v>340</v>
      </c>
      <c r="N118" s="11" t="n">
        <v>0.0116</v>
      </c>
      <c r="O118" s="10" t="n">
        <f aca="false">M118*(1+N118)</f>
        <v>343.944</v>
      </c>
      <c r="P118" s="10" t="n">
        <f aca="false">O118*L118</f>
        <v>3095.496</v>
      </c>
      <c r="Q118" s="5" t="s">
        <v>113</v>
      </c>
      <c r="R118" s="5" t="n">
        <v>0</v>
      </c>
      <c r="S118" s="5" t="n">
        <v>45</v>
      </c>
      <c r="T118" s="12" t="n">
        <f aca="false">(O118-M118)/M118</f>
        <v>0.0116000000000001</v>
      </c>
      <c r="U118" s="8" t="n">
        <f aca="false">IF(AND(K118&lt;=I118,R118=0),1,0)</f>
        <v>1</v>
      </c>
      <c r="V118" s="10" t="n">
        <f aca="false">IF(Q118="No",P118,0)</f>
        <v>0</v>
      </c>
    </row>
    <row r="119" customFormat="false" ht="15" hidden="false" customHeight="false" outlineLevel="0" collapsed="false">
      <c r="A119" s="5" t="s">
        <v>253</v>
      </c>
      <c r="B119" s="5" t="s">
        <v>64</v>
      </c>
      <c r="C119" s="7" t="n">
        <v>46088</v>
      </c>
      <c r="D119" s="8" t="str">
        <f aca="false">INDEX(Dim_Supplier!$C$2:$C$21,MATCH(B119,Dim_Supplier!$A$2:$A$21,0))</f>
        <v>Packaging</v>
      </c>
      <c r="E119" s="8" t="str">
        <f aca="false">INDEX(Dim_Supplier!$B$2:$B$21,MATCH(B119,Dim_Supplier!$A$2:$A$21,0))</f>
        <v>Huron Pallet Works</v>
      </c>
      <c r="F119" s="5" t="s">
        <v>119</v>
      </c>
      <c r="G119" s="5" t="s">
        <v>129</v>
      </c>
      <c r="H119" s="8" t="n">
        <f aca="false">INDEX(Lookup_Tables!$B$2:$B$5,MATCH(D119,Lookup_Tables!$A$2:$A$5,0))</f>
        <v>14</v>
      </c>
      <c r="I119" s="9" t="n">
        <f aca="false">C119+H119</f>
        <v>46102</v>
      </c>
      <c r="J119" s="5" t="n">
        <v>4</v>
      </c>
      <c r="K119" s="9" t="n">
        <f aca="false">I119+J119</f>
        <v>46106</v>
      </c>
      <c r="L119" s="5" t="n">
        <v>855</v>
      </c>
      <c r="M119" s="10" t="n">
        <f aca="false">INDEX(Dim_Supplier!$F$2:$F$21,MATCH(B119,Dim_Supplier!$A$2:$A$21,0))</f>
        <v>2.25</v>
      </c>
      <c r="N119" s="11" t="n">
        <v>0.1442</v>
      </c>
      <c r="O119" s="10" t="n">
        <f aca="false">M119*(1+N119)</f>
        <v>2.57445</v>
      </c>
      <c r="P119" s="10" t="n">
        <f aca="false">O119*L119</f>
        <v>2201.15475</v>
      </c>
      <c r="Q119" s="5" t="s">
        <v>133</v>
      </c>
      <c r="R119" s="5" t="n">
        <v>0</v>
      </c>
      <c r="S119" s="5" t="n">
        <v>45</v>
      </c>
      <c r="T119" s="12" t="n">
        <f aca="false">(O119-M119)/M119</f>
        <v>0.1442</v>
      </c>
      <c r="U119" s="8" t="n">
        <f aca="false">IF(AND(K119&lt;=I119,R119=0),1,0)</f>
        <v>0</v>
      </c>
      <c r="V119" s="10" t="n">
        <f aca="false">IF(Q119="No",P119,0)</f>
        <v>2201.15475</v>
      </c>
    </row>
    <row r="120" customFormat="false" ht="15" hidden="false" customHeight="false" outlineLevel="0" collapsed="false">
      <c r="A120" s="5" t="s">
        <v>254</v>
      </c>
      <c r="B120" s="5" t="s">
        <v>57</v>
      </c>
      <c r="C120" s="7" t="n">
        <v>45950</v>
      </c>
      <c r="D120" s="8" t="str">
        <f aca="false">INDEX(Dim_Supplier!$C$2:$C$21,MATCH(B120,Dim_Supplier!$A$2:$A$21,0))</f>
        <v>Packaging</v>
      </c>
      <c r="E120" s="8" t="str">
        <f aca="false">INDEX(Dim_Supplier!$B$2:$B$21,MATCH(B120,Dim_Supplier!$A$2:$A$21,0))</f>
        <v>Great Lakes Packaging Co.</v>
      </c>
      <c r="F120" s="5" t="s">
        <v>117</v>
      </c>
      <c r="G120" s="5" t="s">
        <v>129</v>
      </c>
      <c r="H120" s="8" t="n">
        <f aca="false">INDEX(Lookup_Tables!$B$2:$B$5,MATCH(D120,Lookup_Tables!$A$2:$A$5,0))</f>
        <v>14</v>
      </c>
      <c r="I120" s="9" t="n">
        <f aca="false">C120+H120</f>
        <v>45964</v>
      </c>
      <c r="J120" s="5" t="n">
        <v>1</v>
      </c>
      <c r="K120" s="9" t="n">
        <f aca="false">I120+J120</f>
        <v>45965</v>
      </c>
      <c r="L120" s="5" t="n">
        <v>3992</v>
      </c>
      <c r="M120" s="10" t="n">
        <f aca="false">INDEX(Dim_Supplier!$F$2:$F$21,MATCH(B120,Dim_Supplier!$A$2:$A$21,0))</f>
        <v>4.35</v>
      </c>
      <c r="N120" s="11" t="n">
        <v>0.0097</v>
      </c>
      <c r="O120" s="10" t="n">
        <f aca="false">M120*(1+N120)</f>
        <v>4.392195</v>
      </c>
      <c r="P120" s="10" t="n">
        <f aca="false">O120*L120</f>
        <v>17533.64244</v>
      </c>
      <c r="Q120" s="5" t="s">
        <v>113</v>
      </c>
      <c r="R120" s="5" t="n">
        <v>0</v>
      </c>
      <c r="S120" s="5" t="n">
        <v>60</v>
      </c>
      <c r="T120" s="12" t="n">
        <f aca="false">(O120-M120)/M120</f>
        <v>0.0097000000000001</v>
      </c>
      <c r="U120" s="8" t="n">
        <f aca="false">IF(AND(K120&lt;=I120,R120=0),1,0)</f>
        <v>0</v>
      </c>
      <c r="V120" s="10" t="n">
        <f aca="false">IF(Q120="No",P120,0)</f>
        <v>0</v>
      </c>
    </row>
    <row r="121" customFormat="false" ht="15" hidden="false" customHeight="false" outlineLevel="0" collapsed="false">
      <c r="A121" s="5" t="s">
        <v>255</v>
      </c>
      <c r="B121" s="5" t="s">
        <v>41</v>
      </c>
      <c r="C121" s="7" t="n">
        <v>45374</v>
      </c>
      <c r="D121" s="8" t="str">
        <f aca="false">INDEX(Dim_Supplier!$C$2:$C$21,MATCH(B121,Dim_Supplier!$A$2:$A$21,0))</f>
        <v>Raw Materials</v>
      </c>
      <c r="E121" s="8" t="str">
        <f aca="false">INDEX(Dim_Supplier!$B$2:$B$21,MATCH(B121,Dim_Supplier!$A$2:$A$21,0))</f>
        <v>Ontario Steel Partners</v>
      </c>
      <c r="F121" s="5" t="s">
        <v>139</v>
      </c>
      <c r="G121" s="5" t="s">
        <v>112</v>
      </c>
      <c r="H121" s="8" t="n">
        <f aca="false">INDEX(Lookup_Tables!$B$2:$B$5,MATCH(D121,Lookup_Tables!$A$2:$A$5,0))</f>
        <v>21</v>
      </c>
      <c r="I121" s="9" t="n">
        <f aca="false">C121+H121</f>
        <v>45395</v>
      </c>
      <c r="J121" s="5" t="n">
        <v>-2</v>
      </c>
      <c r="K121" s="9" t="n">
        <f aca="false">I121+J121</f>
        <v>45393</v>
      </c>
      <c r="L121" s="5" t="n">
        <v>1396</v>
      </c>
      <c r="M121" s="10" t="n">
        <f aca="false">INDEX(Dim_Supplier!$F$2:$F$21,MATCH(B121,Dim_Supplier!$A$2:$A$21,0))</f>
        <v>58</v>
      </c>
      <c r="N121" s="11" t="n">
        <v>0.0164</v>
      </c>
      <c r="O121" s="10" t="n">
        <f aca="false">M121*(1+N121)</f>
        <v>58.9512</v>
      </c>
      <c r="P121" s="10" t="n">
        <f aca="false">O121*L121</f>
        <v>82295.8752</v>
      </c>
      <c r="Q121" s="5" t="s">
        <v>113</v>
      </c>
      <c r="R121" s="5" t="n">
        <v>0</v>
      </c>
      <c r="S121" s="5" t="n">
        <v>30</v>
      </c>
      <c r="T121" s="12" t="n">
        <f aca="false">(O121-M121)/M121</f>
        <v>0.0164</v>
      </c>
      <c r="U121" s="8" t="n">
        <f aca="false">IF(AND(K121&lt;=I121,R121=0),1,0)</f>
        <v>1</v>
      </c>
      <c r="V121" s="10" t="n">
        <f aca="false">IF(Q121="No",P121,0)</f>
        <v>0</v>
      </c>
    </row>
    <row r="122" customFormat="false" ht="15" hidden="false" customHeight="false" outlineLevel="0" collapsed="false">
      <c r="A122" s="5" t="s">
        <v>256</v>
      </c>
      <c r="B122" s="5" t="s">
        <v>71</v>
      </c>
      <c r="C122" s="7" t="n">
        <v>45593</v>
      </c>
      <c r="D122" s="8" t="str">
        <f aca="false">INDEX(Dim_Supplier!$C$2:$C$21,MATCH(B122,Dim_Supplier!$A$2:$A$21,0))</f>
        <v>MRO</v>
      </c>
      <c r="E122" s="8" t="str">
        <f aca="false">INDEX(Dim_Supplier!$B$2:$B$21,MATCH(B122,Dim_Supplier!$A$2:$A$21,0))</f>
        <v>CanSafe Equipment Ltd.</v>
      </c>
      <c r="F122" s="5" t="s">
        <v>179</v>
      </c>
      <c r="G122" s="5" t="s">
        <v>125</v>
      </c>
      <c r="H122" s="8" t="n">
        <f aca="false">INDEX(Lookup_Tables!$B$2:$B$5,MATCH(D122,Lookup_Tables!$A$2:$A$5,0))</f>
        <v>10</v>
      </c>
      <c r="I122" s="9" t="n">
        <f aca="false">C122+H122</f>
        <v>45603</v>
      </c>
      <c r="J122" s="5" t="n">
        <v>2</v>
      </c>
      <c r="K122" s="9" t="n">
        <f aca="false">I122+J122</f>
        <v>45605</v>
      </c>
      <c r="L122" s="5" t="n">
        <v>172</v>
      </c>
      <c r="M122" s="10" t="n">
        <f aca="false">INDEX(Dim_Supplier!$F$2:$F$21,MATCH(B122,Dim_Supplier!$A$2:$A$21,0))</f>
        <v>18.75</v>
      </c>
      <c r="N122" s="11" t="n">
        <v>0.0482</v>
      </c>
      <c r="O122" s="10" t="n">
        <f aca="false">M122*(1+N122)</f>
        <v>19.65375</v>
      </c>
      <c r="P122" s="10" t="n">
        <f aca="false">O122*L122</f>
        <v>3380.445</v>
      </c>
      <c r="Q122" s="5" t="s">
        <v>113</v>
      </c>
      <c r="R122" s="5" t="n">
        <v>0</v>
      </c>
      <c r="S122" s="5" t="n">
        <v>45</v>
      </c>
      <c r="T122" s="12" t="n">
        <f aca="false">(O122-M122)/M122</f>
        <v>0.0481999999999999</v>
      </c>
      <c r="U122" s="8" t="n">
        <f aca="false">IF(AND(K122&lt;=I122,R122=0),1,0)</f>
        <v>0</v>
      </c>
      <c r="V122" s="10" t="n">
        <f aca="false">IF(Q122="No",P122,0)</f>
        <v>0</v>
      </c>
    </row>
    <row r="123" customFormat="false" ht="15" hidden="false" customHeight="false" outlineLevel="0" collapsed="false">
      <c r="A123" s="5" t="s">
        <v>257</v>
      </c>
      <c r="B123" s="5" t="s">
        <v>52</v>
      </c>
      <c r="C123" s="7" t="n">
        <v>45754</v>
      </c>
      <c r="D123" s="8" t="str">
        <f aca="false">INDEX(Dim_Supplier!$C$2:$C$21,MATCH(B123,Dim_Supplier!$A$2:$A$21,0))</f>
        <v>Raw Materials</v>
      </c>
      <c r="E123" s="8" t="str">
        <f aca="false">INDEX(Dim_Supplier!$B$2:$B$21,MATCH(B123,Dim_Supplier!$A$2:$A$21,0))</f>
        <v>Laurentian Metals Inc.</v>
      </c>
      <c r="F123" s="5" t="s">
        <v>115</v>
      </c>
      <c r="G123" s="5" t="s">
        <v>125</v>
      </c>
      <c r="H123" s="8" t="n">
        <f aca="false">INDEX(Lookup_Tables!$B$2:$B$5,MATCH(D123,Lookup_Tables!$A$2:$A$5,0))</f>
        <v>21</v>
      </c>
      <c r="I123" s="9" t="n">
        <f aca="false">C123+H123</f>
        <v>45775</v>
      </c>
      <c r="J123" s="5" t="n">
        <v>-4</v>
      </c>
      <c r="K123" s="9" t="n">
        <f aca="false">I123+J123</f>
        <v>45771</v>
      </c>
      <c r="L123" s="5" t="n">
        <v>951</v>
      </c>
      <c r="M123" s="10" t="n">
        <f aca="false">INDEX(Dim_Supplier!$F$2:$F$21,MATCH(B123,Dim_Supplier!$A$2:$A$21,0))</f>
        <v>61.2</v>
      </c>
      <c r="N123" s="11" t="n">
        <v>0.0386</v>
      </c>
      <c r="O123" s="10" t="n">
        <f aca="false">M123*(1+N123)</f>
        <v>63.56232</v>
      </c>
      <c r="P123" s="10" t="n">
        <f aca="false">O123*L123</f>
        <v>60447.76632</v>
      </c>
      <c r="Q123" s="5" t="s">
        <v>113</v>
      </c>
      <c r="R123" s="5" t="n">
        <v>0</v>
      </c>
      <c r="S123" s="5" t="n">
        <v>30</v>
      </c>
      <c r="T123" s="12" t="n">
        <f aca="false">(O123-M123)/M123</f>
        <v>0.0386</v>
      </c>
      <c r="U123" s="8" t="n">
        <f aca="false">IF(AND(K123&lt;=I123,R123=0),1,0)</f>
        <v>1</v>
      </c>
      <c r="V123" s="10" t="n">
        <f aca="false">IF(Q123="No",P123,0)</f>
        <v>0</v>
      </c>
    </row>
    <row r="124" customFormat="false" ht="15" hidden="false" customHeight="false" outlineLevel="0" collapsed="false">
      <c r="A124" s="5" t="s">
        <v>258</v>
      </c>
      <c r="B124" s="5" t="s">
        <v>52</v>
      </c>
      <c r="C124" s="7" t="n">
        <v>45448</v>
      </c>
      <c r="D124" s="8" t="str">
        <f aca="false">INDEX(Dim_Supplier!$C$2:$C$21,MATCH(B124,Dim_Supplier!$A$2:$A$21,0))</f>
        <v>Raw Materials</v>
      </c>
      <c r="E124" s="8" t="str">
        <f aca="false">INDEX(Dim_Supplier!$B$2:$B$21,MATCH(B124,Dim_Supplier!$A$2:$A$21,0))</f>
        <v>Laurentian Metals Inc.</v>
      </c>
      <c r="F124" s="5" t="s">
        <v>142</v>
      </c>
      <c r="G124" s="5" t="s">
        <v>129</v>
      </c>
      <c r="H124" s="8" t="n">
        <f aca="false">INDEX(Lookup_Tables!$B$2:$B$5,MATCH(D124,Lookup_Tables!$A$2:$A$5,0))</f>
        <v>21</v>
      </c>
      <c r="I124" s="9" t="n">
        <f aca="false">C124+H124</f>
        <v>45469</v>
      </c>
      <c r="J124" s="5" t="n">
        <v>-2</v>
      </c>
      <c r="K124" s="9" t="n">
        <f aca="false">I124+J124</f>
        <v>45467</v>
      </c>
      <c r="L124" s="5" t="n">
        <v>984</v>
      </c>
      <c r="M124" s="10" t="n">
        <f aca="false">INDEX(Dim_Supplier!$F$2:$F$21,MATCH(B124,Dim_Supplier!$A$2:$A$21,0))</f>
        <v>61.2</v>
      </c>
      <c r="N124" s="11" t="n">
        <v>0.0246</v>
      </c>
      <c r="O124" s="10" t="n">
        <f aca="false">M124*(1+N124)</f>
        <v>62.70552</v>
      </c>
      <c r="P124" s="10" t="n">
        <f aca="false">O124*L124</f>
        <v>61702.23168</v>
      </c>
      <c r="Q124" s="5" t="s">
        <v>113</v>
      </c>
      <c r="R124" s="5" t="n">
        <v>0</v>
      </c>
      <c r="S124" s="5" t="n">
        <v>60</v>
      </c>
      <c r="T124" s="12" t="n">
        <f aca="false">(O124-M124)/M124</f>
        <v>0.0246</v>
      </c>
      <c r="U124" s="8" t="n">
        <f aca="false">IF(AND(K124&lt;=I124,R124=0),1,0)</f>
        <v>1</v>
      </c>
      <c r="V124" s="10" t="n">
        <f aca="false">IF(Q124="No",P124,0)</f>
        <v>0</v>
      </c>
    </row>
    <row r="125" customFormat="false" ht="15" hidden="false" customHeight="false" outlineLevel="0" collapsed="false">
      <c r="A125" s="5" t="s">
        <v>259</v>
      </c>
      <c r="B125" s="5" t="s">
        <v>68</v>
      </c>
      <c r="C125" s="7" t="n">
        <v>45892</v>
      </c>
      <c r="D125" s="8" t="str">
        <f aca="false">INDEX(Dim_Supplier!$C$2:$C$21,MATCH(B125,Dim_Supplier!$A$2:$A$21,0))</f>
        <v>MRO</v>
      </c>
      <c r="E125" s="8" t="str">
        <f aca="false">INDEX(Dim_Supplier!$B$2:$B$21,MATCH(B125,Dim_Supplier!$A$2:$A$21,0))</f>
        <v>Precision Tool &amp; Supply</v>
      </c>
      <c r="F125" s="5" t="s">
        <v>132</v>
      </c>
      <c r="G125" s="5" t="s">
        <v>120</v>
      </c>
      <c r="H125" s="8" t="n">
        <f aca="false">INDEX(Lookup_Tables!$B$2:$B$5,MATCH(D125,Lookup_Tables!$A$2:$A$5,0))</f>
        <v>10</v>
      </c>
      <c r="I125" s="9" t="n">
        <f aca="false">C125+H125</f>
        <v>45902</v>
      </c>
      <c r="J125" s="5" t="n">
        <v>-4</v>
      </c>
      <c r="K125" s="9" t="n">
        <f aca="false">I125+J125</f>
        <v>45898</v>
      </c>
      <c r="L125" s="5" t="n">
        <v>175</v>
      </c>
      <c r="M125" s="10" t="n">
        <f aca="false">INDEX(Dim_Supplier!$F$2:$F$21,MATCH(B125,Dim_Supplier!$A$2:$A$21,0))</f>
        <v>22.4</v>
      </c>
      <c r="N125" s="11" t="n">
        <v>-0.008</v>
      </c>
      <c r="O125" s="10" t="n">
        <f aca="false">M125*(1+N125)</f>
        <v>22.2208</v>
      </c>
      <c r="P125" s="10" t="n">
        <f aca="false">O125*L125</f>
        <v>3888.64</v>
      </c>
      <c r="Q125" s="5" t="s">
        <v>133</v>
      </c>
      <c r="R125" s="5" t="n">
        <v>0</v>
      </c>
      <c r="S125" s="5" t="n">
        <v>60</v>
      </c>
      <c r="T125" s="12" t="n">
        <f aca="false">(O125-M125)/M125</f>
        <v>-0.00800000000000007</v>
      </c>
      <c r="U125" s="8" t="n">
        <f aca="false">IF(AND(K125&lt;=I125,R125=0),1,0)</f>
        <v>1</v>
      </c>
      <c r="V125" s="10" t="n">
        <f aca="false">IF(Q125="No",P125,0)</f>
        <v>3888.64</v>
      </c>
    </row>
    <row r="126" customFormat="false" ht="15" hidden="false" customHeight="false" outlineLevel="0" collapsed="false">
      <c r="A126" s="5" t="s">
        <v>260</v>
      </c>
      <c r="B126" s="5" t="s">
        <v>41</v>
      </c>
      <c r="C126" s="7" t="n">
        <v>45586</v>
      </c>
      <c r="D126" s="8" t="str">
        <f aca="false">INDEX(Dim_Supplier!$C$2:$C$21,MATCH(B126,Dim_Supplier!$A$2:$A$21,0))</f>
        <v>Raw Materials</v>
      </c>
      <c r="E126" s="8" t="str">
        <f aca="false">INDEX(Dim_Supplier!$B$2:$B$21,MATCH(B126,Dim_Supplier!$A$2:$A$21,0))</f>
        <v>Ontario Steel Partners</v>
      </c>
      <c r="F126" s="5" t="s">
        <v>144</v>
      </c>
      <c r="G126" s="5" t="s">
        <v>120</v>
      </c>
      <c r="H126" s="8" t="n">
        <f aca="false">INDEX(Lookup_Tables!$B$2:$B$5,MATCH(D126,Lookup_Tables!$A$2:$A$5,0))</f>
        <v>21</v>
      </c>
      <c r="I126" s="9" t="n">
        <f aca="false">C126+H126</f>
        <v>45607</v>
      </c>
      <c r="J126" s="5" t="n">
        <v>-4</v>
      </c>
      <c r="K126" s="9" t="n">
        <f aca="false">I126+J126</f>
        <v>45603</v>
      </c>
      <c r="L126" s="5" t="n">
        <v>535</v>
      </c>
      <c r="M126" s="10" t="n">
        <f aca="false">INDEX(Dim_Supplier!$F$2:$F$21,MATCH(B126,Dim_Supplier!$A$2:$A$21,0))</f>
        <v>58</v>
      </c>
      <c r="N126" s="11" t="n">
        <v>0.0311</v>
      </c>
      <c r="O126" s="10" t="n">
        <f aca="false">M126*(1+N126)</f>
        <v>59.8038</v>
      </c>
      <c r="P126" s="10" t="n">
        <f aca="false">O126*L126</f>
        <v>31995.033</v>
      </c>
      <c r="Q126" s="5" t="s">
        <v>113</v>
      </c>
      <c r="R126" s="5" t="n">
        <v>0</v>
      </c>
      <c r="S126" s="5" t="n">
        <v>60</v>
      </c>
      <c r="T126" s="12" t="n">
        <f aca="false">(O126-M126)/M126</f>
        <v>0.0310999999999999</v>
      </c>
      <c r="U126" s="8" t="n">
        <f aca="false">IF(AND(K126&lt;=I126,R126=0),1,0)</f>
        <v>1</v>
      </c>
      <c r="V126" s="10" t="n">
        <f aca="false">IF(Q126="No",P126,0)</f>
        <v>0</v>
      </c>
    </row>
    <row r="127" customFormat="false" ht="15" hidden="false" customHeight="false" outlineLevel="0" collapsed="false">
      <c r="A127" s="5" t="s">
        <v>261</v>
      </c>
      <c r="B127" s="5" t="s">
        <v>57</v>
      </c>
      <c r="C127" s="7" t="n">
        <v>45861</v>
      </c>
      <c r="D127" s="8" t="str">
        <f aca="false">INDEX(Dim_Supplier!$C$2:$C$21,MATCH(B127,Dim_Supplier!$A$2:$A$21,0))</f>
        <v>Packaging</v>
      </c>
      <c r="E127" s="8" t="str">
        <f aca="false">INDEX(Dim_Supplier!$B$2:$B$21,MATCH(B127,Dim_Supplier!$A$2:$A$21,0))</f>
        <v>Great Lakes Packaging Co.</v>
      </c>
      <c r="F127" s="5" t="s">
        <v>119</v>
      </c>
      <c r="G127" s="5" t="s">
        <v>129</v>
      </c>
      <c r="H127" s="8" t="n">
        <f aca="false">INDEX(Lookup_Tables!$B$2:$B$5,MATCH(D127,Lookup_Tables!$A$2:$A$5,0))</f>
        <v>14</v>
      </c>
      <c r="I127" s="9" t="n">
        <f aca="false">C127+H127</f>
        <v>45875</v>
      </c>
      <c r="J127" s="5" t="n">
        <v>-3</v>
      </c>
      <c r="K127" s="9" t="n">
        <f aca="false">I127+J127</f>
        <v>45872</v>
      </c>
      <c r="L127" s="5" t="n">
        <v>4015</v>
      </c>
      <c r="M127" s="10" t="n">
        <f aca="false">INDEX(Dim_Supplier!$F$2:$F$21,MATCH(B127,Dim_Supplier!$A$2:$A$21,0))</f>
        <v>4.35</v>
      </c>
      <c r="N127" s="11" t="n">
        <v>-0.016</v>
      </c>
      <c r="O127" s="10" t="n">
        <f aca="false">M127*(1+N127)</f>
        <v>4.2804</v>
      </c>
      <c r="P127" s="10" t="n">
        <f aca="false">O127*L127</f>
        <v>17185.806</v>
      </c>
      <c r="Q127" s="5" t="s">
        <v>113</v>
      </c>
      <c r="R127" s="5" t="n">
        <v>0</v>
      </c>
      <c r="S127" s="5" t="n">
        <v>60</v>
      </c>
      <c r="T127" s="12" t="n">
        <f aca="false">(O127-M127)/M127</f>
        <v>-0.0160000000000001</v>
      </c>
      <c r="U127" s="8" t="n">
        <f aca="false">IF(AND(K127&lt;=I127,R127=0),1,0)</f>
        <v>1</v>
      </c>
      <c r="V127" s="10" t="n">
        <f aca="false">IF(Q127="No",P127,0)</f>
        <v>0</v>
      </c>
    </row>
    <row r="128" customFormat="false" ht="15" hidden="false" customHeight="false" outlineLevel="0" collapsed="false">
      <c r="A128" s="5" t="s">
        <v>262</v>
      </c>
      <c r="B128" s="5" t="s">
        <v>71</v>
      </c>
      <c r="C128" s="7" t="n">
        <v>45950</v>
      </c>
      <c r="D128" s="8" t="str">
        <f aca="false">INDEX(Dim_Supplier!$C$2:$C$21,MATCH(B128,Dim_Supplier!$A$2:$A$21,0))</f>
        <v>MRO</v>
      </c>
      <c r="E128" s="8" t="str">
        <f aca="false">INDEX(Dim_Supplier!$B$2:$B$21,MATCH(B128,Dim_Supplier!$A$2:$A$21,0))</f>
        <v>CanSafe Equipment Ltd.</v>
      </c>
      <c r="F128" s="5" t="s">
        <v>132</v>
      </c>
      <c r="G128" s="5" t="s">
        <v>129</v>
      </c>
      <c r="H128" s="8" t="n">
        <f aca="false">INDEX(Lookup_Tables!$B$2:$B$5,MATCH(D128,Lookup_Tables!$A$2:$A$5,0))</f>
        <v>10</v>
      </c>
      <c r="I128" s="9" t="n">
        <f aca="false">C128+H128</f>
        <v>45960</v>
      </c>
      <c r="J128" s="5" t="n">
        <v>-3</v>
      </c>
      <c r="K128" s="9" t="n">
        <f aca="false">I128+J128</f>
        <v>45957</v>
      </c>
      <c r="L128" s="5" t="n">
        <v>182</v>
      </c>
      <c r="M128" s="10" t="n">
        <f aca="false">INDEX(Dim_Supplier!$F$2:$F$21,MATCH(B128,Dim_Supplier!$A$2:$A$21,0))</f>
        <v>18.75</v>
      </c>
      <c r="N128" s="11" t="n">
        <v>0.0115</v>
      </c>
      <c r="O128" s="10" t="n">
        <f aca="false">M128*(1+N128)</f>
        <v>18.965625</v>
      </c>
      <c r="P128" s="10" t="n">
        <f aca="false">O128*L128</f>
        <v>3451.74375</v>
      </c>
      <c r="Q128" s="5" t="s">
        <v>113</v>
      </c>
      <c r="R128" s="5" t="n">
        <v>0</v>
      </c>
      <c r="S128" s="5" t="n">
        <v>45</v>
      </c>
      <c r="T128" s="12" t="n">
        <f aca="false">(O128-M128)/M128</f>
        <v>0.0115000000000002</v>
      </c>
      <c r="U128" s="8" t="n">
        <f aca="false">IF(AND(K128&lt;=I128,R128=0),1,0)</f>
        <v>1</v>
      </c>
      <c r="V128" s="10" t="n">
        <f aca="false">IF(Q128="No",P128,0)</f>
        <v>0</v>
      </c>
    </row>
    <row r="129" customFormat="false" ht="15" hidden="false" customHeight="false" outlineLevel="0" collapsed="false">
      <c r="A129" s="5" t="s">
        <v>263</v>
      </c>
      <c r="B129" s="5" t="s">
        <v>57</v>
      </c>
      <c r="C129" s="7" t="n">
        <v>45639</v>
      </c>
      <c r="D129" s="8" t="str">
        <f aca="false">INDEX(Dim_Supplier!$C$2:$C$21,MATCH(B129,Dim_Supplier!$A$2:$A$21,0))</f>
        <v>Packaging</v>
      </c>
      <c r="E129" s="8" t="str">
        <f aca="false">INDEX(Dim_Supplier!$B$2:$B$21,MATCH(B129,Dim_Supplier!$A$2:$A$21,0))</f>
        <v>Great Lakes Packaging Co.</v>
      </c>
      <c r="F129" s="5" t="s">
        <v>119</v>
      </c>
      <c r="G129" s="5" t="s">
        <v>129</v>
      </c>
      <c r="H129" s="8" t="n">
        <f aca="false">INDEX(Lookup_Tables!$B$2:$B$5,MATCH(D129,Lookup_Tables!$A$2:$A$5,0))</f>
        <v>14</v>
      </c>
      <c r="I129" s="9" t="n">
        <f aca="false">C129+H129</f>
        <v>45653</v>
      </c>
      <c r="J129" s="5" t="n">
        <v>-3</v>
      </c>
      <c r="K129" s="9" t="n">
        <f aca="false">I129+J129</f>
        <v>45650</v>
      </c>
      <c r="L129" s="5" t="n">
        <v>3783</v>
      </c>
      <c r="M129" s="10" t="n">
        <f aca="false">INDEX(Dim_Supplier!$F$2:$F$21,MATCH(B129,Dim_Supplier!$A$2:$A$21,0))</f>
        <v>4.35</v>
      </c>
      <c r="N129" s="11" t="n">
        <v>0.0201</v>
      </c>
      <c r="O129" s="10" t="n">
        <f aca="false">M129*(1+N129)</f>
        <v>4.437435</v>
      </c>
      <c r="P129" s="10" t="n">
        <f aca="false">O129*L129</f>
        <v>16786.816605</v>
      </c>
      <c r="Q129" s="5" t="s">
        <v>113</v>
      </c>
      <c r="R129" s="5" t="n">
        <v>0</v>
      </c>
      <c r="S129" s="5" t="n">
        <v>60</v>
      </c>
      <c r="T129" s="12" t="n">
        <f aca="false">(O129-M129)/M129</f>
        <v>0.0201</v>
      </c>
      <c r="U129" s="8" t="n">
        <f aca="false">IF(AND(K129&lt;=I129,R129=0),1,0)</f>
        <v>1</v>
      </c>
      <c r="V129" s="10" t="n">
        <f aca="false">IF(Q129="No",P129,0)</f>
        <v>0</v>
      </c>
    </row>
    <row r="130" customFormat="false" ht="15" hidden="false" customHeight="false" outlineLevel="0" collapsed="false">
      <c r="A130" s="5" t="s">
        <v>264</v>
      </c>
      <c r="B130" s="5" t="s">
        <v>46</v>
      </c>
      <c r="C130" s="7" t="n">
        <v>45835</v>
      </c>
      <c r="D130" s="8" t="str">
        <f aca="false">INDEX(Dim_Supplier!$C$2:$C$21,MATCH(B130,Dim_Supplier!$A$2:$A$21,0))</f>
        <v>Raw Materials</v>
      </c>
      <c r="E130" s="8" t="str">
        <f aca="false">INDEX(Dim_Supplier!$B$2:$B$21,MATCH(B130,Dim_Supplier!$A$2:$A$21,0))</f>
        <v>Niagara Alloy Supply</v>
      </c>
      <c r="F130" s="5" t="s">
        <v>115</v>
      </c>
      <c r="G130" s="5" t="s">
        <v>125</v>
      </c>
      <c r="H130" s="8" t="n">
        <f aca="false">INDEX(Lookup_Tables!$B$2:$B$5,MATCH(D130,Lookup_Tables!$A$2:$A$5,0))</f>
        <v>21</v>
      </c>
      <c r="I130" s="9" t="n">
        <f aca="false">C130+H130</f>
        <v>45856</v>
      </c>
      <c r="J130" s="5" t="n">
        <v>-3</v>
      </c>
      <c r="K130" s="9" t="n">
        <f aca="false">I130+J130</f>
        <v>45853</v>
      </c>
      <c r="L130" s="5" t="n">
        <v>857</v>
      </c>
      <c r="M130" s="10" t="n">
        <f aca="false">INDEX(Dim_Supplier!$F$2:$F$21,MATCH(B130,Dim_Supplier!$A$2:$A$21,0))</f>
        <v>46.5</v>
      </c>
      <c r="N130" s="11" t="n">
        <v>0.0388</v>
      </c>
      <c r="O130" s="10" t="n">
        <f aca="false">M130*(1+N130)</f>
        <v>48.3042</v>
      </c>
      <c r="P130" s="10" t="n">
        <f aca="false">O130*L130</f>
        <v>41396.6994</v>
      </c>
      <c r="Q130" s="5" t="s">
        <v>113</v>
      </c>
      <c r="R130" s="5" t="n">
        <v>0</v>
      </c>
      <c r="S130" s="5" t="n">
        <v>60</v>
      </c>
      <c r="T130" s="12" t="n">
        <f aca="false">(O130-M130)/M130</f>
        <v>0.0387999999999999</v>
      </c>
      <c r="U130" s="8" t="n">
        <f aca="false">IF(AND(K130&lt;=I130,R130=0),1,0)</f>
        <v>1</v>
      </c>
      <c r="V130" s="10" t="n">
        <f aca="false">IF(Q130="No",P130,0)</f>
        <v>0</v>
      </c>
    </row>
    <row r="131" customFormat="false" ht="15" hidden="false" customHeight="false" outlineLevel="0" collapsed="false">
      <c r="A131" s="5" t="s">
        <v>265</v>
      </c>
      <c r="B131" s="5" t="s">
        <v>71</v>
      </c>
      <c r="C131" s="7" t="n">
        <v>46196</v>
      </c>
      <c r="D131" s="8" t="str">
        <f aca="false">INDEX(Dim_Supplier!$C$2:$C$21,MATCH(B131,Dim_Supplier!$A$2:$A$21,0))</f>
        <v>MRO</v>
      </c>
      <c r="E131" s="8" t="str">
        <f aca="false">INDEX(Dim_Supplier!$B$2:$B$21,MATCH(B131,Dim_Supplier!$A$2:$A$21,0))</f>
        <v>CanSafe Equipment Ltd.</v>
      </c>
      <c r="F131" s="5" t="s">
        <v>127</v>
      </c>
      <c r="G131" s="5" t="s">
        <v>112</v>
      </c>
      <c r="H131" s="8" t="n">
        <f aca="false">INDEX(Lookup_Tables!$B$2:$B$5,MATCH(D131,Lookup_Tables!$A$2:$A$5,0))</f>
        <v>10</v>
      </c>
      <c r="I131" s="9" t="n">
        <f aca="false">C131+H131</f>
        <v>46206</v>
      </c>
      <c r="J131" s="5" t="n">
        <v>1</v>
      </c>
      <c r="K131" s="9" t="n">
        <f aca="false">I131+J131</f>
        <v>46207</v>
      </c>
      <c r="L131" s="5" t="n">
        <v>177</v>
      </c>
      <c r="M131" s="10" t="n">
        <f aca="false">INDEX(Dim_Supplier!$F$2:$F$21,MATCH(B131,Dim_Supplier!$A$2:$A$21,0))</f>
        <v>18.75</v>
      </c>
      <c r="N131" s="11" t="n">
        <v>0.0532</v>
      </c>
      <c r="O131" s="10" t="n">
        <f aca="false">M131*(1+N131)</f>
        <v>19.7475</v>
      </c>
      <c r="P131" s="10" t="n">
        <f aca="false">O131*L131</f>
        <v>3495.3075</v>
      </c>
      <c r="Q131" s="5" t="s">
        <v>113</v>
      </c>
      <c r="R131" s="5" t="n">
        <v>0</v>
      </c>
      <c r="S131" s="5" t="n">
        <v>30</v>
      </c>
      <c r="T131" s="12" t="n">
        <f aca="false">(O131-M131)/M131</f>
        <v>0.0531999999999999</v>
      </c>
      <c r="U131" s="8" t="n">
        <f aca="false">IF(AND(K131&lt;=I131,R131=0),1,0)</f>
        <v>0</v>
      </c>
      <c r="V131" s="10" t="n">
        <f aca="false">IF(Q131="No",P131,0)</f>
        <v>0</v>
      </c>
    </row>
    <row r="132" customFormat="false" ht="15" hidden="false" customHeight="false" outlineLevel="0" collapsed="false">
      <c r="A132" s="5" t="s">
        <v>266</v>
      </c>
      <c r="B132" s="5" t="s">
        <v>71</v>
      </c>
      <c r="C132" s="7" t="n">
        <v>45716</v>
      </c>
      <c r="D132" s="8" t="str">
        <f aca="false">INDEX(Dim_Supplier!$C$2:$C$21,MATCH(B132,Dim_Supplier!$A$2:$A$21,0))</f>
        <v>MRO</v>
      </c>
      <c r="E132" s="8" t="str">
        <f aca="false">INDEX(Dim_Supplier!$B$2:$B$21,MATCH(B132,Dim_Supplier!$A$2:$A$21,0))</f>
        <v>CanSafe Equipment Ltd.</v>
      </c>
      <c r="F132" s="5" t="s">
        <v>111</v>
      </c>
      <c r="G132" s="5" t="s">
        <v>112</v>
      </c>
      <c r="H132" s="8" t="n">
        <f aca="false">INDEX(Lookup_Tables!$B$2:$B$5,MATCH(D132,Lookup_Tables!$A$2:$A$5,0))</f>
        <v>10</v>
      </c>
      <c r="I132" s="9" t="n">
        <f aca="false">C132+H132</f>
        <v>45726</v>
      </c>
      <c r="J132" s="5" t="n">
        <v>-1</v>
      </c>
      <c r="K132" s="9" t="n">
        <f aca="false">I132+J132</f>
        <v>45725</v>
      </c>
      <c r="L132" s="5" t="n">
        <v>115</v>
      </c>
      <c r="M132" s="10" t="n">
        <f aca="false">INDEX(Dim_Supplier!$F$2:$F$21,MATCH(B132,Dim_Supplier!$A$2:$A$21,0))</f>
        <v>18.75</v>
      </c>
      <c r="N132" s="11" t="n">
        <v>0.0202</v>
      </c>
      <c r="O132" s="10" t="n">
        <f aca="false">M132*(1+N132)</f>
        <v>19.12875</v>
      </c>
      <c r="P132" s="10" t="n">
        <f aca="false">O132*L132</f>
        <v>2199.80625</v>
      </c>
      <c r="Q132" s="5" t="s">
        <v>113</v>
      </c>
      <c r="R132" s="5" t="n">
        <v>0</v>
      </c>
      <c r="S132" s="5" t="n">
        <v>45</v>
      </c>
      <c r="T132" s="12" t="n">
        <f aca="false">(O132-M132)/M132</f>
        <v>0.0202</v>
      </c>
      <c r="U132" s="8" t="n">
        <f aca="false">IF(AND(K132&lt;=I132,R132=0),1,0)</f>
        <v>1</v>
      </c>
      <c r="V132" s="10" t="n">
        <f aca="false">IF(Q132="No",P132,0)</f>
        <v>0</v>
      </c>
    </row>
    <row r="133" customFormat="false" ht="15" hidden="false" customHeight="false" outlineLevel="0" collapsed="false">
      <c r="A133" s="5" t="s">
        <v>267</v>
      </c>
      <c r="B133" s="5" t="s">
        <v>68</v>
      </c>
      <c r="C133" s="7" t="n">
        <v>45607</v>
      </c>
      <c r="D133" s="8" t="str">
        <f aca="false">INDEX(Dim_Supplier!$C$2:$C$21,MATCH(B133,Dim_Supplier!$A$2:$A$21,0))</f>
        <v>MRO</v>
      </c>
      <c r="E133" s="8" t="str">
        <f aca="false">INDEX(Dim_Supplier!$B$2:$B$21,MATCH(B133,Dim_Supplier!$A$2:$A$21,0))</f>
        <v>Precision Tool &amp; Supply</v>
      </c>
      <c r="F133" s="5" t="s">
        <v>127</v>
      </c>
      <c r="G133" s="5" t="s">
        <v>112</v>
      </c>
      <c r="H133" s="8" t="n">
        <f aca="false">INDEX(Lookup_Tables!$B$2:$B$5,MATCH(D133,Lookup_Tables!$A$2:$A$5,0))</f>
        <v>10</v>
      </c>
      <c r="I133" s="9" t="n">
        <f aca="false">C133+H133</f>
        <v>45617</v>
      </c>
      <c r="J133" s="5" t="n">
        <v>-4</v>
      </c>
      <c r="K133" s="9" t="n">
        <f aca="false">I133+J133</f>
        <v>45613</v>
      </c>
      <c r="L133" s="5" t="n">
        <v>6</v>
      </c>
      <c r="M133" s="10" t="n">
        <f aca="false">INDEX(Dim_Supplier!$F$2:$F$21,MATCH(B133,Dim_Supplier!$A$2:$A$21,0))</f>
        <v>22.4</v>
      </c>
      <c r="N133" s="11" t="n">
        <v>0.0265</v>
      </c>
      <c r="O133" s="10" t="n">
        <f aca="false">M133*(1+N133)</f>
        <v>22.9936</v>
      </c>
      <c r="P133" s="10" t="n">
        <f aca="false">O133*L133</f>
        <v>137.9616</v>
      </c>
      <c r="Q133" s="5" t="s">
        <v>113</v>
      </c>
      <c r="R133" s="5" t="n">
        <v>0</v>
      </c>
      <c r="S133" s="5" t="n">
        <v>45</v>
      </c>
      <c r="T133" s="12" t="n">
        <f aca="false">(O133-M133)/M133</f>
        <v>0.0264999999999999</v>
      </c>
      <c r="U133" s="8" t="n">
        <f aca="false">IF(AND(K133&lt;=I133,R133=0),1,0)</f>
        <v>1</v>
      </c>
      <c r="V133" s="10" t="n">
        <f aca="false">IF(Q133="No",P133,0)</f>
        <v>0</v>
      </c>
    </row>
    <row r="134" customFormat="false" ht="15" hidden="false" customHeight="false" outlineLevel="0" collapsed="false">
      <c r="A134" s="5" t="s">
        <v>268</v>
      </c>
      <c r="B134" s="5" t="s">
        <v>79</v>
      </c>
      <c r="C134" s="7" t="n">
        <v>45588</v>
      </c>
      <c r="D134" s="8" t="str">
        <f aca="false">INDEX(Dim_Supplier!$C$2:$C$21,MATCH(B134,Dim_Supplier!$A$2:$A$21,0))</f>
        <v>Logistics</v>
      </c>
      <c r="E134" s="8" t="str">
        <f aca="false">INDEX(Dim_Supplier!$B$2:$B$21,MATCH(B134,Dim_Supplier!$A$2:$A$21,0))</f>
        <v>Niagara Freight Solutions</v>
      </c>
      <c r="F134" s="5" t="s">
        <v>146</v>
      </c>
      <c r="G134" s="5" t="s">
        <v>129</v>
      </c>
      <c r="H134" s="8" t="n">
        <f aca="false">INDEX(Lookup_Tables!$B$2:$B$5,MATCH(D134,Lookup_Tables!$A$2:$A$5,0))</f>
        <v>5</v>
      </c>
      <c r="I134" s="9" t="n">
        <f aca="false">C134+H134</f>
        <v>45593</v>
      </c>
      <c r="J134" s="5" t="n">
        <v>1</v>
      </c>
      <c r="K134" s="9" t="n">
        <f aca="false">I134+J134</f>
        <v>45594</v>
      </c>
      <c r="L134" s="5" t="n">
        <v>12</v>
      </c>
      <c r="M134" s="10" t="n">
        <f aca="false">INDEX(Dim_Supplier!$F$2:$F$21,MATCH(B134,Dim_Supplier!$A$2:$A$21,0))</f>
        <v>340</v>
      </c>
      <c r="N134" s="11" t="n">
        <v>0.0116</v>
      </c>
      <c r="O134" s="10" t="n">
        <f aca="false">M134*(1+N134)</f>
        <v>343.944</v>
      </c>
      <c r="P134" s="10" t="n">
        <f aca="false">O134*L134</f>
        <v>4127.328</v>
      </c>
      <c r="Q134" s="5" t="s">
        <v>113</v>
      </c>
      <c r="R134" s="5" t="n">
        <v>0</v>
      </c>
      <c r="S134" s="5" t="n">
        <v>30</v>
      </c>
      <c r="T134" s="12" t="n">
        <f aca="false">(O134-M134)/M134</f>
        <v>0.0116000000000001</v>
      </c>
      <c r="U134" s="8" t="n">
        <f aca="false">IF(AND(K134&lt;=I134,R134=0),1,0)</f>
        <v>0</v>
      </c>
      <c r="V134" s="10" t="n">
        <f aca="false">IF(Q134="No",P134,0)</f>
        <v>0</v>
      </c>
    </row>
    <row r="135" customFormat="false" ht="15" hidden="false" customHeight="false" outlineLevel="0" collapsed="false">
      <c r="A135" s="5" t="s">
        <v>269</v>
      </c>
      <c r="B135" s="5" t="s">
        <v>68</v>
      </c>
      <c r="C135" s="7" t="n">
        <v>45976</v>
      </c>
      <c r="D135" s="8" t="str">
        <f aca="false">INDEX(Dim_Supplier!$C$2:$C$21,MATCH(B135,Dim_Supplier!$A$2:$A$21,0))</f>
        <v>MRO</v>
      </c>
      <c r="E135" s="8" t="str">
        <f aca="false">INDEX(Dim_Supplier!$B$2:$B$21,MATCH(B135,Dim_Supplier!$A$2:$A$21,0))</f>
        <v>Precision Tool &amp; Supply</v>
      </c>
      <c r="F135" s="5" t="s">
        <v>111</v>
      </c>
      <c r="G135" s="5" t="s">
        <v>129</v>
      </c>
      <c r="H135" s="8" t="n">
        <f aca="false">INDEX(Lookup_Tables!$B$2:$B$5,MATCH(D135,Lookup_Tables!$A$2:$A$5,0))</f>
        <v>10</v>
      </c>
      <c r="I135" s="9" t="n">
        <f aca="false">C135+H135</f>
        <v>45986</v>
      </c>
      <c r="J135" s="5" t="n">
        <v>-4</v>
      </c>
      <c r="K135" s="9" t="n">
        <f aca="false">I135+J135</f>
        <v>45982</v>
      </c>
      <c r="L135" s="5" t="n">
        <v>116</v>
      </c>
      <c r="M135" s="10" t="n">
        <f aca="false">INDEX(Dim_Supplier!$F$2:$F$21,MATCH(B135,Dim_Supplier!$A$2:$A$21,0))</f>
        <v>22.4</v>
      </c>
      <c r="N135" s="11" t="n">
        <v>0.0298</v>
      </c>
      <c r="O135" s="10" t="n">
        <f aca="false">M135*(1+N135)</f>
        <v>23.06752</v>
      </c>
      <c r="P135" s="10" t="n">
        <f aca="false">O135*L135</f>
        <v>2675.83232</v>
      </c>
      <c r="Q135" s="5" t="s">
        <v>113</v>
      </c>
      <c r="R135" s="5" t="n">
        <v>0</v>
      </c>
      <c r="S135" s="5" t="n">
        <v>60</v>
      </c>
      <c r="T135" s="12" t="n">
        <f aca="false">(O135-M135)/M135</f>
        <v>0.0298</v>
      </c>
      <c r="U135" s="8" t="n">
        <f aca="false">IF(AND(K135&lt;=I135,R135=0),1,0)</f>
        <v>1</v>
      </c>
      <c r="V135" s="10" t="n">
        <f aca="false">IF(Q135="No",P135,0)</f>
        <v>0</v>
      </c>
    </row>
    <row r="136" customFormat="false" ht="15" hidden="false" customHeight="false" outlineLevel="0" collapsed="false">
      <c r="A136" s="5" t="s">
        <v>270</v>
      </c>
      <c r="B136" s="5" t="s">
        <v>68</v>
      </c>
      <c r="C136" s="7" t="n">
        <v>45879</v>
      </c>
      <c r="D136" s="8" t="str">
        <f aca="false">INDEX(Dim_Supplier!$C$2:$C$21,MATCH(B136,Dim_Supplier!$A$2:$A$21,0))</f>
        <v>MRO</v>
      </c>
      <c r="E136" s="8" t="str">
        <f aca="false">INDEX(Dim_Supplier!$B$2:$B$21,MATCH(B136,Dim_Supplier!$A$2:$A$21,0))</f>
        <v>Precision Tool &amp; Supply</v>
      </c>
      <c r="F136" s="5" t="s">
        <v>179</v>
      </c>
      <c r="G136" s="5" t="s">
        <v>125</v>
      </c>
      <c r="H136" s="8" t="n">
        <f aca="false">INDEX(Lookup_Tables!$B$2:$B$5,MATCH(D136,Lookup_Tables!$A$2:$A$5,0))</f>
        <v>10</v>
      </c>
      <c r="I136" s="9" t="n">
        <f aca="false">C136+H136</f>
        <v>45889</v>
      </c>
      <c r="J136" s="5" t="n">
        <v>-4</v>
      </c>
      <c r="K136" s="9" t="n">
        <f aca="false">I136+J136</f>
        <v>45885</v>
      </c>
      <c r="L136" s="5" t="n">
        <v>88</v>
      </c>
      <c r="M136" s="10" t="n">
        <f aca="false">INDEX(Dim_Supplier!$F$2:$F$21,MATCH(B136,Dim_Supplier!$A$2:$A$21,0))</f>
        <v>22.4</v>
      </c>
      <c r="N136" s="11" t="n">
        <v>0.0298</v>
      </c>
      <c r="O136" s="10" t="n">
        <f aca="false">M136*(1+N136)</f>
        <v>23.06752</v>
      </c>
      <c r="P136" s="10" t="n">
        <f aca="false">O136*L136</f>
        <v>2029.94176</v>
      </c>
      <c r="Q136" s="5" t="s">
        <v>113</v>
      </c>
      <c r="R136" s="5" t="n">
        <v>0</v>
      </c>
      <c r="S136" s="5" t="n">
        <v>30</v>
      </c>
      <c r="T136" s="12" t="n">
        <f aca="false">(O136-M136)/M136</f>
        <v>0.0298</v>
      </c>
      <c r="U136" s="8" t="n">
        <f aca="false">IF(AND(K136&lt;=I136,R136=0),1,0)</f>
        <v>1</v>
      </c>
      <c r="V136" s="10" t="n">
        <f aca="false">IF(Q136="No",P136,0)</f>
        <v>0</v>
      </c>
    </row>
    <row r="137" customFormat="false" ht="15" hidden="false" customHeight="false" outlineLevel="0" collapsed="false">
      <c r="A137" s="5" t="s">
        <v>271</v>
      </c>
      <c r="B137" s="5" t="s">
        <v>75</v>
      </c>
      <c r="C137" s="7" t="n">
        <v>45662</v>
      </c>
      <c r="D137" s="8" t="str">
        <f aca="false">INDEX(Dim_Supplier!$C$2:$C$21,MATCH(B137,Dim_Supplier!$A$2:$A$21,0))</f>
        <v>MRO</v>
      </c>
      <c r="E137" s="8" t="str">
        <f aca="false">INDEX(Dim_Supplier!$B$2:$B$21,MATCH(B137,Dim_Supplier!$A$2:$A$21,0))</f>
        <v>Sterling Lubricants Inc.</v>
      </c>
      <c r="F137" s="5" t="s">
        <v>127</v>
      </c>
      <c r="G137" s="5" t="s">
        <v>125</v>
      </c>
      <c r="H137" s="8" t="n">
        <f aca="false">INDEX(Lookup_Tables!$B$2:$B$5,MATCH(D137,Lookup_Tables!$A$2:$A$5,0))</f>
        <v>10</v>
      </c>
      <c r="I137" s="9" t="n">
        <f aca="false">C137+H137</f>
        <v>45672</v>
      </c>
      <c r="J137" s="5" t="n">
        <v>-2</v>
      </c>
      <c r="K137" s="9" t="n">
        <f aca="false">I137+J137</f>
        <v>45670</v>
      </c>
      <c r="L137" s="5" t="n">
        <v>155</v>
      </c>
      <c r="M137" s="10" t="n">
        <f aca="false">INDEX(Dim_Supplier!$F$2:$F$21,MATCH(B137,Dim_Supplier!$A$2:$A$21,0))</f>
        <v>27.1</v>
      </c>
      <c r="N137" s="11" t="n">
        <v>0.0076</v>
      </c>
      <c r="O137" s="10" t="n">
        <f aca="false">M137*(1+N137)</f>
        <v>27.30596</v>
      </c>
      <c r="P137" s="10" t="n">
        <f aca="false">O137*L137</f>
        <v>4232.4238</v>
      </c>
      <c r="Q137" s="5" t="s">
        <v>113</v>
      </c>
      <c r="R137" s="5" t="n">
        <v>0</v>
      </c>
      <c r="S137" s="5" t="n">
        <v>60</v>
      </c>
      <c r="T137" s="12" t="n">
        <f aca="false">(O137-M137)/M137</f>
        <v>0.00760000000000004</v>
      </c>
      <c r="U137" s="8" t="n">
        <f aca="false">IF(AND(K137&lt;=I137,R137=0),1,0)</f>
        <v>1</v>
      </c>
      <c r="V137" s="10" t="n">
        <f aca="false">IF(Q137="No",P137,0)</f>
        <v>0</v>
      </c>
    </row>
    <row r="138" customFormat="false" ht="15" hidden="false" customHeight="false" outlineLevel="0" collapsed="false">
      <c r="A138" s="5" t="s">
        <v>272</v>
      </c>
      <c r="B138" s="5" t="s">
        <v>77</v>
      </c>
      <c r="C138" s="7" t="n">
        <v>45518</v>
      </c>
      <c r="D138" s="8" t="str">
        <f aca="false">INDEX(Dim_Supplier!$C$2:$C$21,MATCH(B138,Dim_Supplier!$A$2:$A$21,0))</f>
        <v>MRO</v>
      </c>
      <c r="E138" s="8" t="str">
        <f aca="false">INDEX(Dim_Supplier!$B$2:$B$21,MATCH(B138,Dim_Supplier!$A$2:$A$21,0))</f>
        <v>Apex Industrial Supply</v>
      </c>
      <c r="F138" s="5" t="s">
        <v>111</v>
      </c>
      <c r="G138" s="5" t="s">
        <v>112</v>
      </c>
      <c r="H138" s="8" t="n">
        <f aca="false">INDEX(Lookup_Tables!$B$2:$B$5,MATCH(D138,Lookup_Tables!$A$2:$A$5,0))</f>
        <v>10</v>
      </c>
      <c r="I138" s="9" t="n">
        <f aca="false">C138+H138</f>
        <v>45528</v>
      </c>
      <c r="J138" s="5" t="n">
        <v>2</v>
      </c>
      <c r="K138" s="9" t="n">
        <f aca="false">I138+J138</f>
        <v>45530</v>
      </c>
      <c r="L138" s="5" t="n">
        <v>140</v>
      </c>
      <c r="M138" s="10" t="n">
        <f aca="false">INDEX(Dim_Supplier!$F$2:$F$21,MATCH(B138,Dim_Supplier!$A$2:$A$21,0))</f>
        <v>24.6</v>
      </c>
      <c r="N138" s="11" t="n">
        <v>0.0631</v>
      </c>
      <c r="O138" s="10" t="n">
        <f aca="false">M138*(1+N138)</f>
        <v>26.15226</v>
      </c>
      <c r="P138" s="10" t="n">
        <f aca="false">O138*L138</f>
        <v>3661.3164</v>
      </c>
      <c r="Q138" s="5" t="s">
        <v>113</v>
      </c>
      <c r="R138" s="5" t="n">
        <v>0</v>
      </c>
      <c r="S138" s="5" t="n">
        <v>30</v>
      </c>
      <c r="T138" s="12" t="n">
        <f aca="false">(O138-M138)/M138</f>
        <v>0.0630999999999999</v>
      </c>
      <c r="U138" s="8" t="n">
        <f aca="false">IF(AND(K138&lt;=I138,R138=0),1,0)</f>
        <v>0</v>
      </c>
      <c r="V138" s="10" t="n">
        <f aca="false">IF(Q138="No",P138,0)</f>
        <v>0</v>
      </c>
    </row>
    <row r="139" customFormat="false" ht="15" hidden="false" customHeight="false" outlineLevel="0" collapsed="false">
      <c r="A139" s="5" t="s">
        <v>273</v>
      </c>
      <c r="B139" s="5" t="s">
        <v>77</v>
      </c>
      <c r="C139" s="7" t="n">
        <v>46130</v>
      </c>
      <c r="D139" s="8" t="str">
        <f aca="false">INDEX(Dim_Supplier!$C$2:$C$21,MATCH(B139,Dim_Supplier!$A$2:$A$21,0))</f>
        <v>MRO</v>
      </c>
      <c r="E139" s="8" t="str">
        <f aca="false">INDEX(Dim_Supplier!$B$2:$B$21,MATCH(B139,Dim_Supplier!$A$2:$A$21,0))</f>
        <v>Apex Industrial Supply</v>
      </c>
      <c r="F139" s="5" t="s">
        <v>164</v>
      </c>
      <c r="G139" s="5" t="s">
        <v>112</v>
      </c>
      <c r="H139" s="8" t="n">
        <f aca="false">INDEX(Lookup_Tables!$B$2:$B$5,MATCH(D139,Lookup_Tables!$A$2:$A$5,0))</f>
        <v>10</v>
      </c>
      <c r="I139" s="9" t="n">
        <f aca="false">C139+H139</f>
        <v>46140</v>
      </c>
      <c r="J139" s="5" t="n">
        <v>0</v>
      </c>
      <c r="K139" s="9" t="n">
        <f aca="false">I139+J139</f>
        <v>46140</v>
      </c>
      <c r="L139" s="5" t="n">
        <v>49</v>
      </c>
      <c r="M139" s="10" t="n">
        <f aca="false">INDEX(Dim_Supplier!$F$2:$F$21,MATCH(B139,Dim_Supplier!$A$2:$A$21,0))</f>
        <v>24.6</v>
      </c>
      <c r="N139" s="11" t="n">
        <v>0.0593</v>
      </c>
      <c r="O139" s="10" t="n">
        <f aca="false">M139*(1+N139)</f>
        <v>26.05878</v>
      </c>
      <c r="P139" s="10" t="n">
        <f aca="false">O139*L139</f>
        <v>1276.88022</v>
      </c>
      <c r="Q139" s="5" t="s">
        <v>113</v>
      </c>
      <c r="R139" s="5" t="n">
        <v>0</v>
      </c>
      <c r="S139" s="5" t="n">
        <v>45</v>
      </c>
      <c r="T139" s="12" t="n">
        <f aca="false">(O139-M139)/M139</f>
        <v>0.0592999999999999</v>
      </c>
      <c r="U139" s="8" t="n">
        <f aca="false">IF(AND(K139&lt;=I139,R139=0),1,0)</f>
        <v>1</v>
      </c>
      <c r="V139" s="10" t="n">
        <f aca="false">IF(Q139="No",P139,0)</f>
        <v>0</v>
      </c>
    </row>
    <row r="140" customFormat="false" ht="15" hidden="false" customHeight="false" outlineLevel="0" collapsed="false">
      <c r="A140" s="5" t="s">
        <v>274</v>
      </c>
      <c r="B140" s="5" t="s">
        <v>49</v>
      </c>
      <c r="C140" s="7" t="n">
        <v>46083</v>
      </c>
      <c r="D140" s="8" t="str">
        <f aca="false">INDEX(Dim_Supplier!$C$2:$C$21,MATCH(B140,Dim_Supplier!$A$2:$A$21,0))</f>
        <v>Raw Materials</v>
      </c>
      <c r="E140" s="8" t="str">
        <f aca="false">INDEX(Dim_Supplier!$B$2:$B$21,MATCH(B140,Dim_Supplier!$A$2:$A$21,0))</f>
        <v>Great Lakes Polymer Co.</v>
      </c>
      <c r="F140" s="5" t="s">
        <v>142</v>
      </c>
      <c r="G140" s="5" t="s">
        <v>125</v>
      </c>
      <c r="H140" s="8" t="n">
        <f aca="false">INDEX(Lookup_Tables!$B$2:$B$5,MATCH(D140,Lookup_Tables!$A$2:$A$5,0))</f>
        <v>21</v>
      </c>
      <c r="I140" s="9" t="n">
        <f aca="false">C140+H140</f>
        <v>46104</v>
      </c>
      <c r="J140" s="5" t="n">
        <v>4</v>
      </c>
      <c r="K140" s="9" t="n">
        <f aca="false">I140+J140</f>
        <v>46108</v>
      </c>
      <c r="L140" s="5" t="n">
        <v>1019</v>
      </c>
      <c r="M140" s="10" t="n">
        <f aca="false">INDEX(Dim_Supplier!$F$2:$F$21,MATCH(B140,Dim_Supplier!$A$2:$A$21,0))</f>
        <v>32.75</v>
      </c>
      <c r="N140" s="11" t="n">
        <v>0.0862</v>
      </c>
      <c r="O140" s="10" t="n">
        <f aca="false">M140*(1+N140)</f>
        <v>35.57305</v>
      </c>
      <c r="P140" s="10" t="n">
        <f aca="false">O140*L140</f>
        <v>36248.93795</v>
      </c>
      <c r="Q140" s="5" t="s">
        <v>133</v>
      </c>
      <c r="R140" s="5" t="n">
        <v>0</v>
      </c>
      <c r="S140" s="5" t="n">
        <v>45</v>
      </c>
      <c r="T140" s="12" t="n">
        <f aca="false">(O140-M140)/M140</f>
        <v>0.0862000000000001</v>
      </c>
      <c r="U140" s="8" t="n">
        <f aca="false">IF(AND(K140&lt;=I140,R140=0),1,0)</f>
        <v>0</v>
      </c>
      <c r="V140" s="10" t="n">
        <f aca="false">IF(Q140="No",P140,0)</f>
        <v>36248.93795</v>
      </c>
    </row>
    <row r="141" customFormat="false" ht="15" hidden="false" customHeight="false" outlineLevel="0" collapsed="false">
      <c r="A141" s="5" t="s">
        <v>275</v>
      </c>
      <c r="B141" s="5" t="s">
        <v>88</v>
      </c>
      <c r="C141" s="7" t="n">
        <v>45622</v>
      </c>
      <c r="D141" s="8" t="str">
        <f aca="false">INDEX(Dim_Supplier!$C$2:$C$21,MATCH(B141,Dim_Supplier!$A$2:$A$21,0))</f>
        <v>Logistics</v>
      </c>
      <c r="E141" s="8" t="str">
        <f aca="false">INDEX(Dim_Supplier!$B$2:$B$21,MATCH(B141,Dim_Supplier!$A$2:$A$21,0))</f>
        <v>Summit Last-Mile Delivery</v>
      </c>
      <c r="F141" s="5" t="s">
        <v>146</v>
      </c>
      <c r="G141" s="5" t="s">
        <v>112</v>
      </c>
      <c r="H141" s="8" t="n">
        <f aca="false">INDEX(Lookup_Tables!$B$2:$B$5,MATCH(D141,Lookup_Tables!$A$2:$A$5,0))</f>
        <v>5</v>
      </c>
      <c r="I141" s="9" t="n">
        <f aca="false">C141+H141</f>
        <v>45627</v>
      </c>
      <c r="J141" s="5" t="n">
        <v>-3</v>
      </c>
      <c r="K141" s="9" t="n">
        <f aca="false">I141+J141</f>
        <v>45624</v>
      </c>
      <c r="L141" s="5" t="n">
        <v>41</v>
      </c>
      <c r="M141" s="10" t="n">
        <f aca="false">INDEX(Dim_Supplier!$F$2:$F$21,MATCH(B141,Dim_Supplier!$A$2:$A$21,0))</f>
        <v>95</v>
      </c>
      <c r="N141" s="11" t="n">
        <v>0.0483</v>
      </c>
      <c r="O141" s="10" t="n">
        <f aca="false">M141*(1+N141)</f>
        <v>99.5885</v>
      </c>
      <c r="P141" s="10" t="n">
        <f aca="false">O141*L141</f>
        <v>4083.1285</v>
      </c>
      <c r="Q141" s="5" t="s">
        <v>113</v>
      </c>
      <c r="R141" s="5" t="n">
        <v>0</v>
      </c>
      <c r="S141" s="5" t="n">
        <v>30</v>
      </c>
      <c r="T141" s="12" t="n">
        <f aca="false">(O141-M141)/M141</f>
        <v>0.0483</v>
      </c>
      <c r="U141" s="8" t="n">
        <f aca="false">IF(AND(K141&lt;=I141,R141=0),1,0)</f>
        <v>1</v>
      </c>
      <c r="V141" s="10" t="n">
        <f aca="false">IF(Q141="No",P141,0)</f>
        <v>0</v>
      </c>
    </row>
    <row r="142" customFormat="false" ht="15" hidden="false" customHeight="false" outlineLevel="0" collapsed="false">
      <c r="A142" s="5" t="s">
        <v>276</v>
      </c>
      <c r="B142" s="5" t="s">
        <v>66</v>
      </c>
      <c r="C142" s="7" t="n">
        <v>45609</v>
      </c>
      <c r="D142" s="8" t="str">
        <f aca="false">INDEX(Dim_Supplier!$C$2:$C$21,MATCH(B142,Dim_Supplier!$A$2:$A$21,0))</f>
        <v>Packaging</v>
      </c>
      <c r="E142" s="8" t="str">
        <f aca="false">INDEX(Dim_Supplier!$B$2:$B$21,MATCH(B142,Dim_Supplier!$A$2:$A$21,0))</f>
        <v>EverGreen Wrap Industries</v>
      </c>
      <c r="F142" s="5" t="s">
        <v>137</v>
      </c>
      <c r="G142" s="5" t="s">
        <v>125</v>
      </c>
      <c r="H142" s="8" t="n">
        <f aca="false">INDEX(Lookup_Tables!$B$2:$B$5,MATCH(D142,Lookup_Tables!$A$2:$A$5,0))</f>
        <v>14</v>
      </c>
      <c r="I142" s="9" t="n">
        <f aca="false">C142+H142</f>
        <v>45623</v>
      </c>
      <c r="J142" s="5" t="n">
        <v>1</v>
      </c>
      <c r="K142" s="9" t="n">
        <f aca="false">I142+J142</f>
        <v>45624</v>
      </c>
      <c r="L142" s="5" t="n">
        <v>2851</v>
      </c>
      <c r="M142" s="10" t="n">
        <f aca="false">INDEX(Dim_Supplier!$F$2:$F$21,MATCH(B142,Dim_Supplier!$A$2:$A$21,0))</f>
        <v>6.8</v>
      </c>
      <c r="N142" s="11" t="n">
        <v>0.0645</v>
      </c>
      <c r="O142" s="10" t="n">
        <f aca="false">M142*(1+N142)</f>
        <v>7.2386</v>
      </c>
      <c r="P142" s="10" t="n">
        <f aca="false">O142*L142</f>
        <v>20637.2486</v>
      </c>
      <c r="Q142" s="5" t="s">
        <v>113</v>
      </c>
      <c r="R142" s="5" t="n">
        <v>0</v>
      </c>
      <c r="S142" s="5" t="n">
        <v>60</v>
      </c>
      <c r="T142" s="12" t="n">
        <f aca="false">(O142-M142)/M142</f>
        <v>0.0645</v>
      </c>
      <c r="U142" s="8" t="n">
        <f aca="false">IF(AND(K142&lt;=I142,R142=0),1,0)</f>
        <v>0</v>
      </c>
      <c r="V142" s="10" t="n">
        <f aca="false">IF(Q142="No",P142,0)</f>
        <v>0</v>
      </c>
    </row>
    <row r="143" customFormat="false" ht="15" hidden="false" customHeight="false" outlineLevel="0" collapsed="false">
      <c r="A143" s="5" t="s">
        <v>277</v>
      </c>
      <c r="B143" s="5" t="s">
        <v>71</v>
      </c>
      <c r="C143" s="7" t="n">
        <v>45811</v>
      </c>
      <c r="D143" s="8" t="str">
        <f aca="false">INDEX(Dim_Supplier!$C$2:$C$21,MATCH(B143,Dim_Supplier!$A$2:$A$21,0))</f>
        <v>MRO</v>
      </c>
      <c r="E143" s="8" t="str">
        <f aca="false">INDEX(Dim_Supplier!$B$2:$B$21,MATCH(B143,Dim_Supplier!$A$2:$A$21,0))</f>
        <v>CanSafe Equipment Ltd.</v>
      </c>
      <c r="F143" s="5" t="s">
        <v>179</v>
      </c>
      <c r="G143" s="5" t="s">
        <v>125</v>
      </c>
      <c r="H143" s="8" t="n">
        <f aca="false">INDEX(Lookup_Tables!$B$2:$B$5,MATCH(D143,Lookup_Tables!$A$2:$A$5,0))</f>
        <v>10</v>
      </c>
      <c r="I143" s="9" t="n">
        <f aca="false">C143+H143</f>
        <v>45821</v>
      </c>
      <c r="J143" s="5" t="n">
        <v>-4</v>
      </c>
      <c r="K143" s="9" t="n">
        <f aca="false">I143+J143</f>
        <v>45817</v>
      </c>
      <c r="L143" s="5" t="n">
        <v>194</v>
      </c>
      <c r="M143" s="10" t="n">
        <f aca="false">INDEX(Dim_Supplier!$F$2:$F$21,MATCH(B143,Dim_Supplier!$A$2:$A$21,0))</f>
        <v>18.75</v>
      </c>
      <c r="N143" s="11" t="n">
        <v>0.006</v>
      </c>
      <c r="O143" s="10" t="n">
        <f aca="false">M143*(1+N143)</f>
        <v>18.8625</v>
      </c>
      <c r="P143" s="10" t="n">
        <f aca="false">O143*L143</f>
        <v>3659.325</v>
      </c>
      <c r="Q143" s="5" t="s">
        <v>133</v>
      </c>
      <c r="R143" s="5" t="n">
        <v>0</v>
      </c>
      <c r="S143" s="5" t="n">
        <v>60</v>
      </c>
      <c r="T143" s="12" t="n">
        <f aca="false">(O143-M143)/M143</f>
        <v>0.00600000000000004</v>
      </c>
      <c r="U143" s="8" t="n">
        <f aca="false">IF(AND(K143&lt;=I143,R143=0),1,0)</f>
        <v>1</v>
      </c>
      <c r="V143" s="10" t="n">
        <f aca="false">IF(Q143="No",P143,0)</f>
        <v>3659.325</v>
      </c>
    </row>
    <row r="144" customFormat="false" ht="15" hidden="false" customHeight="false" outlineLevel="0" collapsed="false">
      <c r="A144" s="5" t="s">
        <v>278</v>
      </c>
      <c r="B144" s="5" t="s">
        <v>73</v>
      </c>
      <c r="C144" s="7" t="n">
        <v>45621</v>
      </c>
      <c r="D144" s="8" t="str">
        <f aca="false">INDEX(Dim_Supplier!$C$2:$C$21,MATCH(B144,Dim_Supplier!$A$2:$A$21,0))</f>
        <v>MRO</v>
      </c>
      <c r="E144" s="8" t="str">
        <f aca="false">INDEX(Dim_Supplier!$B$2:$B$21,MATCH(B144,Dim_Supplier!$A$2:$A$21,0))</f>
        <v>Frontier MRO Solutions</v>
      </c>
      <c r="F144" s="5" t="s">
        <v>132</v>
      </c>
      <c r="G144" s="5" t="s">
        <v>125</v>
      </c>
      <c r="H144" s="8" t="n">
        <f aca="false">INDEX(Lookup_Tables!$B$2:$B$5,MATCH(D144,Lookup_Tables!$A$2:$A$5,0))</f>
        <v>10</v>
      </c>
      <c r="I144" s="9" t="n">
        <f aca="false">C144+H144</f>
        <v>45631</v>
      </c>
      <c r="J144" s="5" t="n">
        <v>0</v>
      </c>
      <c r="K144" s="9" t="n">
        <f aca="false">I144+J144</f>
        <v>45631</v>
      </c>
      <c r="L144" s="5" t="n">
        <v>120</v>
      </c>
      <c r="M144" s="10" t="n">
        <f aca="false">INDEX(Dim_Supplier!$F$2:$F$21,MATCH(B144,Dim_Supplier!$A$2:$A$21,0))</f>
        <v>15.9</v>
      </c>
      <c r="N144" s="11" t="n">
        <v>0.1496</v>
      </c>
      <c r="O144" s="10" t="n">
        <f aca="false">M144*(1+N144)</f>
        <v>18.27864</v>
      </c>
      <c r="P144" s="10" t="n">
        <f aca="false">O144*L144</f>
        <v>2193.4368</v>
      </c>
      <c r="Q144" s="5" t="s">
        <v>113</v>
      </c>
      <c r="R144" s="5" t="n">
        <v>0</v>
      </c>
      <c r="S144" s="5" t="n">
        <v>30</v>
      </c>
      <c r="T144" s="12" t="n">
        <f aca="false">(O144-M144)/M144</f>
        <v>0.1496</v>
      </c>
      <c r="U144" s="8" t="n">
        <f aca="false">IF(AND(K144&lt;=I144,R144=0),1,0)</f>
        <v>1</v>
      </c>
      <c r="V144" s="10" t="n">
        <f aca="false">IF(Q144="No",P144,0)</f>
        <v>0</v>
      </c>
    </row>
    <row r="145" customFormat="false" ht="15" hidden="false" customHeight="false" outlineLevel="0" collapsed="false">
      <c r="A145" s="5" t="s">
        <v>279</v>
      </c>
      <c r="B145" s="5" t="s">
        <v>75</v>
      </c>
      <c r="C145" s="7" t="n">
        <v>45808</v>
      </c>
      <c r="D145" s="8" t="str">
        <f aca="false">INDEX(Dim_Supplier!$C$2:$C$21,MATCH(B145,Dim_Supplier!$A$2:$A$21,0))</f>
        <v>MRO</v>
      </c>
      <c r="E145" s="8" t="str">
        <f aca="false">INDEX(Dim_Supplier!$B$2:$B$21,MATCH(B145,Dim_Supplier!$A$2:$A$21,0))</f>
        <v>Sterling Lubricants Inc.</v>
      </c>
      <c r="F145" s="5" t="s">
        <v>164</v>
      </c>
      <c r="G145" s="5" t="s">
        <v>129</v>
      </c>
      <c r="H145" s="8" t="n">
        <f aca="false">INDEX(Lookup_Tables!$B$2:$B$5,MATCH(D145,Lookup_Tables!$A$2:$A$5,0))</f>
        <v>10</v>
      </c>
      <c r="I145" s="9" t="n">
        <f aca="false">C145+H145</f>
        <v>45818</v>
      </c>
      <c r="J145" s="5" t="n">
        <v>-3</v>
      </c>
      <c r="K145" s="9" t="n">
        <f aca="false">I145+J145</f>
        <v>45815</v>
      </c>
      <c r="L145" s="5" t="n">
        <v>117</v>
      </c>
      <c r="M145" s="10" t="n">
        <f aca="false">INDEX(Dim_Supplier!$F$2:$F$21,MATCH(B145,Dim_Supplier!$A$2:$A$21,0))</f>
        <v>27.1</v>
      </c>
      <c r="N145" s="11" t="n">
        <v>0.0415</v>
      </c>
      <c r="O145" s="10" t="n">
        <f aca="false">M145*(1+N145)</f>
        <v>28.22465</v>
      </c>
      <c r="P145" s="10" t="n">
        <f aca="false">O145*L145</f>
        <v>3302.28405</v>
      </c>
      <c r="Q145" s="5" t="s">
        <v>113</v>
      </c>
      <c r="R145" s="5" t="n">
        <v>0</v>
      </c>
      <c r="S145" s="5" t="n">
        <v>30</v>
      </c>
      <c r="T145" s="12" t="n">
        <f aca="false">(O145-M145)/M145</f>
        <v>0.0415000000000001</v>
      </c>
      <c r="U145" s="8" t="n">
        <f aca="false">IF(AND(K145&lt;=I145,R145=0),1,0)</f>
        <v>1</v>
      </c>
      <c r="V145" s="10" t="n">
        <f aca="false">IF(Q145="No",P145,0)</f>
        <v>0</v>
      </c>
    </row>
    <row r="146" customFormat="false" ht="15" hidden="false" customHeight="false" outlineLevel="0" collapsed="false">
      <c r="A146" s="5" t="s">
        <v>280</v>
      </c>
      <c r="B146" s="5" t="s">
        <v>86</v>
      </c>
      <c r="C146" s="7" t="n">
        <v>45688</v>
      </c>
      <c r="D146" s="8" t="str">
        <f aca="false">INDEX(Dim_Supplier!$C$2:$C$21,MATCH(B146,Dim_Supplier!$A$2:$A$21,0))</f>
        <v>Logistics</v>
      </c>
      <c r="E146" s="8" t="str">
        <f aca="false">INDEX(Dim_Supplier!$B$2:$B$21,MATCH(B146,Dim_Supplier!$A$2:$A$21,0))</f>
        <v>Blue Water Customs Brokerage</v>
      </c>
      <c r="F146" s="5" t="s">
        <v>237</v>
      </c>
      <c r="G146" s="5" t="s">
        <v>120</v>
      </c>
      <c r="H146" s="8" t="n">
        <f aca="false">INDEX(Lookup_Tables!$B$2:$B$5,MATCH(D146,Lookup_Tables!$A$2:$A$5,0))</f>
        <v>5</v>
      </c>
      <c r="I146" s="9" t="n">
        <f aca="false">C146+H146</f>
        <v>45693</v>
      </c>
      <c r="J146" s="5" t="n">
        <v>-2</v>
      </c>
      <c r="K146" s="9" t="n">
        <f aca="false">I146+J146</f>
        <v>45691</v>
      </c>
      <c r="L146" s="5" t="n">
        <v>41</v>
      </c>
      <c r="M146" s="10" t="n">
        <f aca="false">INDEX(Dim_Supplier!$F$2:$F$21,MATCH(B146,Dim_Supplier!$A$2:$A$21,0))</f>
        <v>175</v>
      </c>
      <c r="N146" s="11" t="n">
        <v>0.0041</v>
      </c>
      <c r="O146" s="10" t="n">
        <f aca="false">M146*(1+N146)</f>
        <v>175.7175</v>
      </c>
      <c r="P146" s="10" t="n">
        <f aca="false">O146*L146</f>
        <v>7204.4175</v>
      </c>
      <c r="Q146" s="5" t="s">
        <v>113</v>
      </c>
      <c r="R146" s="5" t="n">
        <v>0</v>
      </c>
      <c r="S146" s="5" t="n">
        <v>30</v>
      </c>
      <c r="T146" s="12" t="n">
        <f aca="false">(O146-M146)/M146</f>
        <v>0.00410000000000001</v>
      </c>
      <c r="U146" s="8" t="n">
        <f aca="false">IF(AND(K146&lt;=I146,R146=0),1,0)</f>
        <v>1</v>
      </c>
      <c r="V146" s="10" t="n">
        <f aca="false">IF(Q146="No",P146,0)</f>
        <v>0</v>
      </c>
    </row>
    <row r="147" customFormat="false" ht="15" hidden="false" customHeight="false" outlineLevel="0" collapsed="false">
      <c r="A147" s="5" t="s">
        <v>281</v>
      </c>
      <c r="B147" s="5" t="s">
        <v>75</v>
      </c>
      <c r="C147" s="7" t="n">
        <v>45582</v>
      </c>
      <c r="D147" s="8" t="str">
        <f aca="false">INDEX(Dim_Supplier!$C$2:$C$21,MATCH(B147,Dim_Supplier!$A$2:$A$21,0))</f>
        <v>MRO</v>
      </c>
      <c r="E147" s="8" t="str">
        <f aca="false">INDEX(Dim_Supplier!$B$2:$B$21,MATCH(B147,Dim_Supplier!$A$2:$A$21,0))</f>
        <v>Sterling Lubricants Inc.</v>
      </c>
      <c r="F147" s="5" t="s">
        <v>111</v>
      </c>
      <c r="G147" s="5" t="s">
        <v>112</v>
      </c>
      <c r="H147" s="8" t="n">
        <f aca="false">INDEX(Lookup_Tables!$B$2:$B$5,MATCH(D147,Lookup_Tables!$A$2:$A$5,0))</f>
        <v>10</v>
      </c>
      <c r="I147" s="9" t="n">
        <f aca="false">C147+H147</f>
        <v>45592</v>
      </c>
      <c r="J147" s="5" t="n">
        <v>-4</v>
      </c>
      <c r="K147" s="9" t="n">
        <f aca="false">I147+J147</f>
        <v>45588</v>
      </c>
      <c r="L147" s="5" t="n">
        <v>41</v>
      </c>
      <c r="M147" s="10" t="n">
        <f aca="false">INDEX(Dim_Supplier!$F$2:$F$21,MATCH(B147,Dim_Supplier!$A$2:$A$21,0))</f>
        <v>27.1</v>
      </c>
      <c r="N147" s="11" t="n">
        <v>0.0429</v>
      </c>
      <c r="O147" s="10" t="n">
        <f aca="false">M147*(1+N147)</f>
        <v>28.26259</v>
      </c>
      <c r="P147" s="10" t="n">
        <f aca="false">O147*L147</f>
        <v>1158.76619</v>
      </c>
      <c r="Q147" s="5" t="s">
        <v>133</v>
      </c>
      <c r="R147" s="5" t="n">
        <v>0</v>
      </c>
      <c r="S147" s="5" t="n">
        <v>45</v>
      </c>
      <c r="T147" s="12" t="n">
        <f aca="false">(O147-M147)/M147</f>
        <v>0.0428999999999999</v>
      </c>
      <c r="U147" s="8" t="n">
        <f aca="false">IF(AND(K147&lt;=I147,R147=0),1,0)</f>
        <v>1</v>
      </c>
      <c r="V147" s="10" t="n">
        <f aca="false">IF(Q147="No",P147,0)</f>
        <v>1158.76619</v>
      </c>
    </row>
    <row r="148" customFormat="false" ht="15" hidden="false" customHeight="false" outlineLevel="0" collapsed="false">
      <c r="A148" s="5" t="s">
        <v>282</v>
      </c>
      <c r="B148" s="5" t="s">
        <v>75</v>
      </c>
      <c r="C148" s="7" t="n">
        <v>45424</v>
      </c>
      <c r="D148" s="8" t="str">
        <f aca="false">INDEX(Dim_Supplier!$C$2:$C$21,MATCH(B148,Dim_Supplier!$A$2:$A$21,0))</f>
        <v>MRO</v>
      </c>
      <c r="E148" s="8" t="str">
        <f aca="false">INDEX(Dim_Supplier!$B$2:$B$21,MATCH(B148,Dim_Supplier!$A$2:$A$21,0))</f>
        <v>Sterling Lubricants Inc.</v>
      </c>
      <c r="F148" s="5" t="s">
        <v>132</v>
      </c>
      <c r="G148" s="5" t="s">
        <v>129</v>
      </c>
      <c r="H148" s="8" t="n">
        <f aca="false">INDEX(Lookup_Tables!$B$2:$B$5,MATCH(D148,Lookup_Tables!$A$2:$A$5,0))</f>
        <v>10</v>
      </c>
      <c r="I148" s="9" t="n">
        <f aca="false">C148+H148</f>
        <v>45434</v>
      </c>
      <c r="J148" s="5" t="n">
        <v>-4</v>
      </c>
      <c r="K148" s="9" t="n">
        <f aca="false">I148+J148</f>
        <v>45430</v>
      </c>
      <c r="L148" s="5" t="n">
        <v>89</v>
      </c>
      <c r="M148" s="10" t="n">
        <f aca="false">INDEX(Dim_Supplier!$F$2:$F$21,MATCH(B148,Dim_Supplier!$A$2:$A$21,0))</f>
        <v>27.1</v>
      </c>
      <c r="N148" s="11" t="n">
        <v>0.0381</v>
      </c>
      <c r="O148" s="10" t="n">
        <f aca="false">M148*(1+N148)</f>
        <v>28.13251</v>
      </c>
      <c r="P148" s="10" t="n">
        <f aca="false">O148*L148</f>
        <v>2503.79339</v>
      </c>
      <c r="Q148" s="5" t="s">
        <v>113</v>
      </c>
      <c r="R148" s="5" t="n">
        <v>0</v>
      </c>
      <c r="S148" s="5" t="n">
        <v>60</v>
      </c>
      <c r="T148" s="12" t="n">
        <f aca="false">(O148-M148)/M148</f>
        <v>0.0381000000000001</v>
      </c>
      <c r="U148" s="8" t="n">
        <f aca="false">IF(AND(K148&lt;=I148,R148=0),1,0)</f>
        <v>1</v>
      </c>
      <c r="V148" s="10" t="n">
        <f aca="false">IF(Q148="No",P148,0)</f>
        <v>0</v>
      </c>
    </row>
    <row r="149" customFormat="false" ht="15" hidden="false" customHeight="false" outlineLevel="0" collapsed="false">
      <c r="A149" s="5" t="s">
        <v>283</v>
      </c>
      <c r="B149" s="5" t="s">
        <v>77</v>
      </c>
      <c r="C149" s="7" t="n">
        <v>45993</v>
      </c>
      <c r="D149" s="8" t="str">
        <f aca="false">INDEX(Dim_Supplier!$C$2:$C$21,MATCH(B149,Dim_Supplier!$A$2:$A$21,0))</f>
        <v>MRO</v>
      </c>
      <c r="E149" s="8" t="str">
        <f aca="false">INDEX(Dim_Supplier!$B$2:$B$21,MATCH(B149,Dim_Supplier!$A$2:$A$21,0))</f>
        <v>Apex Industrial Supply</v>
      </c>
      <c r="F149" s="5" t="s">
        <v>132</v>
      </c>
      <c r="G149" s="5" t="s">
        <v>129</v>
      </c>
      <c r="H149" s="8" t="n">
        <f aca="false">INDEX(Lookup_Tables!$B$2:$B$5,MATCH(D149,Lookup_Tables!$A$2:$A$5,0))</f>
        <v>10</v>
      </c>
      <c r="I149" s="9" t="n">
        <f aca="false">C149+H149</f>
        <v>46003</v>
      </c>
      <c r="J149" s="5" t="n">
        <v>-2</v>
      </c>
      <c r="K149" s="9" t="n">
        <f aca="false">I149+J149</f>
        <v>46001</v>
      </c>
      <c r="L149" s="5" t="n">
        <v>97</v>
      </c>
      <c r="M149" s="10" t="n">
        <f aca="false">INDEX(Dim_Supplier!$F$2:$F$21,MATCH(B149,Dim_Supplier!$A$2:$A$21,0))</f>
        <v>24.6</v>
      </c>
      <c r="N149" s="11" t="n">
        <v>0.0333</v>
      </c>
      <c r="O149" s="10" t="n">
        <f aca="false">M149*(1+N149)</f>
        <v>25.41918</v>
      </c>
      <c r="P149" s="10" t="n">
        <f aca="false">O149*L149</f>
        <v>2465.66046</v>
      </c>
      <c r="Q149" s="5" t="s">
        <v>113</v>
      </c>
      <c r="R149" s="5" t="n">
        <v>0</v>
      </c>
      <c r="S149" s="5" t="n">
        <v>60</v>
      </c>
      <c r="T149" s="12" t="n">
        <f aca="false">(O149-M149)/M149</f>
        <v>0.0333000000000001</v>
      </c>
      <c r="U149" s="8" t="n">
        <f aca="false">IF(AND(K149&lt;=I149,R149=0),1,0)</f>
        <v>1</v>
      </c>
      <c r="V149" s="10" t="n">
        <f aca="false">IF(Q149="No",P149,0)</f>
        <v>0</v>
      </c>
    </row>
    <row r="150" customFormat="false" ht="15" hidden="false" customHeight="false" outlineLevel="0" collapsed="false">
      <c r="A150" s="5" t="s">
        <v>284</v>
      </c>
      <c r="B150" s="5" t="s">
        <v>57</v>
      </c>
      <c r="C150" s="7" t="n">
        <v>46076</v>
      </c>
      <c r="D150" s="8" t="str">
        <f aca="false">INDEX(Dim_Supplier!$C$2:$C$21,MATCH(B150,Dim_Supplier!$A$2:$A$21,0))</f>
        <v>Packaging</v>
      </c>
      <c r="E150" s="8" t="str">
        <f aca="false">INDEX(Dim_Supplier!$B$2:$B$21,MATCH(B150,Dim_Supplier!$A$2:$A$21,0))</f>
        <v>Great Lakes Packaging Co.</v>
      </c>
      <c r="F150" s="5" t="s">
        <v>137</v>
      </c>
      <c r="G150" s="5" t="s">
        <v>112</v>
      </c>
      <c r="H150" s="8" t="n">
        <f aca="false">INDEX(Lookup_Tables!$B$2:$B$5,MATCH(D150,Lookup_Tables!$A$2:$A$5,0))</f>
        <v>14</v>
      </c>
      <c r="I150" s="9" t="n">
        <f aca="false">C150+H150</f>
        <v>46090</v>
      </c>
      <c r="J150" s="5" t="n">
        <v>-3</v>
      </c>
      <c r="K150" s="9" t="n">
        <f aca="false">I150+J150</f>
        <v>46087</v>
      </c>
      <c r="L150" s="5" t="n">
        <v>1132</v>
      </c>
      <c r="M150" s="10" t="n">
        <f aca="false">INDEX(Dim_Supplier!$F$2:$F$21,MATCH(B150,Dim_Supplier!$A$2:$A$21,0))</f>
        <v>4.35</v>
      </c>
      <c r="N150" s="11" t="n">
        <v>0.0208</v>
      </c>
      <c r="O150" s="10" t="n">
        <f aca="false">M150*(1+N150)</f>
        <v>4.44048</v>
      </c>
      <c r="P150" s="10" t="n">
        <f aca="false">O150*L150</f>
        <v>5026.62336</v>
      </c>
      <c r="Q150" s="5" t="s">
        <v>113</v>
      </c>
      <c r="R150" s="5" t="n">
        <v>0</v>
      </c>
      <c r="S150" s="5" t="n">
        <v>45</v>
      </c>
      <c r="T150" s="12" t="n">
        <f aca="false">(O150-M150)/M150</f>
        <v>0.0207999999999999</v>
      </c>
      <c r="U150" s="8" t="n">
        <f aca="false">IF(AND(K150&lt;=I150,R150=0),1,0)</f>
        <v>1</v>
      </c>
      <c r="V150" s="10" t="n">
        <f aca="false">IF(Q150="No",P150,0)</f>
        <v>0</v>
      </c>
    </row>
    <row r="151" customFormat="false" ht="15" hidden="false" customHeight="false" outlineLevel="0" collapsed="false">
      <c r="A151" s="5" t="s">
        <v>285</v>
      </c>
      <c r="B151" s="5" t="s">
        <v>68</v>
      </c>
      <c r="C151" s="7" t="n">
        <v>46048</v>
      </c>
      <c r="D151" s="8" t="str">
        <f aca="false">INDEX(Dim_Supplier!$C$2:$C$21,MATCH(B151,Dim_Supplier!$A$2:$A$21,0))</f>
        <v>MRO</v>
      </c>
      <c r="E151" s="8" t="str">
        <f aca="false">INDEX(Dim_Supplier!$B$2:$B$21,MATCH(B151,Dim_Supplier!$A$2:$A$21,0))</f>
        <v>Precision Tool &amp; Supply</v>
      </c>
      <c r="F151" s="5" t="s">
        <v>132</v>
      </c>
      <c r="G151" s="5" t="s">
        <v>129</v>
      </c>
      <c r="H151" s="8" t="n">
        <f aca="false">INDEX(Lookup_Tables!$B$2:$B$5,MATCH(D151,Lookup_Tables!$A$2:$A$5,0))</f>
        <v>10</v>
      </c>
      <c r="I151" s="9" t="n">
        <f aca="false">C151+H151</f>
        <v>46058</v>
      </c>
      <c r="J151" s="5" t="n">
        <v>-4</v>
      </c>
      <c r="K151" s="9" t="n">
        <f aca="false">I151+J151</f>
        <v>46054</v>
      </c>
      <c r="L151" s="5" t="n">
        <v>163</v>
      </c>
      <c r="M151" s="10" t="n">
        <f aca="false">INDEX(Dim_Supplier!$F$2:$F$21,MATCH(B151,Dim_Supplier!$A$2:$A$21,0))</f>
        <v>22.4</v>
      </c>
      <c r="N151" s="11" t="n">
        <v>-0.0248</v>
      </c>
      <c r="O151" s="10" t="n">
        <f aca="false">M151*(1+N151)</f>
        <v>21.84448</v>
      </c>
      <c r="P151" s="10" t="n">
        <f aca="false">O151*L151</f>
        <v>3560.65024</v>
      </c>
      <c r="Q151" s="5" t="s">
        <v>113</v>
      </c>
      <c r="R151" s="5" t="n">
        <v>0</v>
      </c>
      <c r="S151" s="5" t="n">
        <v>30</v>
      </c>
      <c r="T151" s="12" t="n">
        <f aca="false">(O151-M151)/M151</f>
        <v>-0.0248000000000001</v>
      </c>
      <c r="U151" s="8" t="n">
        <f aca="false">IF(AND(K151&lt;=I151,R151=0),1,0)</f>
        <v>1</v>
      </c>
      <c r="V151" s="10" t="n">
        <f aca="false">IF(Q151="No",P151,0)</f>
        <v>0</v>
      </c>
    </row>
    <row r="152" customFormat="false" ht="15" hidden="false" customHeight="false" outlineLevel="0" collapsed="false">
      <c r="A152" s="5" t="s">
        <v>286</v>
      </c>
      <c r="B152" s="5" t="s">
        <v>82</v>
      </c>
      <c r="C152" s="7" t="n">
        <v>46081</v>
      </c>
      <c r="D152" s="8" t="str">
        <f aca="false">INDEX(Dim_Supplier!$C$2:$C$21,MATCH(B152,Dim_Supplier!$A$2:$A$21,0))</f>
        <v>Logistics</v>
      </c>
      <c r="E152" s="8" t="str">
        <f aca="false">INDEX(Dim_Supplier!$B$2:$B$21,MATCH(B152,Dim_Supplier!$A$2:$A$21,0))</f>
        <v>Maple Route Logistics</v>
      </c>
      <c r="F152" s="5" t="s">
        <v>185</v>
      </c>
      <c r="G152" s="5" t="s">
        <v>112</v>
      </c>
      <c r="H152" s="8" t="n">
        <f aca="false">INDEX(Lookup_Tables!$B$2:$B$5,MATCH(D152,Lookup_Tables!$A$2:$A$5,0))</f>
        <v>5</v>
      </c>
      <c r="I152" s="9" t="n">
        <f aca="false">C152+H152</f>
        <v>46086</v>
      </c>
      <c r="J152" s="5" t="n">
        <v>-1</v>
      </c>
      <c r="K152" s="9" t="n">
        <f aca="false">I152+J152</f>
        <v>46085</v>
      </c>
      <c r="L152" s="5" t="n">
        <v>24</v>
      </c>
      <c r="M152" s="10" t="n">
        <f aca="false">INDEX(Dim_Supplier!$F$2:$F$21,MATCH(B152,Dim_Supplier!$A$2:$A$21,0))</f>
        <v>285</v>
      </c>
      <c r="N152" s="11" t="n">
        <v>0.0241</v>
      </c>
      <c r="O152" s="10" t="n">
        <f aca="false">M152*(1+N152)</f>
        <v>291.8685</v>
      </c>
      <c r="P152" s="10" t="n">
        <f aca="false">O152*L152</f>
        <v>7004.844</v>
      </c>
      <c r="Q152" s="5" t="s">
        <v>113</v>
      </c>
      <c r="R152" s="5" t="n">
        <v>0</v>
      </c>
      <c r="S152" s="5" t="n">
        <v>30</v>
      </c>
      <c r="T152" s="12" t="n">
        <f aca="false">(O152-M152)/M152</f>
        <v>0.0240999999999999</v>
      </c>
      <c r="U152" s="8" t="n">
        <f aca="false">IF(AND(K152&lt;=I152,R152=0),1,0)</f>
        <v>1</v>
      </c>
      <c r="V152" s="10" t="n">
        <f aca="false">IF(Q152="No",P152,0)</f>
        <v>0</v>
      </c>
    </row>
    <row r="153" customFormat="false" ht="15" hidden="false" customHeight="false" outlineLevel="0" collapsed="false">
      <c r="A153" s="5" t="s">
        <v>287</v>
      </c>
      <c r="B153" s="5" t="s">
        <v>54</v>
      </c>
      <c r="C153" s="7" t="n">
        <v>46058</v>
      </c>
      <c r="D153" s="8" t="str">
        <f aca="false">INDEX(Dim_Supplier!$C$2:$C$21,MATCH(B153,Dim_Supplier!$A$2:$A$21,0))</f>
        <v>Raw Materials</v>
      </c>
      <c r="E153" s="8" t="str">
        <f aca="false">INDEX(Dim_Supplier!$B$2:$B$21,MATCH(B153,Dim_Supplier!$A$2:$A$21,0))</f>
        <v>Northern Resin Solutions</v>
      </c>
      <c r="F153" s="5" t="s">
        <v>142</v>
      </c>
      <c r="G153" s="5" t="s">
        <v>112</v>
      </c>
      <c r="H153" s="8" t="n">
        <f aca="false">INDEX(Lookup_Tables!$B$2:$B$5,MATCH(D153,Lookup_Tables!$A$2:$A$5,0))</f>
        <v>21</v>
      </c>
      <c r="I153" s="9" t="n">
        <f aca="false">C153+H153</f>
        <v>46079</v>
      </c>
      <c r="J153" s="5" t="n">
        <v>-3</v>
      </c>
      <c r="K153" s="9" t="n">
        <f aca="false">I153+J153</f>
        <v>46076</v>
      </c>
      <c r="L153" s="5" t="n">
        <v>1756</v>
      </c>
      <c r="M153" s="10" t="n">
        <f aca="false">INDEX(Dim_Supplier!$F$2:$F$21,MATCH(B153,Dim_Supplier!$A$2:$A$21,0))</f>
        <v>38.9</v>
      </c>
      <c r="N153" s="11" t="n">
        <v>0.0463</v>
      </c>
      <c r="O153" s="10" t="n">
        <f aca="false">M153*(1+N153)</f>
        <v>40.70107</v>
      </c>
      <c r="P153" s="10" t="n">
        <f aca="false">O153*L153</f>
        <v>71471.07892</v>
      </c>
      <c r="Q153" s="5" t="s">
        <v>113</v>
      </c>
      <c r="R153" s="5" t="n">
        <v>0</v>
      </c>
      <c r="S153" s="5" t="n">
        <v>30</v>
      </c>
      <c r="T153" s="12" t="n">
        <f aca="false">(O153-M153)/M153</f>
        <v>0.0463000000000001</v>
      </c>
      <c r="U153" s="8" t="n">
        <f aca="false">IF(AND(K153&lt;=I153,R153=0),1,0)</f>
        <v>1</v>
      </c>
      <c r="V153" s="10" t="n">
        <f aca="false">IF(Q153="No",P153,0)</f>
        <v>0</v>
      </c>
    </row>
    <row r="154" customFormat="false" ht="15" hidden="false" customHeight="false" outlineLevel="0" collapsed="false">
      <c r="A154" s="5" t="s">
        <v>288</v>
      </c>
      <c r="B154" s="5" t="s">
        <v>75</v>
      </c>
      <c r="C154" s="7" t="n">
        <v>45876</v>
      </c>
      <c r="D154" s="8" t="str">
        <f aca="false">INDEX(Dim_Supplier!$C$2:$C$21,MATCH(B154,Dim_Supplier!$A$2:$A$21,0))</f>
        <v>MRO</v>
      </c>
      <c r="E154" s="8" t="str">
        <f aca="false">INDEX(Dim_Supplier!$B$2:$B$21,MATCH(B154,Dim_Supplier!$A$2:$A$21,0))</f>
        <v>Sterling Lubricants Inc.</v>
      </c>
      <c r="F154" s="5" t="s">
        <v>179</v>
      </c>
      <c r="G154" s="5" t="s">
        <v>125</v>
      </c>
      <c r="H154" s="8" t="n">
        <f aca="false">INDEX(Lookup_Tables!$B$2:$B$5,MATCH(D154,Lookup_Tables!$A$2:$A$5,0))</f>
        <v>10</v>
      </c>
      <c r="I154" s="9" t="n">
        <f aca="false">C154+H154</f>
        <v>45886</v>
      </c>
      <c r="J154" s="5" t="n">
        <v>-3</v>
      </c>
      <c r="K154" s="9" t="n">
        <f aca="false">I154+J154</f>
        <v>45883</v>
      </c>
      <c r="L154" s="5" t="n">
        <v>133</v>
      </c>
      <c r="M154" s="10" t="n">
        <f aca="false">INDEX(Dim_Supplier!$F$2:$F$21,MATCH(B154,Dim_Supplier!$A$2:$A$21,0))</f>
        <v>27.1</v>
      </c>
      <c r="N154" s="11" t="n">
        <v>-0.0144</v>
      </c>
      <c r="O154" s="10" t="n">
        <f aca="false">M154*(1+N154)</f>
        <v>26.70976</v>
      </c>
      <c r="P154" s="10" t="n">
        <f aca="false">O154*L154</f>
        <v>3552.39808</v>
      </c>
      <c r="Q154" s="5" t="s">
        <v>113</v>
      </c>
      <c r="R154" s="5" t="n">
        <v>0</v>
      </c>
      <c r="S154" s="5" t="n">
        <v>60</v>
      </c>
      <c r="T154" s="12" t="n">
        <f aca="false">(O154-M154)/M154</f>
        <v>-0.0143999999999999</v>
      </c>
      <c r="U154" s="8" t="n">
        <f aca="false">IF(AND(K154&lt;=I154,R154=0),1,0)</f>
        <v>1</v>
      </c>
      <c r="V154" s="10" t="n">
        <f aca="false">IF(Q154="No",P154,0)</f>
        <v>0</v>
      </c>
    </row>
    <row r="155" customFormat="false" ht="15" hidden="false" customHeight="false" outlineLevel="0" collapsed="false">
      <c r="A155" s="5" t="s">
        <v>289</v>
      </c>
      <c r="B155" s="5" t="s">
        <v>79</v>
      </c>
      <c r="C155" s="7" t="n">
        <v>45433</v>
      </c>
      <c r="D155" s="8" t="str">
        <f aca="false">INDEX(Dim_Supplier!$C$2:$C$21,MATCH(B155,Dim_Supplier!$A$2:$A$21,0))</f>
        <v>Logistics</v>
      </c>
      <c r="E155" s="8" t="str">
        <f aca="false">INDEX(Dim_Supplier!$B$2:$B$21,MATCH(B155,Dim_Supplier!$A$2:$A$21,0))</f>
        <v>Niagara Freight Solutions</v>
      </c>
      <c r="F155" s="5" t="s">
        <v>146</v>
      </c>
      <c r="G155" s="5" t="s">
        <v>129</v>
      </c>
      <c r="H155" s="8" t="n">
        <f aca="false">INDEX(Lookup_Tables!$B$2:$B$5,MATCH(D155,Lookup_Tables!$A$2:$A$5,0))</f>
        <v>5</v>
      </c>
      <c r="I155" s="9" t="n">
        <f aca="false">C155+H155</f>
        <v>45438</v>
      </c>
      <c r="J155" s="5" t="n">
        <v>-4</v>
      </c>
      <c r="K155" s="9" t="n">
        <f aca="false">I155+J155</f>
        <v>45434</v>
      </c>
      <c r="L155" s="5" t="n">
        <v>36</v>
      </c>
      <c r="M155" s="10" t="n">
        <f aca="false">INDEX(Dim_Supplier!$F$2:$F$21,MATCH(B155,Dim_Supplier!$A$2:$A$21,0))</f>
        <v>340</v>
      </c>
      <c r="N155" s="11" t="n">
        <v>-0.0216</v>
      </c>
      <c r="O155" s="10" t="n">
        <f aca="false">M155*(1+N155)</f>
        <v>332.656</v>
      </c>
      <c r="P155" s="10" t="n">
        <f aca="false">O155*L155</f>
        <v>11975.616</v>
      </c>
      <c r="Q155" s="5" t="s">
        <v>113</v>
      </c>
      <c r="R155" s="5" t="n">
        <v>0</v>
      </c>
      <c r="S155" s="5" t="n">
        <v>45</v>
      </c>
      <c r="T155" s="12" t="n">
        <f aca="false">(O155-M155)/M155</f>
        <v>-0.0216</v>
      </c>
      <c r="U155" s="8" t="n">
        <f aca="false">IF(AND(K155&lt;=I155,R155=0),1,0)</f>
        <v>1</v>
      </c>
      <c r="V155" s="10" t="n">
        <f aca="false">IF(Q155="No",P155,0)</f>
        <v>0</v>
      </c>
    </row>
    <row r="156" customFormat="false" ht="15" hidden="false" customHeight="false" outlineLevel="0" collapsed="false">
      <c r="A156" s="5" t="s">
        <v>290</v>
      </c>
      <c r="B156" s="5" t="s">
        <v>46</v>
      </c>
      <c r="C156" s="7" t="n">
        <v>45377</v>
      </c>
      <c r="D156" s="8" t="str">
        <f aca="false">INDEX(Dim_Supplier!$C$2:$C$21,MATCH(B156,Dim_Supplier!$A$2:$A$21,0))</f>
        <v>Raw Materials</v>
      </c>
      <c r="E156" s="8" t="str">
        <f aca="false">INDEX(Dim_Supplier!$B$2:$B$21,MATCH(B156,Dim_Supplier!$A$2:$A$21,0))</f>
        <v>Niagara Alloy Supply</v>
      </c>
      <c r="F156" s="5" t="s">
        <v>115</v>
      </c>
      <c r="G156" s="5" t="s">
        <v>120</v>
      </c>
      <c r="H156" s="8" t="n">
        <f aca="false">INDEX(Lookup_Tables!$B$2:$B$5,MATCH(D156,Lookup_Tables!$A$2:$A$5,0))</f>
        <v>21</v>
      </c>
      <c r="I156" s="9" t="n">
        <f aca="false">C156+H156</f>
        <v>45398</v>
      </c>
      <c r="J156" s="5" t="n">
        <v>-3</v>
      </c>
      <c r="K156" s="9" t="n">
        <f aca="false">I156+J156</f>
        <v>45395</v>
      </c>
      <c r="L156" s="5" t="n">
        <v>1801</v>
      </c>
      <c r="M156" s="10" t="n">
        <f aca="false">INDEX(Dim_Supplier!$F$2:$F$21,MATCH(B156,Dim_Supplier!$A$2:$A$21,0))</f>
        <v>46.5</v>
      </c>
      <c r="N156" s="11" t="n">
        <v>0.0375</v>
      </c>
      <c r="O156" s="10" t="n">
        <f aca="false">M156*(1+N156)</f>
        <v>48.24375</v>
      </c>
      <c r="P156" s="10" t="n">
        <f aca="false">O156*L156</f>
        <v>86886.99375</v>
      </c>
      <c r="Q156" s="5" t="s">
        <v>113</v>
      </c>
      <c r="R156" s="5" t="n">
        <v>0</v>
      </c>
      <c r="S156" s="5" t="n">
        <v>30</v>
      </c>
      <c r="T156" s="12" t="n">
        <f aca="false">(O156-M156)/M156</f>
        <v>0.0375000000000001</v>
      </c>
      <c r="U156" s="8" t="n">
        <f aca="false">IF(AND(K156&lt;=I156,R156=0),1,0)</f>
        <v>1</v>
      </c>
      <c r="V156" s="10" t="n">
        <f aca="false">IF(Q156="No",P156,0)</f>
        <v>0</v>
      </c>
    </row>
    <row r="157" customFormat="false" ht="15" hidden="false" customHeight="false" outlineLevel="0" collapsed="false">
      <c r="A157" s="5" t="s">
        <v>291</v>
      </c>
      <c r="B157" s="5" t="s">
        <v>62</v>
      </c>
      <c r="C157" s="7" t="n">
        <v>45649</v>
      </c>
      <c r="D157" s="8" t="str">
        <f aca="false">INDEX(Dim_Supplier!$C$2:$C$21,MATCH(B157,Dim_Supplier!$A$2:$A$21,0))</f>
        <v>Packaging</v>
      </c>
      <c r="E157" s="8" t="str">
        <f aca="false">INDEX(Dim_Supplier!$B$2:$B$21,MATCH(B157,Dim_Supplier!$A$2:$A$21,0))</f>
        <v>Trillium Packaging Solutions</v>
      </c>
      <c r="F157" s="5" t="s">
        <v>117</v>
      </c>
      <c r="G157" s="5" t="s">
        <v>125</v>
      </c>
      <c r="H157" s="8" t="n">
        <f aca="false">INDEX(Lookup_Tables!$B$2:$B$5,MATCH(D157,Lookup_Tables!$A$2:$A$5,0))</f>
        <v>14</v>
      </c>
      <c r="I157" s="9" t="n">
        <f aca="false">C157+H157</f>
        <v>45663</v>
      </c>
      <c r="J157" s="5" t="n">
        <v>-1</v>
      </c>
      <c r="K157" s="9" t="n">
        <f aca="false">I157+J157</f>
        <v>45662</v>
      </c>
      <c r="L157" s="5" t="n">
        <v>2431</v>
      </c>
      <c r="M157" s="10" t="n">
        <f aca="false">INDEX(Dim_Supplier!$F$2:$F$21,MATCH(B157,Dim_Supplier!$A$2:$A$21,0))</f>
        <v>5.6</v>
      </c>
      <c r="N157" s="11" t="n">
        <v>0.0278</v>
      </c>
      <c r="O157" s="10" t="n">
        <f aca="false">M157*(1+N157)</f>
        <v>5.75568</v>
      </c>
      <c r="P157" s="10" t="n">
        <f aca="false">O157*L157</f>
        <v>13992.05808</v>
      </c>
      <c r="Q157" s="5" t="s">
        <v>113</v>
      </c>
      <c r="R157" s="5" t="n">
        <v>0</v>
      </c>
      <c r="S157" s="5" t="n">
        <v>30</v>
      </c>
      <c r="T157" s="12" t="n">
        <f aca="false">(O157-M157)/M157</f>
        <v>0.0278000000000001</v>
      </c>
      <c r="U157" s="8" t="n">
        <f aca="false">IF(AND(K157&lt;=I157,R157=0),1,0)</f>
        <v>1</v>
      </c>
      <c r="V157" s="10" t="n">
        <f aca="false">IF(Q157="No",P157,0)</f>
        <v>0</v>
      </c>
    </row>
    <row r="158" customFormat="false" ht="15" hidden="false" customHeight="false" outlineLevel="0" collapsed="false">
      <c r="A158" s="5" t="s">
        <v>292</v>
      </c>
      <c r="B158" s="5" t="s">
        <v>57</v>
      </c>
      <c r="C158" s="7" t="n">
        <v>45393</v>
      </c>
      <c r="D158" s="8" t="str">
        <f aca="false">INDEX(Dim_Supplier!$C$2:$C$21,MATCH(B158,Dim_Supplier!$A$2:$A$21,0))</f>
        <v>Packaging</v>
      </c>
      <c r="E158" s="8" t="str">
        <f aca="false">INDEX(Dim_Supplier!$B$2:$B$21,MATCH(B158,Dim_Supplier!$A$2:$A$21,0))</f>
        <v>Great Lakes Packaging Co.</v>
      </c>
      <c r="F158" s="5" t="s">
        <v>119</v>
      </c>
      <c r="G158" s="5" t="s">
        <v>112</v>
      </c>
      <c r="H158" s="8" t="n">
        <f aca="false">INDEX(Lookup_Tables!$B$2:$B$5,MATCH(D158,Lookup_Tables!$A$2:$A$5,0))</f>
        <v>14</v>
      </c>
      <c r="I158" s="9" t="n">
        <f aca="false">C158+H158</f>
        <v>45407</v>
      </c>
      <c r="J158" s="5" t="n">
        <v>-2</v>
      </c>
      <c r="K158" s="9" t="n">
        <f aca="false">I158+J158</f>
        <v>45405</v>
      </c>
      <c r="L158" s="5" t="n">
        <v>4370</v>
      </c>
      <c r="M158" s="10" t="n">
        <f aca="false">INDEX(Dim_Supplier!$F$2:$F$21,MATCH(B158,Dim_Supplier!$A$2:$A$21,0))</f>
        <v>4.35</v>
      </c>
      <c r="N158" s="11" t="n">
        <v>0.0225</v>
      </c>
      <c r="O158" s="10" t="n">
        <f aca="false">M158*(1+N158)</f>
        <v>4.447875</v>
      </c>
      <c r="P158" s="10" t="n">
        <f aca="false">O158*L158</f>
        <v>19437.21375</v>
      </c>
      <c r="Q158" s="5" t="s">
        <v>113</v>
      </c>
      <c r="R158" s="5" t="n">
        <v>0</v>
      </c>
      <c r="S158" s="5" t="n">
        <v>45</v>
      </c>
      <c r="T158" s="12" t="n">
        <f aca="false">(O158-M158)/M158</f>
        <v>0.0225</v>
      </c>
      <c r="U158" s="8" t="n">
        <f aca="false">IF(AND(K158&lt;=I158,R158=0),1,0)</f>
        <v>1</v>
      </c>
      <c r="V158" s="10" t="n">
        <f aca="false">IF(Q158="No",P158,0)</f>
        <v>0</v>
      </c>
    </row>
    <row r="159" customFormat="false" ht="15" hidden="false" customHeight="false" outlineLevel="0" collapsed="false">
      <c r="A159" s="5" t="s">
        <v>293</v>
      </c>
      <c r="B159" s="5" t="s">
        <v>62</v>
      </c>
      <c r="C159" s="7" t="n">
        <v>45297</v>
      </c>
      <c r="D159" s="8" t="str">
        <f aca="false">INDEX(Dim_Supplier!$C$2:$C$21,MATCH(B159,Dim_Supplier!$A$2:$A$21,0))</f>
        <v>Packaging</v>
      </c>
      <c r="E159" s="8" t="str">
        <f aca="false">INDEX(Dim_Supplier!$B$2:$B$21,MATCH(B159,Dim_Supplier!$A$2:$A$21,0))</f>
        <v>Trillium Packaging Solutions</v>
      </c>
      <c r="F159" s="5" t="s">
        <v>117</v>
      </c>
      <c r="G159" s="5" t="s">
        <v>129</v>
      </c>
      <c r="H159" s="8" t="n">
        <f aca="false">INDEX(Lookup_Tables!$B$2:$B$5,MATCH(D159,Lookup_Tables!$A$2:$A$5,0))</f>
        <v>14</v>
      </c>
      <c r="I159" s="9" t="n">
        <f aca="false">C159+H159</f>
        <v>45311</v>
      </c>
      <c r="J159" s="5" t="n">
        <v>-3</v>
      </c>
      <c r="K159" s="9" t="n">
        <f aca="false">I159+J159</f>
        <v>45308</v>
      </c>
      <c r="L159" s="5" t="n">
        <v>4995</v>
      </c>
      <c r="M159" s="10" t="n">
        <f aca="false">INDEX(Dim_Supplier!$F$2:$F$21,MATCH(B159,Dim_Supplier!$A$2:$A$21,0))</f>
        <v>5.6</v>
      </c>
      <c r="N159" s="11" t="n">
        <v>0.0579</v>
      </c>
      <c r="O159" s="10" t="n">
        <f aca="false">M159*(1+N159)</f>
        <v>5.92424</v>
      </c>
      <c r="P159" s="10" t="n">
        <f aca="false">O159*L159</f>
        <v>29591.5788</v>
      </c>
      <c r="Q159" s="5" t="s">
        <v>133</v>
      </c>
      <c r="R159" s="5" t="n">
        <v>0</v>
      </c>
      <c r="S159" s="5" t="n">
        <v>30</v>
      </c>
      <c r="T159" s="12" t="n">
        <f aca="false">(O159-M159)/M159</f>
        <v>0.0579000000000001</v>
      </c>
      <c r="U159" s="8" t="n">
        <f aca="false">IF(AND(K159&lt;=I159,R159=0),1,0)</f>
        <v>1</v>
      </c>
      <c r="V159" s="10" t="n">
        <f aca="false">IF(Q159="No",P159,0)</f>
        <v>29591.5788</v>
      </c>
    </row>
    <row r="160" customFormat="false" ht="15" hidden="false" customHeight="false" outlineLevel="0" collapsed="false">
      <c r="A160" s="5" t="s">
        <v>294</v>
      </c>
      <c r="B160" s="5" t="s">
        <v>79</v>
      </c>
      <c r="C160" s="7" t="n">
        <v>45535</v>
      </c>
      <c r="D160" s="8" t="str">
        <f aca="false">INDEX(Dim_Supplier!$C$2:$C$21,MATCH(B160,Dim_Supplier!$A$2:$A$21,0))</f>
        <v>Logistics</v>
      </c>
      <c r="E160" s="8" t="str">
        <f aca="false">INDEX(Dim_Supplier!$B$2:$B$21,MATCH(B160,Dim_Supplier!$A$2:$A$21,0))</f>
        <v>Niagara Freight Solutions</v>
      </c>
      <c r="F160" s="5" t="s">
        <v>146</v>
      </c>
      <c r="G160" s="5" t="s">
        <v>129</v>
      </c>
      <c r="H160" s="8" t="n">
        <f aca="false">INDEX(Lookup_Tables!$B$2:$B$5,MATCH(D160,Lookup_Tables!$A$2:$A$5,0))</f>
        <v>5</v>
      </c>
      <c r="I160" s="9" t="n">
        <f aca="false">C160+H160</f>
        <v>45540</v>
      </c>
      <c r="J160" s="5" t="n">
        <v>0</v>
      </c>
      <c r="K160" s="9" t="n">
        <f aca="false">I160+J160</f>
        <v>45540</v>
      </c>
      <c r="L160" s="5" t="n">
        <v>40</v>
      </c>
      <c r="M160" s="10" t="n">
        <f aca="false">INDEX(Dim_Supplier!$F$2:$F$21,MATCH(B160,Dim_Supplier!$A$2:$A$21,0))</f>
        <v>340</v>
      </c>
      <c r="N160" s="11" t="n">
        <v>0.0162</v>
      </c>
      <c r="O160" s="10" t="n">
        <f aca="false">M160*(1+N160)</f>
        <v>345.508</v>
      </c>
      <c r="P160" s="10" t="n">
        <f aca="false">O160*L160</f>
        <v>13820.32</v>
      </c>
      <c r="Q160" s="5" t="s">
        <v>113</v>
      </c>
      <c r="R160" s="5" t="n">
        <v>0</v>
      </c>
      <c r="S160" s="5" t="n">
        <v>60</v>
      </c>
      <c r="T160" s="12" t="n">
        <f aca="false">(O160-M160)/M160</f>
        <v>0.0161999999999999</v>
      </c>
      <c r="U160" s="8" t="n">
        <f aca="false">IF(AND(K160&lt;=I160,R160=0),1,0)</f>
        <v>1</v>
      </c>
      <c r="V160" s="10" t="n">
        <f aca="false">IF(Q160="No",P160,0)</f>
        <v>0</v>
      </c>
    </row>
    <row r="161" customFormat="false" ht="15" hidden="false" customHeight="false" outlineLevel="0" collapsed="false">
      <c r="A161" s="5" t="s">
        <v>295</v>
      </c>
      <c r="B161" s="5" t="s">
        <v>71</v>
      </c>
      <c r="C161" s="7" t="n">
        <v>45308</v>
      </c>
      <c r="D161" s="8" t="str">
        <f aca="false">INDEX(Dim_Supplier!$C$2:$C$21,MATCH(B161,Dim_Supplier!$A$2:$A$21,0))</f>
        <v>MRO</v>
      </c>
      <c r="E161" s="8" t="str">
        <f aca="false">INDEX(Dim_Supplier!$B$2:$B$21,MATCH(B161,Dim_Supplier!$A$2:$A$21,0))</f>
        <v>CanSafe Equipment Ltd.</v>
      </c>
      <c r="F161" s="5" t="s">
        <v>132</v>
      </c>
      <c r="G161" s="5" t="s">
        <v>112</v>
      </c>
      <c r="H161" s="8" t="n">
        <f aca="false">INDEX(Lookup_Tables!$B$2:$B$5,MATCH(D161,Lookup_Tables!$A$2:$A$5,0))</f>
        <v>10</v>
      </c>
      <c r="I161" s="9" t="n">
        <f aca="false">C161+H161</f>
        <v>45318</v>
      </c>
      <c r="J161" s="5" t="n">
        <v>-1</v>
      </c>
      <c r="K161" s="9" t="n">
        <f aca="false">I161+J161</f>
        <v>45317</v>
      </c>
      <c r="L161" s="5" t="n">
        <v>5</v>
      </c>
      <c r="M161" s="10" t="n">
        <f aca="false">INDEX(Dim_Supplier!$F$2:$F$21,MATCH(B161,Dim_Supplier!$A$2:$A$21,0))</f>
        <v>18.75</v>
      </c>
      <c r="N161" s="11" t="n">
        <v>0.0137</v>
      </c>
      <c r="O161" s="10" t="n">
        <f aca="false">M161*(1+N161)</f>
        <v>19.006875</v>
      </c>
      <c r="P161" s="10" t="n">
        <f aca="false">O161*L161</f>
        <v>95.034375</v>
      </c>
      <c r="Q161" s="5" t="s">
        <v>113</v>
      </c>
      <c r="R161" s="5" t="n">
        <v>0</v>
      </c>
      <c r="S161" s="5" t="n">
        <v>30</v>
      </c>
      <c r="T161" s="12" t="n">
        <f aca="false">(O161-M161)/M161</f>
        <v>0.0137</v>
      </c>
      <c r="U161" s="8" t="n">
        <f aca="false">IF(AND(K161&lt;=I161,R161=0),1,0)</f>
        <v>1</v>
      </c>
      <c r="V161" s="10" t="n">
        <f aca="false">IF(Q161="No",P161,0)</f>
        <v>0</v>
      </c>
    </row>
    <row r="162" customFormat="false" ht="15" hidden="false" customHeight="false" outlineLevel="0" collapsed="false">
      <c r="A162" s="5" t="s">
        <v>296</v>
      </c>
      <c r="B162" s="5" t="s">
        <v>75</v>
      </c>
      <c r="C162" s="7" t="n">
        <v>45379</v>
      </c>
      <c r="D162" s="8" t="str">
        <f aca="false">INDEX(Dim_Supplier!$C$2:$C$21,MATCH(B162,Dim_Supplier!$A$2:$A$21,0))</f>
        <v>MRO</v>
      </c>
      <c r="E162" s="8" t="str">
        <f aca="false">INDEX(Dim_Supplier!$B$2:$B$21,MATCH(B162,Dim_Supplier!$A$2:$A$21,0))</f>
        <v>Sterling Lubricants Inc.</v>
      </c>
      <c r="F162" s="5" t="s">
        <v>132</v>
      </c>
      <c r="G162" s="5" t="s">
        <v>120</v>
      </c>
      <c r="H162" s="8" t="n">
        <f aca="false">INDEX(Lookup_Tables!$B$2:$B$5,MATCH(D162,Lookup_Tables!$A$2:$A$5,0))</f>
        <v>10</v>
      </c>
      <c r="I162" s="9" t="n">
        <f aca="false">C162+H162</f>
        <v>45389</v>
      </c>
      <c r="J162" s="5" t="n">
        <v>-1</v>
      </c>
      <c r="K162" s="9" t="n">
        <f aca="false">I162+J162</f>
        <v>45388</v>
      </c>
      <c r="L162" s="5" t="n">
        <v>134</v>
      </c>
      <c r="M162" s="10" t="n">
        <f aca="false">INDEX(Dim_Supplier!$F$2:$F$21,MATCH(B162,Dim_Supplier!$A$2:$A$21,0))</f>
        <v>27.1</v>
      </c>
      <c r="N162" s="11" t="n">
        <v>0.0301</v>
      </c>
      <c r="O162" s="10" t="n">
        <f aca="false">M162*(1+N162)</f>
        <v>27.91571</v>
      </c>
      <c r="P162" s="10" t="n">
        <f aca="false">O162*L162</f>
        <v>3740.70514</v>
      </c>
      <c r="Q162" s="5" t="s">
        <v>113</v>
      </c>
      <c r="R162" s="5" t="n">
        <v>0</v>
      </c>
      <c r="S162" s="5" t="n">
        <v>30</v>
      </c>
      <c r="T162" s="12" t="n">
        <f aca="false">(O162-M162)/M162</f>
        <v>0.0301</v>
      </c>
      <c r="U162" s="8" t="n">
        <f aca="false">IF(AND(K162&lt;=I162,R162=0),1,0)</f>
        <v>1</v>
      </c>
      <c r="V162" s="10" t="n">
        <f aca="false">IF(Q162="No",P162,0)</f>
        <v>0</v>
      </c>
    </row>
    <row r="163" customFormat="false" ht="15" hidden="false" customHeight="false" outlineLevel="0" collapsed="false">
      <c r="A163" s="5" t="s">
        <v>297</v>
      </c>
      <c r="B163" s="5" t="s">
        <v>82</v>
      </c>
      <c r="C163" s="7" t="n">
        <v>45336</v>
      </c>
      <c r="D163" s="8" t="str">
        <f aca="false">INDEX(Dim_Supplier!$C$2:$C$21,MATCH(B163,Dim_Supplier!$A$2:$A$21,0))</f>
        <v>Logistics</v>
      </c>
      <c r="E163" s="8" t="str">
        <f aca="false">INDEX(Dim_Supplier!$B$2:$B$21,MATCH(B163,Dim_Supplier!$A$2:$A$21,0))</f>
        <v>Maple Route Logistics</v>
      </c>
      <c r="F163" s="5" t="s">
        <v>237</v>
      </c>
      <c r="G163" s="5" t="s">
        <v>120</v>
      </c>
      <c r="H163" s="8" t="n">
        <f aca="false">INDEX(Lookup_Tables!$B$2:$B$5,MATCH(D163,Lookup_Tables!$A$2:$A$5,0))</f>
        <v>5</v>
      </c>
      <c r="I163" s="9" t="n">
        <f aca="false">C163+H163</f>
        <v>45341</v>
      </c>
      <c r="J163" s="5" t="n">
        <v>-1</v>
      </c>
      <c r="K163" s="9" t="n">
        <f aca="false">I163+J163</f>
        <v>45340</v>
      </c>
      <c r="L163" s="5" t="n">
        <v>5</v>
      </c>
      <c r="M163" s="10" t="n">
        <f aca="false">INDEX(Dim_Supplier!$F$2:$F$21,MATCH(B163,Dim_Supplier!$A$2:$A$21,0))</f>
        <v>285</v>
      </c>
      <c r="N163" s="11" t="n">
        <v>0.0336</v>
      </c>
      <c r="O163" s="10" t="n">
        <f aca="false">M163*(1+N163)</f>
        <v>294.576</v>
      </c>
      <c r="P163" s="10" t="n">
        <f aca="false">O163*L163</f>
        <v>1472.88</v>
      </c>
      <c r="Q163" s="5" t="s">
        <v>113</v>
      </c>
      <c r="R163" s="5" t="n">
        <v>0</v>
      </c>
      <c r="S163" s="5" t="n">
        <v>45</v>
      </c>
      <c r="T163" s="12" t="n">
        <f aca="false">(O163-M163)/M163</f>
        <v>0.0336000000000001</v>
      </c>
      <c r="U163" s="8" t="n">
        <f aca="false">IF(AND(K163&lt;=I163,R163=0),1,0)</f>
        <v>1</v>
      </c>
      <c r="V163" s="10" t="n">
        <f aca="false">IF(Q163="No",P163,0)</f>
        <v>0</v>
      </c>
    </row>
    <row r="164" customFormat="false" ht="15" hidden="false" customHeight="false" outlineLevel="0" collapsed="false">
      <c r="A164" s="5" t="s">
        <v>298</v>
      </c>
      <c r="B164" s="5" t="s">
        <v>79</v>
      </c>
      <c r="C164" s="7" t="n">
        <v>46044</v>
      </c>
      <c r="D164" s="8" t="str">
        <f aca="false">INDEX(Dim_Supplier!$C$2:$C$21,MATCH(B164,Dim_Supplier!$A$2:$A$21,0))</f>
        <v>Logistics</v>
      </c>
      <c r="E164" s="8" t="str">
        <f aca="false">INDEX(Dim_Supplier!$B$2:$B$21,MATCH(B164,Dim_Supplier!$A$2:$A$21,0))</f>
        <v>Niagara Freight Solutions</v>
      </c>
      <c r="F164" s="5" t="s">
        <v>146</v>
      </c>
      <c r="G164" s="5" t="s">
        <v>112</v>
      </c>
      <c r="H164" s="8" t="n">
        <f aca="false">INDEX(Lookup_Tables!$B$2:$B$5,MATCH(D164,Lookup_Tables!$A$2:$A$5,0))</f>
        <v>5</v>
      </c>
      <c r="I164" s="9" t="n">
        <f aca="false">C164+H164</f>
        <v>46049</v>
      </c>
      <c r="J164" s="5" t="n">
        <v>0</v>
      </c>
      <c r="K164" s="9" t="n">
        <f aca="false">I164+J164</f>
        <v>46049</v>
      </c>
      <c r="L164" s="5" t="n">
        <v>42</v>
      </c>
      <c r="M164" s="10" t="n">
        <f aca="false">INDEX(Dim_Supplier!$F$2:$F$21,MATCH(B164,Dim_Supplier!$A$2:$A$21,0))</f>
        <v>340</v>
      </c>
      <c r="N164" s="11" t="n">
        <v>0.0169</v>
      </c>
      <c r="O164" s="10" t="n">
        <f aca="false">M164*(1+N164)</f>
        <v>345.746</v>
      </c>
      <c r="P164" s="10" t="n">
        <f aca="false">O164*L164</f>
        <v>14521.332</v>
      </c>
      <c r="Q164" s="5" t="s">
        <v>113</v>
      </c>
      <c r="R164" s="5" t="n">
        <v>0</v>
      </c>
      <c r="S164" s="5" t="n">
        <v>30</v>
      </c>
      <c r="T164" s="12" t="n">
        <f aca="false">(O164-M164)/M164</f>
        <v>0.0168999999999999</v>
      </c>
      <c r="U164" s="8" t="n">
        <f aca="false">IF(AND(K164&lt;=I164,R164=0),1,0)</f>
        <v>1</v>
      </c>
      <c r="V164" s="10" t="n">
        <f aca="false">IF(Q164="No",P164,0)</f>
        <v>0</v>
      </c>
    </row>
    <row r="165" customFormat="false" ht="15" hidden="false" customHeight="false" outlineLevel="0" collapsed="false">
      <c r="A165" s="5" t="s">
        <v>299</v>
      </c>
      <c r="B165" s="5" t="s">
        <v>75</v>
      </c>
      <c r="C165" s="7" t="n">
        <v>45938</v>
      </c>
      <c r="D165" s="8" t="str">
        <f aca="false">INDEX(Dim_Supplier!$C$2:$C$21,MATCH(B165,Dim_Supplier!$A$2:$A$21,0))</f>
        <v>MRO</v>
      </c>
      <c r="E165" s="8" t="str">
        <f aca="false">INDEX(Dim_Supplier!$B$2:$B$21,MATCH(B165,Dim_Supplier!$A$2:$A$21,0))</f>
        <v>Sterling Lubricants Inc.</v>
      </c>
      <c r="F165" s="5" t="s">
        <v>164</v>
      </c>
      <c r="G165" s="5" t="s">
        <v>112</v>
      </c>
      <c r="H165" s="8" t="n">
        <f aca="false">INDEX(Lookup_Tables!$B$2:$B$5,MATCH(D165,Lookup_Tables!$A$2:$A$5,0))</f>
        <v>10</v>
      </c>
      <c r="I165" s="9" t="n">
        <f aca="false">C165+H165</f>
        <v>45948</v>
      </c>
      <c r="J165" s="5" t="n">
        <v>0</v>
      </c>
      <c r="K165" s="9" t="n">
        <f aca="false">I165+J165</f>
        <v>45948</v>
      </c>
      <c r="L165" s="5" t="n">
        <v>122</v>
      </c>
      <c r="M165" s="10" t="n">
        <f aca="false">INDEX(Dim_Supplier!$F$2:$F$21,MATCH(B165,Dim_Supplier!$A$2:$A$21,0))</f>
        <v>27.1</v>
      </c>
      <c r="N165" s="11" t="n">
        <v>0.0334</v>
      </c>
      <c r="O165" s="10" t="n">
        <f aca="false">M165*(1+N165)</f>
        <v>28.00514</v>
      </c>
      <c r="P165" s="10" t="n">
        <f aca="false">O165*L165</f>
        <v>3416.62708</v>
      </c>
      <c r="Q165" s="5" t="s">
        <v>113</v>
      </c>
      <c r="R165" s="5" t="n">
        <v>0</v>
      </c>
      <c r="S165" s="5" t="n">
        <v>45</v>
      </c>
      <c r="T165" s="12" t="n">
        <f aca="false">(O165-M165)/M165</f>
        <v>0.0334000000000001</v>
      </c>
      <c r="U165" s="8" t="n">
        <f aca="false">IF(AND(K165&lt;=I165,R165=0),1,0)</f>
        <v>1</v>
      </c>
      <c r="V165" s="10" t="n">
        <f aca="false">IF(Q165="No",P165,0)</f>
        <v>0</v>
      </c>
    </row>
    <row r="166" customFormat="false" ht="15" hidden="false" customHeight="false" outlineLevel="0" collapsed="false">
      <c r="A166" s="5" t="s">
        <v>300</v>
      </c>
      <c r="B166" s="5" t="s">
        <v>84</v>
      </c>
      <c r="C166" s="7" t="n">
        <v>45615</v>
      </c>
      <c r="D166" s="8" t="str">
        <f aca="false">INDEX(Dim_Supplier!$C$2:$C$21,MATCH(B166,Dim_Supplier!$A$2:$A$21,0))</f>
        <v>Logistics</v>
      </c>
      <c r="E166" s="8" t="str">
        <f aca="false">INDEX(Dim_Supplier!$B$2:$B$21,MATCH(B166,Dim_Supplier!$A$2:$A$21,0))</f>
        <v>Trans-Canada Carriers</v>
      </c>
      <c r="F166" s="5" t="s">
        <v>146</v>
      </c>
      <c r="G166" s="5" t="s">
        <v>125</v>
      </c>
      <c r="H166" s="8" t="n">
        <f aca="false">INDEX(Lookup_Tables!$B$2:$B$5,MATCH(D166,Lookup_Tables!$A$2:$A$5,0))</f>
        <v>5</v>
      </c>
      <c r="I166" s="9" t="n">
        <f aca="false">C166+H166</f>
        <v>45620</v>
      </c>
      <c r="J166" s="5" t="n">
        <v>6</v>
      </c>
      <c r="K166" s="9" t="n">
        <f aca="false">I166+J166</f>
        <v>45626</v>
      </c>
      <c r="L166" s="5" t="n">
        <v>17</v>
      </c>
      <c r="M166" s="10" t="n">
        <f aca="false">INDEX(Dim_Supplier!$F$2:$F$21,MATCH(B166,Dim_Supplier!$A$2:$A$21,0))</f>
        <v>210</v>
      </c>
      <c r="N166" s="11" t="n">
        <v>0.1283</v>
      </c>
      <c r="O166" s="10" t="n">
        <f aca="false">M166*(1+N166)</f>
        <v>236.943</v>
      </c>
      <c r="P166" s="10" t="n">
        <f aca="false">O166*L166</f>
        <v>4028.031</v>
      </c>
      <c r="Q166" s="5" t="s">
        <v>113</v>
      </c>
      <c r="R166" s="5" t="n">
        <v>0</v>
      </c>
      <c r="S166" s="5" t="n">
        <v>30</v>
      </c>
      <c r="T166" s="12" t="n">
        <f aca="false">(O166-M166)/M166</f>
        <v>0.1283</v>
      </c>
      <c r="U166" s="8" t="n">
        <f aca="false">IF(AND(K166&lt;=I166,R166=0),1,0)</f>
        <v>0</v>
      </c>
      <c r="V166" s="10" t="n">
        <f aca="false">IF(Q166="No",P166,0)</f>
        <v>0</v>
      </c>
    </row>
    <row r="167" customFormat="false" ht="15" hidden="false" customHeight="false" outlineLevel="0" collapsed="false">
      <c r="A167" s="5" t="s">
        <v>301</v>
      </c>
      <c r="B167" s="5" t="s">
        <v>82</v>
      </c>
      <c r="C167" s="7" t="n">
        <v>45340</v>
      </c>
      <c r="D167" s="8" t="str">
        <f aca="false">INDEX(Dim_Supplier!$C$2:$C$21,MATCH(B167,Dim_Supplier!$A$2:$A$21,0))</f>
        <v>Logistics</v>
      </c>
      <c r="E167" s="8" t="str">
        <f aca="false">INDEX(Dim_Supplier!$B$2:$B$21,MATCH(B167,Dim_Supplier!$A$2:$A$21,0))</f>
        <v>Maple Route Logistics</v>
      </c>
      <c r="F167" s="5" t="s">
        <v>146</v>
      </c>
      <c r="G167" s="5" t="s">
        <v>120</v>
      </c>
      <c r="H167" s="8" t="n">
        <f aca="false">INDEX(Lookup_Tables!$B$2:$B$5,MATCH(D167,Lookup_Tables!$A$2:$A$5,0))</f>
        <v>5</v>
      </c>
      <c r="I167" s="9" t="n">
        <f aca="false">C167+H167</f>
        <v>45345</v>
      </c>
      <c r="J167" s="5" t="n">
        <v>0</v>
      </c>
      <c r="K167" s="9" t="n">
        <f aca="false">I167+J167</f>
        <v>45345</v>
      </c>
      <c r="L167" s="5" t="n">
        <v>26</v>
      </c>
      <c r="M167" s="10" t="n">
        <f aca="false">INDEX(Dim_Supplier!$F$2:$F$21,MATCH(B167,Dim_Supplier!$A$2:$A$21,0))</f>
        <v>285</v>
      </c>
      <c r="N167" s="11" t="n">
        <v>0.0435</v>
      </c>
      <c r="O167" s="10" t="n">
        <f aca="false">M167*(1+N167)</f>
        <v>297.3975</v>
      </c>
      <c r="P167" s="10" t="n">
        <f aca="false">O167*L167</f>
        <v>7732.335</v>
      </c>
      <c r="Q167" s="5" t="s">
        <v>113</v>
      </c>
      <c r="R167" s="5" t="n">
        <v>0</v>
      </c>
      <c r="S167" s="5" t="n">
        <v>30</v>
      </c>
      <c r="T167" s="12" t="n">
        <f aca="false">(O167-M167)/M167</f>
        <v>0.0435000000000001</v>
      </c>
      <c r="U167" s="8" t="n">
        <f aca="false">IF(AND(K167&lt;=I167,R167=0),1,0)</f>
        <v>1</v>
      </c>
      <c r="V167" s="10" t="n">
        <f aca="false">IF(Q167="No",P167,0)</f>
        <v>0</v>
      </c>
    </row>
    <row r="168" customFormat="false" ht="15" hidden="false" customHeight="false" outlineLevel="0" collapsed="false">
      <c r="A168" s="5" t="s">
        <v>302</v>
      </c>
      <c r="B168" s="5" t="s">
        <v>88</v>
      </c>
      <c r="C168" s="7" t="n">
        <v>45800</v>
      </c>
      <c r="D168" s="8" t="str">
        <f aca="false">INDEX(Dim_Supplier!$C$2:$C$21,MATCH(B168,Dim_Supplier!$A$2:$A$21,0))</f>
        <v>Logistics</v>
      </c>
      <c r="E168" s="8" t="str">
        <f aca="false">INDEX(Dim_Supplier!$B$2:$B$21,MATCH(B168,Dim_Supplier!$A$2:$A$21,0))</f>
        <v>Summit Last-Mile Delivery</v>
      </c>
      <c r="F168" s="5" t="s">
        <v>237</v>
      </c>
      <c r="G168" s="5" t="s">
        <v>120</v>
      </c>
      <c r="H168" s="8" t="n">
        <f aca="false">INDEX(Lookup_Tables!$B$2:$B$5,MATCH(D168,Lookup_Tables!$A$2:$A$5,0))</f>
        <v>5</v>
      </c>
      <c r="I168" s="9" t="n">
        <f aca="false">C168+H168</f>
        <v>45805</v>
      </c>
      <c r="J168" s="5" t="n">
        <v>1</v>
      </c>
      <c r="K168" s="9" t="n">
        <f aca="false">I168+J168</f>
        <v>45806</v>
      </c>
      <c r="L168" s="5" t="n">
        <v>6</v>
      </c>
      <c r="M168" s="10" t="n">
        <f aca="false">INDEX(Dim_Supplier!$F$2:$F$21,MATCH(B168,Dim_Supplier!$A$2:$A$21,0))</f>
        <v>95</v>
      </c>
      <c r="N168" s="11" t="n">
        <v>0.0289</v>
      </c>
      <c r="O168" s="10" t="n">
        <f aca="false">M168*(1+N168)</f>
        <v>97.7455</v>
      </c>
      <c r="P168" s="10" t="n">
        <f aca="false">O168*L168</f>
        <v>586.473</v>
      </c>
      <c r="Q168" s="5" t="s">
        <v>113</v>
      </c>
      <c r="R168" s="5" t="n">
        <v>0</v>
      </c>
      <c r="S168" s="5" t="n">
        <v>45</v>
      </c>
      <c r="T168" s="12" t="n">
        <f aca="false">(O168-M168)/M168</f>
        <v>0.0288999999999999</v>
      </c>
      <c r="U168" s="8" t="n">
        <f aca="false">IF(AND(K168&lt;=I168,R168=0),1,0)</f>
        <v>0</v>
      </c>
      <c r="V168" s="10" t="n">
        <f aca="false">IF(Q168="No",P168,0)</f>
        <v>0</v>
      </c>
    </row>
    <row r="169" customFormat="false" ht="15" hidden="false" customHeight="false" outlineLevel="0" collapsed="false">
      <c r="A169" s="5" t="s">
        <v>303</v>
      </c>
      <c r="B169" s="5" t="s">
        <v>79</v>
      </c>
      <c r="C169" s="7" t="n">
        <v>45850</v>
      </c>
      <c r="D169" s="8" t="str">
        <f aca="false">INDEX(Dim_Supplier!$C$2:$C$21,MATCH(B169,Dim_Supplier!$A$2:$A$21,0))</f>
        <v>Logistics</v>
      </c>
      <c r="E169" s="8" t="str">
        <f aca="false">INDEX(Dim_Supplier!$B$2:$B$21,MATCH(B169,Dim_Supplier!$A$2:$A$21,0))</f>
        <v>Niagara Freight Solutions</v>
      </c>
      <c r="F169" s="5" t="s">
        <v>146</v>
      </c>
      <c r="G169" s="5" t="s">
        <v>120</v>
      </c>
      <c r="H169" s="8" t="n">
        <f aca="false">INDEX(Lookup_Tables!$B$2:$B$5,MATCH(D169,Lookup_Tables!$A$2:$A$5,0))</f>
        <v>5</v>
      </c>
      <c r="I169" s="9" t="n">
        <f aca="false">C169+H169</f>
        <v>45855</v>
      </c>
      <c r="J169" s="5" t="n">
        <v>-1</v>
      </c>
      <c r="K169" s="9" t="n">
        <f aca="false">I169+J169</f>
        <v>45854</v>
      </c>
      <c r="L169" s="5" t="n">
        <v>19</v>
      </c>
      <c r="M169" s="10" t="n">
        <f aca="false">INDEX(Dim_Supplier!$F$2:$F$21,MATCH(B169,Dim_Supplier!$A$2:$A$21,0))</f>
        <v>340</v>
      </c>
      <c r="N169" s="11" t="n">
        <v>0.0207</v>
      </c>
      <c r="O169" s="10" t="n">
        <f aca="false">M169*(1+N169)</f>
        <v>347.038</v>
      </c>
      <c r="P169" s="10" t="n">
        <f aca="false">O169*L169</f>
        <v>6593.722</v>
      </c>
      <c r="Q169" s="5" t="s">
        <v>113</v>
      </c>
      <c r="R169" s="5" t="n">
        <v>0</v>
      </c>
      <c r="S169" s="5" t="n">
        <v>30</v>
      </c>
      <c r="T169" s="12" t="n">
        <f aca="false">(O169-M169)/M169</f>
        <v>0.0206999999999999</v>
      </c>
      <c r="U169" s="8" t="n">
        <f aca="false">IF(AND(K169&lt;=I169,R169=0),1,0)</f>
        <v>1</v>
      </c>
      <c r="V169" s="10" t="n">
        <f aca="false">IF(Q169="No",P169,0)</f>
        <v>0</v>
      </c>
    </row>
    <row r="170" customFormat="false" ht="15" hidden="false" customHeight="false" outlineLevel="0" collapsed="false">
      <c r="A170" s="5" t="s">
        <v>304</v>
      </c>
      <c r="B170" s="5" t="s">
        <v>75</v>
      </c>
      <c r="C170" s="7" t="n">
        <v>45651</v>
      </c>
      <c r="D170" s="8" t="str">
        <f aca="false">INDEX(Dim_Supplier!$C$2:$C$21,MATCH(B170,Dim_Supplier!$A$2:$A$21,0))</f>
        <v>MRO</v>
      </c>
      <c r="E170" s="8" t="str">
        <f aca="false">INDEX(Dim_Supplier!$B$2:$B$21,MATCH(B170,Dim_Supplier!$A$2:$A$21,0))</f>
        <v>Sterling Lubricants Inc.</v>
      </c>
      <c r="F170" s="5" t="s">
        <v>179</v>
      </c>
      <c r="G170" s="5" t="s">
        <v>129</v>
      </c>
      <c r="H170" s="8" t="n">
        <f aca="false">INDEX(Lookup_Tables!$B$2:$B$5,MATCH(D170,Lookup_Tables!$A$2:$A$5,0))</f>
        <v>10</v>
      </c>
      <c r="I170" s="9" t="n">
        <f aca="false">C170+H170</f>
        <v>45661</v>
      </c>
      <c r="J170" s="5" t="n">
        <v>-4</v>
      </c>
      <c r="K170" s="9" t="n">
        <f aca="false">I170+J170</f>
        <v>45657</v>
      </c>
      <c r="L170" s="5" t="n">
        <v>162</v>
      </c>
      <c r="M170" s="10" t="n">
        <f aca="false">INDEX(Dim_Supplier!$F$2:$F$21,MATCH(B170,Dim_Supplier!$A$2:$A$21,0))</f>
        <v>27.1</v>
      </c>
      <c r="N170" s="11" t="n">
        <v>-0.0236</v>
      </c>
      <c r="O170" s="10" t="n">
        <f aca="false">M170*(1+N170)</f>
        <v>26.46044</v>
      </c>
      <c r="P170" s="10" t="n">
        <f aca="false">O170*L170</f>
        <v>4286.59128</v>
      </c>
      <c r="Q170" s="5" t="s">
        <v>133</v>
      </c>
      <c r="R170" s="5" t="n">
        <v>0</v>
      </c>
      <c r="S170" s="5" t="n">
        <v>60</v>
      </c>
      <c r="T170" s="12" t="n">
        <f aca="false">(O170-M170)/M170</f>
        <v>-0.0236</v>
      </c>
      <c r="U170" s="8" t="n">
        <f aca="false">IF(AND(K170&lt;=I170,R170=0),1,0)</f>
        <v>1</v>
      </c>
      <c r="V170" s="10" t="n">
        <f aca="false">IF(Q170="No",P170,0)</f>
        <v>4286.59128</v>
      </c>
    </row>
    <row r="171" customFormat="false" ht="15" hidden="false" customHeight="false" outlineLevel="0" collapsed="false">
      <c r="A171" s="5" t="s">
        <v>305</v>
      </c>
      <c r="B171" s="5" t="s">
        <v>86</v>
      </c>
      <c r="C171" s="7" t="n">
        <v>45368</v>
      </c>
      <c r="D171" s="8" t="str">
        <f aca="false">INDEX(Dim_Supplier!$C$2:$C$21,MATCH(B171,Dim_Supplier!$A$2:$A$21,0))</f>
        <v>Logistics</v>
      </c>
      <c r="E171" s="8" t="str">
        <f aca="false">INDEX(Dim_Supplier!$B$2:$B$21,MATCH(B171,Dim_Supplier!$A$2:$A$21,0))</f>
        <v>Blue Water Customs Brokerage</v>
      </c>
      <c r="F171" s="5" t="s">
        <v>237</v>
      </c>
      <c r="G171" s="5" t="s">
        <v>120</v>
      </c>
      <c r="H171" s="8" t="n">
        <f aca="false">INDEX(Lookup_Tables!$B$2:$B$5,MATCH(D171,Lookup_Tables!$A$2:$A$5,0))</f>
        <v>5</v>
      </c>
      <c r="I171" s="9" t="n">
        <f aca="false">C171+H171</f>
        <v>45373</v>
      </c>
      <c r="J171" s="5" t="n">
        <v>-4</v>
      </c>
      <c r="K171" s="9" t="n">
        <f aca="false">I171+J171</f>
        <v>45369</v>
      </c>
      <c r="L171" s="5" t="n">
        <v>11</v>
      </c>
      <c r="M171" s="10" t="n">
        <f aca="false">INDEX(Dim_Supplier!$F$2:$F$21,MATCH(B171,Dim_Supplier!$A$2:$A$21,0))</f>
        <v>175</v>
      </c>
      <c r="N171" s="11" t="n">
        <v>0.0073</v>
      </c>
      <c r="O171" s="10" t="n">
        <f aca="false">M171*(1+N171)</f>
        <v>176.2775</v>
      </c>
      <c r="P171" s="10" t="n">
        <f aca="false">O171*L171</f>
        <v>1939.0525</v>
      </c>
      <c r="Q171" s="5" t="s">
        <v>133</v>
      </c>
      <c r="R171" s="5" t="n">
        <v>0</v>
      </c>
      <c r="S171" s="5" t="n">
        <v>45</v>
      </c>
      <c r="T171" s="12" t="n">
        <f aca="false">(O171-M171)/M171</f>
        <v>0.00730000000000002</v>
      </c>
      <c r="U171" s="8" t="n">
        <f aca="false">IF(AND(K171&lt;=I171,R171=0),1,0)</f>
        <v>1</v>
      </c>
      <c r="V171" s="10" t="n">
        <f aca="false">IF(Q171="No",P171,0)</f>
        <v>1939.0525</v>
      </c>
    </row>
    <row r="172" customFormat="false" ht="15" hidden="false" customHeight="false" outlineLevel="0" collapsed="false">
      <c r="A172" s="5" t="s">
        <v>306</v>
      </c>
      <c r="B172" s="5" t="s">
        <v>79</v>
      </c>
      <c r="C172" s="7" t="n">
        <v>45327</v>
      </c>
      <c r="D172" s="8" t="str">
        <f aca="false">INDEX(Dim_Supplier!$C$2:$C$21,MATCH(B172,Dim_Supplier!$A$2:$A$21,0))</f>
        <v>Logistics</v>
      </c>
      <c r="E172" s="8" t="str">
        <f aca="false">INDEX(Dim_Supplier!$B$2:$B$21,MATCH(B172,Dim_Supplier!$A$2:$A$21,0))</f>
        <v>Niagara Freight Solutions</v>
      </c>
      <c r="F172" s="5" t="s">
        <v>154</v>
      </c>
      <c r="G172" s="5" t="s">
        <v>129</v>
      </c>
      <c r="H172" s="8" t="n">
        <f aca="false">INDEX(Lookup_Tables!$B$2:$B$5,MATCH(D172,Lookup_Tables!$A$2:$A$5,0))</f>
        <v>5</v>
      </c>
      <c r="I172" s="9" t="n">
        <f aca="false">C172+H172</f>
        <v>45332</v>
      </c>
      <c r="J172" s="5" t="n">
        <v>-2</v>
      </c>
      <c r="K172" s="9" t="n">
        <f aca="false">I172+J172</f>
        <v>45330</v>
      </c>
      <c r="L172" s="5" t="n">
        <v>24</v>
      </c>
      <c r="M172" s="10" t="n">
        <f aca="false">INDEX(Dim_Supplier!$F$2:$F$21,MATCH(B172,Dim_Supplier!$A$2:$A$21,0))</f>
        <v>340</v>
      </c>
      <c r="N172" s="11" t="n">
        <v>0.0387</v>
      </c>
      <c r="O172" s="10" t="n">
        <f aca="false">M172*(1+N172)</f>
        <v>353.158</v>
      </c>
      <c r="P172" s="10" t="n">
        <f aca="false">O172*L172</f>
        <v>8475.792</v>
      </c>
      <c r="Q172" s="5" t="s">
        <v>113</v>
      </c>
      <c r="R172" s="5" t="n">
        <v>0</v>
      </c>
      <c r="S172" s="5" t="n">
        <v>45</v>
      </c>
      <c r="T172" s="12" t="n">
        <f aca="false">(O172-M172)/M172</f>
        <v>0.0386999999999999</v>
      </c>
      <c r="U172" s="8" t="n">
        <f aca="false">IF(AND(K172&lt;=I172,R172=0),1,0)</f>
        <v>1</v>
      </c>
      <c r="V172" s="10" t="n">
        <f aca="false">IF(Q172="No",P172,0)</f>
        <v>0</v>
      </c>
    </row>
    <row r="173" customFormat="false" ht="15" hidden="false" customHeight="false" outlineLevel="0" collapsed="false">
      <c r="A173" s="5" t="s">
        <v>307</v>
      </c>
      <c r="B173" s="5" t="s">
        <v>75</v>
      </c>
      <c r="C173" s="7" t="n">
        <v>45671</v>
      </c>
      <c r="D173" s="8" t="str">
        <f aca="false">INDEX(Dim_Supplier!$C$2:$C$21,MATCH(B173,Dim_Supplier!$A$2:$A$21,0))</f>
        <v>MRO</v>
      </c>
      <c r="E173" s="8" t="str">
        <f aca="false">INDEX(Dim_Supplier!$B$2:$B$21,MATCH(B173,Dim_Supplier!$A$2:$A$21,0))</f>
        <v>Sterling Lubricants Inc.</v>
      </c>
      <c r="F173" s="5" t="s">
        <v>111</v>
      </c>
      <c r="G173" s="5" t="s">
        <v>125</v>
      </c>
      <c r="H173" s="8" t="n">
        <f aca="false">INDEX(Lookup_Tables!$B$2:$B$5,MATCH(D173,Lookup_Tables!$A$2:$A$5,0))</f>
        <v>10</v>
      </c>
      <c r="I173" s="9" t="n">
        <f aca="false">C173+H173</f>
        <v>45681</v>
      </c>
      <c r="J173" s="5" t="n">
        <v>-3</v>
      </c>
      <c r="K173" s="9" t="n">
        <f aca="false">I173+J173</f>
        <v>45678</v>
      </c>
      <c r="L173" s="5" t="n">
        <v>140</v>
      </c>
      <c r="M173" s="10" t="n">
        <f aca="false">INDEX(Dim_Supplier!$F$2:$F$21,MATCH(B173,Dim_Supplier!$A$2:$A$21,0))</f>
        <v>27.1</v>
      </c>
      <c r="N173" s="11" t="n">
        <v>-0.006</v>
      </c>
      <c r="O173" s="10" t="n">
        <f aca="false">M173*(1+N173)</f>
        <v>26.9374</v>
      </c>
      <c r="P173" s="10" t="n">
        <f aca="false">O173*L173</f>
        <v>3771.236</v>
      </c>
      <c r="Q173" s="5" t="s">
        <v>113</v>
      </c>
      <c r="R173" s="5" t="n">
        <v>0</v>
      </c>
      <c r="S173" s="5" t="n">
        <v>30</v>
      </c>
      <c r="T173" s="12" t="n">
        <f aca="false">(O173-M173)/M173</f>
        <v>-0.00600000000000004</v>
      </c>
      <c r="U173" s="8" t="n">
        <f aca="false">IF(AND(K173&lt;=I173,R173=0),1,0)</f>
        <v>1</v>
      </c>
      <c r="V173" s="10" t="n">
        <f aca="false">IF(Q173="No",P173,0)</f>
        <v>0</v>
      </c>
    </row>
    <row r="174" customFormat="false" ht="15" hidden="false" customHeight="false" outlineLevel="0" collapsed="false">
      <c r="A174" s="5" t="s">
        <v>308</v>
      </c>
      <c r="B174" s="5" t="s">
        <v>88</v>
      </c>
      <c r="C174" s="7" t="n">
        <v>45318</v>
      </c>
      <c r="D174" s="8" t="str">
        <f aca="false">INDEX(Dim_Supplier!$C$2:$C$21,MATCH(B174,Dim_Supplier!$A$2:$A$21,0))</f>
        <v>Logistics</v>
      </c>
      <c r="E174" s="8" t="str">
        <f aca="false">INDEX(Dim_Supplier!$B$2:$B$21,MATCH(B174,Dim_Supplier!$A$2:$A$21,0))</f>
        <v>Summit Last-Mile Delivery</v>
      </c>
      <c r="F174" s="5" t="s">
        <v>154</v>
      </c>
      <c r="G174" s="5" t="s">
        <v>125</v>
      </c>
      <c r="H174" s="8" t="n">
        <f aca="false">INDEX(Lookup_Tables!$B$2:$B$5,MATCH(D174,Lookup_Tables!$A$2:$A$5,0))</f>
        <v>5</v>
      </c>
      <c r="I174" s="9" t="n">
        <f aca="false">C174+H174</f>
        <v>45323</v>
      </c>
      <c r="J174" s="5" t="n">
        <v>-4</v>
      </c>
      <c r="K174" s="9" t="n">
        <f aca="false">I174+J174</f>
        <v>45319</v>
      </c>
      <c r="L174" s="5" t="n">
        <v>8</v>
      </c>
      <c r="M174" s="10" t="n">
        <f aca="false">INDEX(Dim_Supplier!$F$2:$F$21,MATCH(B174,Dim_Supplier!$A$2:$A$21,0))</f>
        <v>95</v>
      </c>
      <c r="N174" s="11" t="n">
        <v>0.0351</v>
      </c>
      <c r="O174" s="10" t="n">
        <f aca="false">M174*(1+N174)</f>
        <v>98.3345</v>
      </c>
      <c r="P174" s="10" t="n">
        <f aca="false">O174*L174</f>
        <v>786.676</v>
      </c>
      <c r="Q174" s="5" t="s">
        <v>113</v>
      </c>
      <c r="R174" s="5" t="n">
        <v>0</v>
      </c>
      <c r="S174" s="5" t="n">
        <v>30</v>
      </c>
      <c r="T174" s="12" t="n">
        <f aca="false">(O174-M174)/M174</f>
        <v>0.0350999999999999</v>
      </c>
      <c r="U174" s="8" t="n">
        <f aca="false">IF(AND(K174&lt;=I174,R174=0),1,0)</f>
        <v>1</v>
      </c>
      <c r="V174" s="10" t="n">
        <f aca="false">IF(Q174="No",P174,0)</f>
        <v>0</v>
      </c>
    </row>
    <row r="175" customFormat="false" ht="15" hidden="false" customHeight="false" outlineLevel="0" collapsed="false">
      <c r="A175" s="5" t="s">
        <v>309</v>
      </c>
      <c r="B175" s="5" t="s">
        <v>88</v>
      </c>
      <c r="C175" s="7" t="n">
        <v>45584</v>
      </c>
      <c r="D175" s="8" t="str">
        <f aca="false">INDEX(Dim_Supplier!$C$2:$C$21,MATCH(B175,Dim_Supplier!$A$2:$A$21,0))</f>
        <v>Logistics</v>
      </c>
      <c r="E175" s="8" t="str">
        <f aca="false">INDEX(Dim_Supplier!$B$2:$B$21,MATCH(B175,Dim_Supplier!$A$2:$A$21,0))</f>
        <v>Summit Last-Mile Delivery</v>
      </c>
      <c r="F175" s="5" t="s">
        <v>237</v>
      </c>
      <c r="G175" s="5" t="s">
        <v>112</v>
      </c>
      <c r="H175" s="8" t="n">
        <f aca="false">INDEX(Lookup_Tables!$B$2:$B$5,MATCH(D175,Lookup_Tables!$A$2:$A$5,0))</f>
        <v>5</v>
      </c>
      <c r="I175" s="9" t="n">
        <f aca="false">C175+H175</f>
        <v>45589</v>
      </c>
      <c r="J175" s="5" t="n">
        <v>2</v>
      </c>
      <c r="K175" s="9" t="n">
        <f aca="false">I175+J175</f>
        <v>45591</v>
      </c>
      <c r="L175" s="5" t="n">
        <v>29</v>
      </c>
      <c r="M175" s="10" t="n">
        <f aca="false">INDEX(Dim_Supplier!$F$2:$F$21,MATCH(B175,Dim_Supplier!$A$2:$A$21,0))</f>
        <v>95</v>
      </c>
      <c r="N175" s="11" t="n">
        <v>0.0673</v>
      </c>
      <c r="O175" s="10" t="n">
        <f aca="false">M175*(1+N175)</f>
        <v>101.3935</v>
      </c>
      <c r="P175" s="10" t="n">
        <f aca="false">O175*L175</f>
        <v>2940.4115</v>
      </c>
      <c r="Q175" s="5" t="s">
        <v>113</v>
      </c>
      <c r="R175" s="5" t="n">
        <v>0</v>
      </c>
      <c r="S175" s="5" t="n">
        <v>60</v>
      </c>
      <c r="T175" s="12" t="n">
        <f aca="false">(O175-M175)/M175</f>
        <v>0.0672999999999999</v>
      </c>
      <c r="U175" s="8" t="n">
        <f aca="false">IF(AND(K175&lt;=I175,R175=0),1,0)</f>
        <v>0</v>
      </c>
      <c r="V175" s="10" t="n">
        <f aca="false">IF(Q175="No",P175,0)</f>
        <v>0</v>
      </c>
    </row>
    <row r="176" customFormat="false" ht="15" hidden="false" customHeight="false" outlineLevel="0" collapsed="false">
      <c r="A176" s="5" t="s">
        <v>310</v>
      </c>
      <c r="B176" s="5" t="s">
        <v>79</v>
      </c>
      <c r="C176" s="7" t="n">
        <v>46157</v>
      </c>
      <c r="D176" s="8" t="str">
        <f aca="false">INDEX(Dim_Supplier!$C$2:$C$21,MATCH(B176,Dim_Supplier!$A$2:$A$21,0))</f>
        <v>Logistics</v>
      </c>
      <c r="E176" s="8" t="str">
        <f aca="false">INDEX(Dim_Supplier!$B$2:$B$21,MATCH(B176,Dim_Supplier!$A$2:$A$21,0))</f>
        <v>Niagara Freight Solutions</v>
      </c>
      <c r="F176" s="5" t="s">
        <v>146</v>
      </c>
      <c r="G176" s="5" t="s">
        <v>120</v>
      </c>
      <c r="H176" s="8" t="n">
        <f aca="false">INDEX(Lookup_Tables!$B$2:$B$5,MATCH(D176,Lookup_Tables!$A$2:$A$5,0))</f>
        <v>5</v>
      </c>
      <c r="I176" s="9" t="n">
        <f aca="false">C176+H176</f>
        <v>46162</v>
      </c>
      <c r="J176" s="5" t="n">
        <v>-3</v>
      </c>
      <c r="K176" s="9" t="n">
        <f aca="false">I176+J176</f>
        <v>46159</v>
      </c>
      <c r="L176" s="5" t="n">
        <v>19</v>
      </c>
      <c r="M176" s="10" t="n">
        <f aca="false">INDEX(Dim_Supplier!$F$2:$F$21,MATCH(B176,Dim_Supplier!$A$2:$A$21,0))</f>
        <v>340</v>
      </c>
      <c r="N176" s="11" t="n">
        <v>-0.0145</v>
      </c>
      <c r="O176" s="10" t="n">
        <f aca="false">M176*(1+N176)</f>
        <v>335.07</v>
      </c>
      <c r="P176" s="10" t="n">
        <f aca="false">O176*L176</f>
        <v>6366.33</v>
      </c>
      <c r="Q176" s="5" t="s">
        <v>113</v>
      </c>
      <c r="R176" s="5" t="n">
        <v>0</v>
      </c>
      <c r="S176" s="5" t="n">
        <v>45</v>
      </c>
      <c r="T176" s="12" t="n">
        <f aca="false">(O176-M176)/M176</f>
        <v>-0.0145</v>
      </c>
      <c r="U176" s="8" t="n">
        <f aca="false">IF(AND(K176&lt;=I176,R176=0),1,0)</f>
        <v>1</v>
      </c>
      <c r="V176" s="10" t="n">
        <f aca="false">IF(Q176="No",P176,0)</f>
        <v>0</v>
      </c>
    </row>
    <row r="177" customFormat="false" ht="15" hidden="false" customHeight="false" outlineLevel="0" collapsed="false">
      <c r="A177" s="5" t="s">
        <v>311</v>
      </c>
      <c r="B177" s="5" t="s">
        <v>86</v>
      </c>
      <c r="C177" s="7" t="n">
        <v>45945</v>
      </c>
      <c r="D177" s="8" t="str">
        <f aca="false">INDEX(Dim_Supplier!$C$2:$C$21,MATCH(B177,Dim_Supplier!$A$2:$A$21,0))</f>
        <v>Logistics</v>
      </c>
      <c r="E177" s="8" t="str">
        <f aca="false">INDEX(Dim_Supplier!$B$2:$B$21,MATCH(B177,Dim_Supplier!$A$2:$A$21,0))</f>
        <v>Blue Water Customs Brokerage</v>
      </c>
      <c r="F177" s="5" t="s">
        <v>154</v>
      </c>
      <c r="G177" s="5" t="s">
        <v>120</v>
      </c>
      <c r="H177" s="8" t="n">
        <f aca="false">INDEX(Lookup_Tables!$B$2:$B$5,MATCH(D177,Lookup_Tables!$A$2:$A$5,0))</f>
        <v>5</v>
      </c>
      <c r="I177" s="9" t="n">
        <f aca="false">C177+H177</f>
        <v>45950</v>
      </c>
      <c r="J177" s="5" t="n">
        <v>-3</v>
      </c>
      <c r="K177" s="9" t="n">
        <f aca="false">I177+J177</f>
        <v>45947</v>
      </c>
      <c r="L177" s="5" t="n">
        <v>13</v>
      </c>
      <c r="M177" s="10" t="n">
        <f aca="false">INDEX(Dim_Supplier!$F$2:$F$21,MATCH(B177,Dim_Supplier!$A$2:$A$21,0))</f>
        <v>175</v>
      </c>
      <c r="N177" s="11" t="n">
        <v>0.0094</v>
      </c>
      <c r="O177" s="10" t="n">
        <f aca="false">M177*(1+N177)</f>
        <v>176.645</v>
      </c>
      <c r="P177" s="10" t="n">
        <f aca="false">O177*L177</f>
        <v>2296.385</v>
      </c>
      <c r="Q177" s="5" t="s">
        <v>113</v>
      </c>
      <c r="R177" s="5" t="n">
        <v>0</v>
      </c>
      <c r="S177" s="5" t="n">
        <v>30</v>
      </c>
      <c r="T177" s="12" t="n">
        <f aca="false">(O177-M177)/M177</f>
        <v>0.00940000000000006</v>
      </c>
      <c r="U177" s="8" t="n">
        <f aca="false">IF(AND(K177&lt;=I177,R177=0),1,0)</f>
        <v>1</v>
      </c>
      <c r="V177" s="10" t="n">
        <f aca="false">IF(Q177="No",P177,0)</f>
        <v>0</v>
      </c>
    </row>
    <row r="178" customFormat="false" ht="15" hidden="false" customHeight="false" outlineLevel="0" collapsed="false">
      <c r="A178" s="5" t="s">
        <v>312</v>
      </c>
      <c r="B178" s="5" t="s">
        <v>57</v>
      </c>
      <c r="C178" s="7" t="n">
        <v>45878</v>
      </c>
      <c r="D178" s="8" t="str">
        <f aca="false">INDEX(Dim_Supplier!$C$2:$C$21,MATCH(B178,Dim_Supplier!$A$2:$A$21,0))</f>
        <v>Packaging</v>
      </c>
      <c r="E178" s="8" t="str">
        <f aca="false">INDEX(Dim_Supplier!$B$2:$B$21,MATCH(B178,Dim_Supplier!$A$2:$A$21,0))</f>
        <v>Great Lakes Packaging Co.</v>
      </c>
      <c r="F178" s="5" t="s">
        <v>119</v>
      </c>
      <c r="G178" s="5" t="s">
        <v>125</v>
      </c>
      <c r="H178" s="8" t="n">
        <f aca="false">INDEX(Lookup_Tables!$B$2:$B$5,MATCH(D178,Lookup_Tables!$A$2:$A$5,0))</f>
        <v>14</v>
      </c>
      <c r="I178" s="9" t="n">
        <f aca="false">C178+H178</f>
        <v>45892</v>
      </c>
      <c r="J178" s="5" t="n">
        <v>-2</v>
      </c>
      <c r="K178" s="9" t="n">
        <f aca="false">I178+J178</f>
        <v>45890</v>
      </c>
      <c r="L178" s="5" t="n">
        <v>1206</v>
      </c>
      <c r="M178" s="10" t="n">
        <f aca="false">INDEX(Dim_Supplier!$F$2:$F$21,MATCH(B178,Dim_Supplier!$A$2:$A$21,0))</f>
        <v>4.35</v>
      </c>
      <c r="N178" s="11" t="n">
        <v>-0.0139</v>
      </c>
      <c r="O178" s="10" t="n">
        <f aca="false">M178*(1+N178)</f>
        <v>4.289535</v>
      </c>
      <c r="P178" s="10" t="n">
        <f aca="false">O178*L178</f>
        <v>5173.17921</v>
      </c>
      <c r="Q178" s="5" t="s">
        <v>113</v>
      </c>
      <c r="R178" s="5" t="n">
        <v>0</v>
      </c>
      <c r="S178" s="5" t="n">
        <v>45</v>
      </c>
      <c r="T178" s="12" t="n">
        <f aca="false">(O178-M178)/M178</f>
        <v>-0.0138999999999999</v>
      </c>
      <c r="U178" s="8" t="n">
        <f aca="false">IF(AND(K178&lt;=I178,R178=0),1,0)</f>
        <v>1</v>
      </c>
      <c r="V178" s="10" t="n">
        <f aca="false">IF(Q178="No",P178,0)</f>
        <v>0</v>
      </c>
    </row>
    <row r="179" customFormat="false" ht="15" hidden="false" customHeight="false" outlineLevel="0" collapsed="false">
      <c r="A179" s="5" t="s">
        <v>313</v>
      </c>
      <c r="B179" s="5" t="s">
        <v>64</v>
      </c>
      <c r="C179" s="7" t="n">
        <v>45712</v>
      </c>
      <c r="D179" s="8" t="str">
        <f aca="false">INDEX(Dim_Supplier!$C$2:$C$21,MATCH(B179,Dim_Supplier!$A$2:$A$21,0))</f>
        <v>Packaging</v>
      </c>
      <c r="E179" s="8" t="str">
        <f aca="false">INDEX(Dim_Supplier!$B$2:$B$21,MATCH(B179,Dim_Supplier!$A$2:$A$21,0))</f>
        <v>Huron Pallet Works</v>
      </c>
      <c r="F179" s="5" t="s">
        <v>137</v>
      </c>
      <c r="G179" s="5" t="s">
        <v>129</v>
      </c>
      <c r="H179" s="8" t="n">
        <f aca="false">INDEX(Lookup_Tables!$B$2:$B$5,MATCH(D179,Lookup_Tables!$A$2:$A$5,0))</f>
        <v>14</v>
      </c>
      <c r="I179" s="9" t="n">
        <f aca="false">C179+H179</f>
        <v>45726</v>
      </c>
      <c r="J179" s="5" t="n">
        <v>6</v>
      </c>
      <c r="K179" s="9" t="n">
        <f aca="false">I179+J179</f>
        <v>45732</v>
      </c>
      <c r="L179" s="5" t="n">
        <v>1107</v>
      </c>
      <c r="M179" s="10" t="n">
        <f aca="false">INDEX(Dim_Supplier!$F$2:$F$21,MATCH(B179,Dim_Supplier!$A$2:$A$21,0))</f>
        <v>2.25</v>
      </c>
      <c r="N179" s="11" t="n">
        <v>0.1524</v>
      </c>
      <c r="O179" s="10" t="n">
        <f aca="false">M179*(1+N179)</f>
        <v>2.5929</v>
      </c>
      <c r="P179" s="10" t="n">
        <f aca="false">O179*L179</f>
        <v>2870.3403</v>
      </c>
      <c r="Q179" s="5" t="s">
        <v>113</v>
      </c>
      <c r="R179" s="5" t="n">
        <v>0</v>
      </c>
      <c r="S179" s="5" t="n">
        <v>30</v>
      </c>
      <c r="T179" s="12" t="n">
        <f aca="false">(O179-M179)/M179</f>
        <v>0.1524</v>
      </c>
      <c r="U179" s="8" t="n">
        <f aca="false">IF(AND(K179&lt;=I179,R179=0),1,0)</f>
        <v>0</v>
      </c>
      <c r="V179" s="10" t="n">
        <f aca="false">IF(Q179="No",P179,0)</f>
        <v>0</v>
      </c>
    </row>
    <row r="180" customFormat="false" ht="15" hidden="false" customHeight="false" outlineLevel="0" collapsed="false">
      <c r="A180" s="5" t="s">
        <v>314</v>
      </c>
      <c r="B180" s="5" t="s">
        <v>82</v>
      </c>
      <c r="C180" s="7" t="n">
        <v>46090</v>
      </c>
      <c r="D180" s="8" t="str">
        <f aca="false">INDEX(Dim_Supplier!$C$2:$C$21,MATCH(B180,Dim_Supplier!$A$2:$A$21,0))</f>
        <v>Logistics</v>
      </c>
      <c r="E180" s="8" t="str">
        <f aca="false">INDEX(Dim_Supplier!$B$2:$B$21,MATCH(B180,Dim_Supplier!$A$2:$A$21,0))</f>
        <v>Maple Route Logistics</v>
      </c>
      <c r="F180" s="5" t="s">
        <v>185</v>
      </c>
      <c r="G180" s="5" t="s">
        <v>112</v>
      </c>
      <c r="H180" s="8" t="n">
        <f aca="false">INDEX(Lookup_Tables!$B$2:$B$5,MATCH(D180,Lookup_Tables!$A$2:$A$5,0))</f>
        <v>5</v>
      </c>
      <c r="I180" s="9" t="n">
        <f aca="false">C180+H180</f>
        <v>46095</v>
      </c>
      <c r="J180" s="5" t="n">
        <v>-1</v>
      </c>
      <c r="K180" s="9" t="n">
        <f aca="false">I180+J180</f>
        <v>46094</v>
      </c>
      <c r="L180" s="5" t="n">
        <v>33</v>
      </c>
      <c r="M180" s="10" t="n">
        <f aca="false">INDEX(Dim_Supplier!$F$2:$F$21,MATCH(B180,Dim_Supplier!$A$2:$A$21,0))</f>
        <v>285</v>
      </c>
      <c r="N180" s="11" t="n">
        <v>0.0196</v>
      </c>
      <c r="O180" s="10" t="n">
        <f aca="false">M180*(1+N180)</f>
        <v>290.586</v>
      </c>
      <c r="P180" s="10" t="n">
        <f aca="false">O180*L180</f>
        <v>9589.338</v>
      </c>
      <c r="Q180" s="5" t="s">
        <v>133</v>
      </c>
      <c r="R180" s="5" t="n">
        <v>0</v>
      </c>
      <c r="S180" s="5" t="n">
        <v>30</v>
      </c>
      <c r="T180" s="12" t="n">
        <f aca="false">(O180-M180)/M180</f>
        <v>0.0196</v>
      </c>
      <c r="U180" s="8" t="n">
        <f aca="false">IF(AND(K180&lt;=I180,R180=0),1,0)</f>
        <v>1</v>
      </c>
      <c r="V180" s="10" t="n">
        <f aca="false">IF(Q180="No",P180,0)</f>
        <v>9589.338</v>
      </c>
    </row>
    <row r="181" customFormat="false" ht="15" hidden="false" customHeight="false" outlineLevel="0" collapsed="false">
      <c r="A181" s="5" t="s">
        <v>315</v>
      </c>
      <c r="B181" s="5" t="s">
        <v>46</v>
      </c>
      <c r="C181" s="7" t="n">
        <v>45460</v>
      </c>
      <c r="D181" s="8" t="str">
        <f aca="false">INDEX(Dim_Supplier!$C$2:$C$21,MATCH(B181,Dim_Supplier!$A$2:$A$21,0))</f>
        <v>Raw Materials</v>
      </c>
      <c r="E181" s="8" t="str">
        <f aca="false">INDEX(Dim_Supplier!$B$2:$B$21,MATCH(B181,Dim_Supplier!$A$2:$A$21,0))</f>
        <v>Niagara Alloy Supply</v>
      </c>
      <c r="F181" s="5" t="s">
        <v>115</v>
      </c>
      <c r="G181" s="5" t="s">
        <v>120</v>
      </c>
      <c r="H181" s="8" t="n">
        <f aca="false">INDEX(Lookup_Tables!$B$2:$B$5,MATCH(D181,Lookup_Tables!$A$2:$A$5,0))</f>
        <v>21</v>
      </c>
      <c r="I181" s="9" t="n">
        <f aca="false">C181+H181</f>
        <v>45481</v>
      </c>
      <c r="J181" s="5" t="n">
        <v>0</v>
      </c>
      <c r="K181" s="9" t="n">
        <f aca="false">I181+J181</f>
        <v>45481</v>
      </c>
      <c r="L181" s="5" t="n">
        <v>1162</v>
      </c>
      <c r="M181" s="10" t="n">
        <f aca="false">INDEX(Dim_Supplier!$F$2:$F$21,MATCH(B181,Dim_Supplier!$A$2:$A$21,0))</f>
        <v>46.5</v>
      </c>
      <c r="N181" s="11" t="n">
        <v>0.0243</v>
      </c>
      <c r="O181" s="10" t="n">
        <f aca="false">M181*(1+N181)</f>
        <v>47.62995</v>
      </c>
      <c r="P181" s="10" t="n">
        <f aca="false">O181*L181</f>
        <v>55346.0019</v>
      </c>
      <c r="Q181" s="5" t="s">
        <v>133</v>
      </c>
      <c r="R181" s="5" t="n">
        <v>0</v>
      </c>
      <c r="S181" s="5" t="n">
        <v>30</v>
      </c>
      <c r="T181" s="12" t="n">
        <f aca="false">(O181-M181)/M181</f>
        <v>0.0243</v>
      </c>
      <c r="U181" s="8" t="n">
        <f aca="false">IF(AND(K181&lt;=I181,R181=0),1,0)</f>
        <v>1</v>
      </c>
      <c r="V181" s="10" t="n">
        <f aca="false">IF(Q181="No",P181,0)</f>
        <v>55346.0019</v>
      </c>
    </row>
    <row r="182" customFormat="false" ht="15" hidden="false" customHeight="false" outlineLevel="0" collapsed="false">
      <c r="A182" s="5" t="s">
        <v>316</v>
      </c>
      <c r="B182" s="5" t="s">
        <v>71</v>
      </c>
      <c r="C182" s="7" t="n">
        <v>45856</v>
      </c>
      <c r="D182" s="8" t="str">
        <f aca="false">INDEX(Dim_Supplier!$C$2:$C$21,MATCH(B182,Dim_Supplier!$A$2:$A$21,0))</f>
        <v>MRO</v>
      </c>
      <c r="E182" s="8" t="str">
        <f aca="false">INDEX(Dim_Supplier!$B$2:$B$21,MATCH(B182,Dim_Supplier!$A$2:$A$21,0))</f>
        <v>CanSafe Equipment Ltd.</v>
      </c>
      <c r="F182" s="5" t="s">
        <v>111</v>
      </c>
      <c r="G182" s="5" t="s">
        <v>112</v>
      </c>
      <c r="H182" s="8" t="n">
        <f aca="false">INDEX(Lookup_Tables!$B$2:$B$5,MATCH(D182,Lookup_Tables!$A$2:$A$5,0))</f>
        <v>10</v>
      </c>
      <c r="I182" s="9" t="n">
        <f aca="false">C182+H182</f>
        <v>45866</v>
      </c>
      <c r="J182" s="5" t="n">
        <v>-3</v>
      </c>
      <c r="K182" s="9" t="n">
        <f aca="false">I182+J182</f>
        <v>45863</v>
      </c>
      <c r="L182" s="5" t="n">
        <v>28</v>
      </c>
      <c r="M182" s="10" t="n">
        <f aca="false">INDEX(Dim_Supplier!$F$2:$F$21,MATCH(B182,Dim_Supplier!$A$2:$A$21,0))</f>
        <v>18.75</v>
      </c>
      <c r="N182" s="11" t="n">
        <v>0.0105</v>
      </c>
      <c r="O182" s="10" t="n">
        <f aca="false">M182*(1+N182)</f>
        <v>18.946875</v>
      </c>
      <c r="P182" s="10" t="n">
        <f aca="false">O182*L182</f>
        <v>530.5125</v>
      </c>
      <c r="Q182" s="5" t="s">
        <v>113</v>
      </c>
      <c r="R182" s="5" t="n">
        <v>0</v>
      </c>
      <c r="S182" s="5" t="n">
        <v>60</v>
      </c>
      <c r="T182" s="12" t="n">
        <f aca="false">(O182-M182)/M182</f>
        <v>0.0104999999999999</v>
      </c>
      <c r="U182" s="8" t="n">
        <f aca="false">IF(AND(K182&lt;=I182,R182=0),1,0)</f>
        <v>1</v>
      </c>
      <c r="V182" s="10" t="n">
        <f aca="false">IF(Q182="No",P182,0)</f>
        <v>0</v>
      </c>
    </row>
    <row r="183" customFormat="false" ht="15" hidden="false" customHeight="false" outlineLevel="0" collapsed="false">
      <c r="A183" s="5" t="s">
        <v>317</v>
      </c>
      <c r="B183" s="5" t="s">
        <v>49</v>
      </c>
      <c r="C183" s="7" t="n">
        <v>45966</v>
      </c>
      <c r="D183" s="8" t="str">
        <f aca="false">INDEX(Dim_Supplier!$C$2:$C$21,MATCH(B183,Dim_Supplier!$A$2:$A$21,0))</f>
        <v>Raw Materials</v>
      </c>
      <c r="E183" s="8" t="str">
        <f aca="false">INDEX(Dim_Supplier!$B$2:$B$21,MATCH(B183,Dim_Supplier!$A$2:$A$21,0))</f>
        <v>Great Lakes Polymer Co.</v>
      </c>
      <c r="F183" s="5" t="s">
        <v>144</v>
      </c>
      <c r="G183" s="5" t="s">
        <v>120</v>
      </c>
      <c r="H183" s="8" t="n">
        <f aca="false">INDEX(Lookup_Tables!$B$2:$B$5,MATCH(D183,Lookup_Tables!$A$2:$A$5,0))</f>
        <v>21</v>
      </c>
      <c r="I183" s="9" t="n">
        <f aca="false">C183+H183</f>
        <v>45987</v>
      </c>
      <c r="J183" s="5" t="n">
        <v>5</v>
      </c>
      <c r="K183" s="9" t="n">
        <f aca="false">I183+J183</f>
        <v>45992</v>
      </c>
      <c r="L183" s="5" t="n">
        <v>1790</v>
      </c>
      <c r="M183" s="10" t="n">
        <f aca="false">INDEX(Dim_Supplier!$F$2:$F$21,MATCH(B183,Dim_Supplier!$A$2:$A$21,0))</f>
        <v>32.75</v>
      </c>
      <c r="N183" s="11" t="n">
        <v>0.0985</v>
      </c>
      <c r="O183" s="10" t="n">
        <f aca="false">M183*(1+N183)</f>
        <v>35.975875</v>
      </c>
      <c r="P183" s="10" t="n">
        <f aca="false">O183*L183</f>
        <v>64396.81625</v>
      </c>
      <c r="Q183" s="5" t="s">
        <v>133</v>
      </c>
      <c r="R183" s="5" t="n">
        <v>0</v>
      </c>
      <c r="S183" s="5" t="n">
        <v>60</v>
      </c>
      <c r="T183" s="12" t="n">
        <f aca="false">(O183-M183)/M183</f>
        <v>0.0985000000000001</v>
      </c>
      <c r="U183" s="8" t="n">
        <f aca="false">IF(AND(K183&lt;=I183,R183=0),1,0)</f>
        <v>0</v>
      </c>
      <c r="V183" s="10" t="n">
        <f aca="false">IF(Q183="No",P183,0)</f>
        <v>64396.81625</v>
      </c>
    </row>
    <row r="184" customFormat="false" ht="15" hidden="false" customHeight="false" outlineLevel="0" collapsed="false">
      <c r="A184" s="5" t="s">
        <v>318</v>
      </c>
      <c r="B184" s="5" t="s">
        <v>79</v>
      </c>
      <c r="C184" s="7" t="n">
        <v>45563</v>
      </c>
      <c r="D184" s="8" t="str">
        <f aca="false">INDEX(Dim_Supplier!$C$2:$C$21,MATCH(B184,Dim_Supplier!$A$2:$A$21,0))</f>
        <v>Logistics</v>
      </c>
      <c r="E184" s="8" t="str">
        <f aca="false">INDEX(Dim_Supplier!$B$2:$B$21,MATCH(B184,Dim_Supplier!$A$2:$A$21,0))</f>
        <v>Niagara Freight Solutions</v>
      </c>
      <c r="F184" s="5" t="s">
        <v>154</v>
      </c>
      <c r="G184" s="5" t="s">
        <v>125</v>
      </c>
      <c r="H184" s="8" t="n">
        <f aca="false">INDEX(Lookup_Tables!$B$2:$B$5,MATCH(D184,Lookup_Tables!$A$2:$A$5,0))</f>
        <v>5</v>
      </c>
      <c r="I184" s="9" t="n">
        <f aca="false">C184+H184</f>
        <v>45568</v>
      </c>
      <c r="J184" s="5" t="n">
        <v>-2</v>
      </c>
      <c r="K184" s="9" t="n">
        <f aca="false">I184+J184</f>
        <v>45566</v>
      </c>
      <c r="L184" s="5" t="n">
        <v>41</v>
      </c>
      <c r="M184" s="10" t="n">
        <f aca="false">INDEX(Dim_Supplier!$F$2:$F$21,MATCH(B184,Dim_Supplier!$A$2:$A$21,0))</f>
        <v>340</v>
      </c>
      <c r="N184" s="11" t="n">
        <v>0.0066</v>
      </c>
      <c r="O184" s="10" t="n">
        <f aca="false">M184*(1+N184)</f>
        <v>342.244</v>
      </c>
      <c r="P184" s="10" t="n">
        <f aca="false">O184*L184</f>
        <v>14032.004</v>
      </c>
      <c r="Q184" s="5" t="s">
        <v>113</v>
      </c>
      <c r="R184" s="5" t="n">
        <v>0</v>
      </c>
      <c r="S184" s="5" t="n">
        <v>30</v>
      </c>
      <c r="T184" s="12" t="n">
        <f aca="false">(O184-M184)/M184</f>
        <v>0.00659999999999992</v>
      </c>
      <c r="U184" s="8" t="n">
        <f aca="false">IF(AND(K184&lt;=I184,R184=0),1,0)</f>
        <v>1</v>
      </c>
      <c r="V184" s="10" t="n">
        <f aca="false">IF(Q184="No",P184,0)</f>
        <v>0</v>
      </c>
    </row>
    <row r="185" customFormat="false" ht="15" hidden="false" customHeight="false" outlineLevel="0" collapsed="false">
      <c r="A185" s="5" t="s">
        <v>319</v>
      </c>
      <c r="B185" s="5" t="s">
        <v>52</v>
      </c>
      <c r="C185" s="7" t="n">
        <v>46118</v>
      </c>
      <c r="D185" s="8" t="str">
        <f aca="false">INDEX(Dim_Supplier!$C$2:$C$21,MATCH(B185,Dim_Supplier!$A$2:$A$21,0))</f>
        <v>Raw Materials</v>
      </c>
      <c r="E185" s="8" t="str">
        <f aca="false">INDEX(Dim_Supplier!$B$2:$B$21,MATCH(B185,Dim_Supplier!$A$2:$A$21,0))</f>
        <v>Laurentian Metals Inc.</v>
      </c>
      <c r="F185" s="5" t="s">
        <v>142</v>
      </c>
      <c r="G185" s="5" t="s">
        <v>120</v>
      </c>
      <c r="H185" s="8" t="n">
        <f aca="false">INDEX(Lookup_Tables!$B$2:$B$5,MATCH(D185,Lookup_Tables!$A$2:$A$5,0))</f>
        <v>21</v>
      </c>
      <c r="I185" s="9" t="n">
        <f aca="false">C185+H185</f>
        <v>46139</v>
      </c>
      <c r="J185" s="5" t="n">
        <v>-4</v>
      </c>
      <c r="K185" s="9" t="n">
        <f aca="false">I185+J185</f>
        <v>46135</v>
      </c>
      <c r="L185" s="5" t="n">
        <v>423</v>
      </c>
      <c r="M185" s="10" t="n">
        <f aca="false">INDEX(Dim_Supplier!$F$2:$F$21,MATCH(B185,Dim_Supplier!$A$2:$A$21,0))</f>
        <v>61.2</v>
      </c>
      <c r="N185" s="11" t="n">
        <v>0.0288</v>
      </c>
      <c r="O185" s="10" t="n">
        <f aca="false">M185*(1+N185)</f>
        <v>62.96256</v>
      </c>
      <c r="P185" s="10" t="n">
        <f aca="false">O185*L185</f>
        <v>26633.16288</v>
      </c>
      <c r="Q185" s="5" t="s">
        <v>113</v>
      </c>
      <c r="R185" s="5" t="n">
        <v>0</v>
      </c>
      <c r="S185" s="5" t="n">
        <v>30</v>
      </c>
      <c r="T185" s="12" t="n">
        <f aca="false">(O185-M185)/M185</f>
        <v>0.0287999999999999</v>
      </c>
      <c r="U185" s="8" t="n">
        <f aca="false">IF(AND(K185&lt;=I185,R185=0),1,0)</f>
        <v>1</v>
      </c>
      <c r="V185" s="10" t="n">
        <f aca="false">IF(Q185="No",P185,0)</f>
        <v>0</v>
      </c>
    </row>
    <row r="186" customFormat="false" ht="15" hidden="false" customHeight="false" outlineLevel="0" collapsed="false">
      <c r="A186" s="5" t="s">
        <v>320</v>
      </c>
      <c r="B186" s="5" t="s">
        <v>71</v>
      </c>
      <c r="C186" s="7" t="n">
        <v>45612</v>
      </c>
      <c r="D186" s="8" t="str">
        <f aca="false">INDEX(Dim_Supplier!$C$2:$C$21,MATCH(B186,Dim_Supplier!$A$2:$A$21,0))</f>
        <v>MRO</v>
      </c>
      <c r="E186" s="8" t="str">
        <f aca="false">INDEX(Dim_Supplier!$B$2:$B$21,MATCH(B186,Dim_Supplier!$A$2:$A$21,0))</f>
        <v>CanSafe Equipment Ltd.</v>
      </c>
      <c r="F186" s="5" t="s">
        <v>111</v>
      </c>
      <c r="G186" s="5" t="s">
        <v>120</v>
      </c>
      <c r="H186" s="8" t="n">
        <f aca="false">INDEX(Lookup_Tables!$B$2:$B$5,MATCH(D186,Lookup_Tables!$A$2:$A$5,0))</f>
        <v>10</v>
      </c>
      <c r="I186" s="9" t="n">
        <f aca="false">C186+H186</f>
        <v>45622</v>
      </c>
      <c r="J186" s="5" t="n">
        <v>0</v>
      </c>
      <c r="K186" s="9" t="n">
        <f aca="false">I186+J186</f>
        <v>45622</v>
      </c>
      <c r="L186" s="5" t="n">
        <v>99</v>
      </c>
      <c r="M186" s="10" t="n">
        <f aca="false">INDEX(Dim_Supplier!$F$2:$F$21,MATCH(B186,Dim_Supplier!$A$2:$A$21,0))</f>
        <v>18.75</v>
      </c>
      <c r="N186" s="11" t="n">
        <v>0.0284</v>
      </c>
      <c r="O186" s="10" t="n">
        <f aca="false">M186*(1+N186)</f>
        <v>19.2825</v>
      </c>
      <c r="P186" s="10" t="n">
        <f aca="false">O186*L186</f>
        <v>1908.9675</v>
      </c>
      <c r="Q186" s="5" t="s">
        <v>113</v>
      </c>
      <c r="R186" s="5" t="n">
        <v>0</v>
      </c>
      <c r="S186" s="5" t="n">
        <v>30</v>
      </c>
      <c r="T186" s="12" t="n">
        <f aca="false">(O186-M186)/M186</f>
        <v>0.0283999999999999</v>
      </c>
      <c r="U186" s="8" t="n">
        <f aca="false">IF(AND(K186&lt;=I186,R186=0),1,0)</f>
        <v>1</v>
      </c>
      <c r="V186" s="10" t="n">
        <f aca="false">IF(Q186="No",P186,0)</f>
        <v>0</v>
      </c>
    </row>
    <row r="187" customFormat="false" ht="15" hidden="false" customHeight="false" outlineLevel="0" collapsed="false">
      <c r="A187" s="5" t="s">
        <v>321</v>
      </c>
      <c r="B187" s="5" t="s">
        <v>46</v>
      </c>
      <c r="C187" s="7" t="n">
        <v>45752</v>
      </c>
      <c r="D187" s="8" t="str">
        <f aca="false">INDEX(Dim_Supplier!$C$2:$C$21,MATCH(B187,Dim_Supplier!$A$2:$A$21,0))</f>
        <v>Raw Materials</v>
      </c>
      <c r="E187" s="8" t="str">
        <f aca="false">INDEX(Dim_Supplier!$B$2:$B$21,MATCH(B187,Dim_Supplier!$A$2:$A$21,0))</f>
        <v>Niagara Alloy Supply</v>
      </c>
      <c r="F187" s="5" t="s">
        <v>115</v>
      </c>
      <c r="G187" s="5" t="s">
        <v>112</v>
      </c>
      <c r="H187" s="8" t="n">
        <f aca="false">INDEX(Lookup_Tables!$B$2:$B$5,MATCH(D187,Lookup_Tables!$A$2:$A$5,0))</f>
        <v>21</v>
      </c>
      <c r="I187" s="9" t="n">
        <f aca="false">C187+H187</f>
        <v>45773</v>
      </c>
      <c r="J187" s="5" t="n">
        <v>0</v>
      </c>
      <c r="K187" s="9" t="n">
        <f aca="false">I187+J187</f>
        <v>45773</v>
      </c>
      <c r="L187" s="5" t="n">
        <v>886</v>
      </c>
      <c r="M187" s="10" t="n">
        <f aca="false">INDEX(Dim_Supplier!$F$2:$F$21,MATCH(B187,Dim_Supplier!$A$2:$A$21,0))</f>
        <v>46.5</v>
      </c>
      <c r="N187" s="11" t="n">
        <v>0.0395</v>
      </c>
      <c r="O187" s="10" t="n">
        <f aca="false">M187*(1+N187)</f>
        <v>48.33675</v>
      </c>
      <c r="P187" s="10" t="n">
        <f aca="false">O187*L187</f>
        <v>42826.3605</v>
      </c>
      <c r="Q187" s="5" t="s">
        <v>113</v>
      </c>
      <c r="R187" s="5" t="n">
        <v>0</v>
      </c>
      <c r="S187" s="5" t="n">
        <v>60</v>
      </c>
      <c r="T187" s="12" t="n">
        <f aca="false">(O187-M187)/M187</f>
        <v>0.0395</v>
      </c>
      <c r="U187" s="8" t="n">
        <f aca="false">IF(AND(K187&lt;=I187,R187=0),1,0)</f>
        <v>1</v>
      </c>
      <c r="V187" s="10" t="n">
        <f aca="false">IF(Q187="No",P187,0)</f>
        <v>0</v>
      </c>
    </row>
    <row r="188" customFormat="false" ht="15" hidden="false" customHeight="false" outlineLevel="0" collapsed="false">
      <c r="A188" s="5" t="s">
        <v>322</v>
      </c>
      <c r="B188" s="5" t="s">
        <v>86</v>
      </c>
      <c r="C188" s="7" t="n">
        <v>46125</v>
      </c>
      <c r="D188" s="8" t="str">
        <f aca="false">INDEX(Dim_Supplier!$C$2:$C$21,MATCH(B188,Dim_Supplier!$A$2:$A$21,0))</f>
        <v>Logistics</v>
      </c>
      <c r="E188" s="8" t="str">
        <f aca="false">INDEX(Dim_Supplier!$B$2:$B$21,MATCH(B188,Dim_Supplier!$A$2:$A$21,0))</f>
        <v>Blue Water Customs Brokerage</v>
      </c>
      <c r="F188" s="5" t="s">
        <v>146</v>
      </c>
      <c r="G188" s="5" t="s">
        <v>120</v>
      </c>
      <c r="H188" s="8" t="n">
        <f aca="false">INDEX(Lookup_Tables!$B$2:$B$5,MATCH(D188,Lookup_Tables!$A$2:$A$5,0))</f>
        <v>5</v>
      </c>
      <c r="I188" s="9" t="n">
        <f aca="false">C188+H188</f>
        <v>46130</v>
      </c>
      <c r="J188" s="5" t="n">
        <v>-2</v>
      </c>
      <c r="K188" s="9" t="n">
        <f aca="false">I188+J188</f>
        <v>46128</v>
      </c>
      <c r="L188" s="5" t="n">
        <v>33</v>
      </c>
      <c r="M188" s="10" t="n">
        <f aca="false">INDEX(Dim_Supplier!$F$2:$F$21,MATCH(B188,Dim_Supplier!$A$2:$A$21,0))</f>
        <v>175</v>
      </c>
      <c r="N188" s="11" t="n">
        <v>0.021</v>
      </c>
      <c r="O188" s="10" t="n">
        <f aca="false">M188*(1+N188)</f>
        <v>178.675</v>
      </c>
      <c r="P188" s="10" t="n">
        <f aca="false">O188*L188</f>
        <v>5896.275</v>
      </c>
      <c r="Q188" s="5" t="s">
        <v>113</v>
      </c>
      <c r="R188" s="5" t="n">
        <v>0</v>
      </c>
      <c r="S188" s="5" t="n">
        <v>30</v>
      </c>
      <c r="T188" s="12" t="n">
        <f aca="false">(O188-M188)/M188</f>
        <v>0.0209999999999999</v>
      </c>
      <c r="U188" s="8" t="n">
        <f aca="false">IF(AND(K188&lt;=I188,R188=0),1,0)</f>
        <v>1</v>
      </c>
      <c r="V188" s="10" t="n">
        <f aca="false">IF(Q188="No",P188,0)</f>
        <v>0</v>
      </c>
    </row>
    <row r="189" customFormat="false" ht="15" hidden="false" customHeight="false" outlineLevel="0" collapsed="false">
      <c r="A189" s="5" t="s">
        <v>323</v>
      </c>
      <c r="B189" s="5" t="s">
        <v>46</v>
      </c>
      <c r="C189" s="7" t="n">
        <v>45694</v>
      </c>
      <c r="D189" s="8" t="str">
        <f aca="false">INDEX(Dim_Supplier!$C$2:$C$21,MATCH(B189,Dim_Supplier!$A$2:$A$21,0))</f>
        <v>Raw Materials</v>
      </c>
      <c r="E189" s="8" t="str">
        <f aca="false">INDEX(Dim_Supplier!$B$2:$B$21,MATCH(B189,Dim_Supplier!$A$2:$A$21,0))</f>
        <v>Niagara Alloy Supply</v>
      </c>
      <c r="F189" s="5" t="s">
        <v>144</v>
      </c>
      <c r="G189" s="5" t="s">
        <v>125</v>
      </c>
      <c r="H189" s="8" t="n">
        <f aca="false">INDEX(Lookup_Tables!$B$2:$B$5,MATCH(D189,Lookup_Tables!$A$2:$A$5,0))</f>
        <v>21</v>
      </c>
      <c r="I189" s="9" t="n">
        <f aca="false">C189+H189</f>
        <v>45715</v>
      </c>
      <c r="J189" s="5" t="n">
        <v>0</v>
      </c>
      <c r="K189" s="9" t="n">
        <f aca="false">I189+J189</f>
        <v>45715</v>
      </c>
      <c r="L189" s="5" t="n">
        <v>822</v>
      </c>
      <c r="M189" s="10" t="n">
        <f aca="false">INDEX(Dim_Supplier!$F$2:$F$21,MATCH(B189,Dim_Supplier!$A$2:$A$21,0))</f>
        <v>46.5</v>
      </c>
      <c r="N189" s="11" t="n">
        <v>0.0271</v>
      </c>
      <c r="O189" s="10" t="n">
        <f aca="false">M189*(1+N189)</f>
        <v>47.76015</v>
      </c>
      <c r="P189" s="10" t="n">
        <f aca="false">O189*L189</f>
        <v>39258.8433</v>
      </c>
      <c r="Q189" s="5" t="s">
        <v>113</v>
      </c>
      <c r="R189" s="5" t="n">
        <v>0</v>
      </c>
      <c r="S189" s="5" t="n">
        <v>45</v>
      </c>
      <c r="T189" s="12" t="n">
        <f aca="false">(O189-M189)/M189</f>
        <v>0.0270999999999999</v>
      </c>
      <c r="U189" s="8" t="n">
        <f aca="false">IF(AND(K189&lt;=I189,R189=0),1,0)</f>
        <v>1</v>
      </c>
      <c r="V189" s="10" t="n">
        <f aca="false">IF(Q189="No",P189,0)</f>
        <v>0</v>
      </c>
    </row>
    <row r="190" customFormat="false" ht="15" hidden="false" customHeight="false" outlineLevel="0" collapsed="false">
      <c r="A190" s="5" t="s">
        <v>324</v>
      </c>
      <c r="B190" s="5" t="s">
        <v>82</v>
      </c>
      <c r="C190" s="7" t="n">
        <v>45980</v>
      </c>
      <c r="D190" s="8" t="str">
        <f aca="false">INDEX(Dim_Supplier!$C$2:$C$21,MATCH(B190,Dim_Supplier!$A$2:$A$21,0))</f>
        <v>Logistics</v>
      </c>
      <c r="E190" s="8" t="str">
        <f aca="false">INDEX(Dim_Supplier!$B$2:$B$21,MATCH(B190,Dim_Supplier!$A$2:$A$21,0))</f>
        <v>Maple Route Logistics</v>
      </c>
      <c r="F190" s="5" t="s">
        <v>237</v>
      </c>
      <c r="G190" s="5" t="s">
        <v>120</v>
      </c>
      <c r="H190" s="8" t="n">
        <f aca="false">INDEX(Lookup_Tables!$B$2:$B$5,MATCH(D190,Lookup_Tables!$A$2:$A$5,0))</f>
        <v>5</v>
      </c>
      <c r="I190" s="9" t="n">
        <f aca="false">C190+H190</f>
        <v>45985</v>
      </c>
      <c r="J190" s="5" t="n">
        <v>-4</v>
      </c>
      <c r="K190" s="9" t="n">
        <f aca="false">I190+J190</f>
        <v>45981</v>
      </c>
      <c r="L190" s="5" t="n">
        <v>28</v>
      </c>
      <c r="M190" s="10" t="n">
        <f aca="false">INDEX(Dim_Supplier!$F$2:$F$21,MATCH(B190,Dim_Supplier!$A$2:$A$21,0))</f>
        <v>285</v>
      </c>
      <c r="N190" s="11" t="n">
        <v>0.0211</v>
      </c>
      <c r="O190" s="10" t="n">
        <f aca="false">M190*(1+N190)</f>
        <v>291.0135</v>
      </c>
      <c r="P190" s="10" t="n">
        <f aca="false">O190*L190</f>
        <v>8148.378</v>
      </c>
      <c r="Q190" s="5" t="s">
        <v>113</v>
      </c>
      <c r="R190" s="5" t="n">
        <v>0</v>
      </c>
      <c r="S190" s="5" t="n">
        <v>30</v>
      </c>
      <c r="T190" s="12" t="n">
        <f aca="false">(O190-M190)/M190</f>
        <v>0.0210999999999999</v>
      </c>
      <c r="U190" s="8" t="n">
        <f aca="false">IF(AND(K190&lt;=I190,R190=0),1,0)</f>
        <v>1</v>
      </c>
      <c r="V190" s="10" t="n">
        <f aca="false">IF(Q190="No",P190,0)</f>
        <v>0</v>
      </c>
    </row>
    <row r="191" customFormat="false" ht="15" hidden="false" customHeight="false" outlineLevel="0" collapsed="false">
      <c r="A191" s="5" t="s">
        <v>325</v>
      </c>
      <c r="B191" s="5" t="s">
        <v>60</v>
      </c>
      <c r="C191" s="7" t="n">
        <v>45338</v>
      </c>
      <c r="D191" s="8" t="str">
        <f aca="false">INDEX(Dim_Supplier!$C$2:$C$21,MATCH(B191,Dim_Supplier!$A$2:$A$21,0))</f>
        <v>Packaging</v>
      </c>
      <c r="E191" s="8" t="str">
        <f aca="false">INDEX(Dim_Supplier!$B$2:$B$21,MATCH(B191,Dim_Supplier!$A$2:$A$21,0))</f>
        <v>Maple Leaf Box &amp; Crate</v>
      </c>
      <c r="F191" s="5" t="s">
        <v>137</v>
      </c>
      <c r="G191" s="5" t="s">
        <v>129</v>
      </c>
      <c r="H191" s="8" t="n">
        <f aca="false">INDEX(Lookup_Tables!$B$2:$B$5,MATCH(D191,Lookup_Tables!$A$2:$A$5,0))</f>
        <v>14</v>
      </c>
      <c r="I191" s="9" t="n">
        <f aca="false">C191+H191</f>
        <v>45352</v>
      </c>
      <c r="J191" s="5" t="n">
        <v>-2</v>
      </c>
      <c r="K191" s="9" t="n">
        <f aca="false">I191+J191</f>
        <v>45350</v>
      </c>
      <c r="L191" s="5" t="n">
        <v>2864</v>
      </c>
      <c r="M191" s="10" t="n">
        <f aca="false">INDEX(Dim_Supplier!$F$2:$F$21,MATCH(B191,Dim_Supplier!$A$2:$A$21,0))</f>
        <v>3.1</v>
      </c>
      <c r="N191" s="11" t="n">
        <v>0.0344</v>
      </c>
      <c r="O191" s="10" t="n">
        <f aca="false">M191*(1+N191)</f>
        <v>3.20664</v>
      </c>
      <c r="P191" s="10" t="n">
        <f aca="false">O191*L191</f>
        <v>9183.81696</v>
      </c>
      <c r="Q191" s="5" t="s">
        <v>113</v>
      </c>
      <c r="R191" s="5" t="n">
        <v>0</v>
      </c>
      <c r="S191" s="5" t="n">
        <v>45</v>
      </c>
      <c r="T191" s="12" t="n">
        <f aca="false">(O191-M191)/M191</f>
        <v>0.0344</v>
      </c>
      <c r="U191" s="8" t="n">
        <f aca="false">IF(AND(K191&lt;=I191,R191=0),1,0)</f>
        <v>1</v>
      </c>
      <c r="V191" s="10" t="n">
        <f aca="false">IF(Q191="No",P191,0)</f>
        <v>0</v>
      </c>
    </row>
    <row r="192" customFormat="false" ht="15" hidden="false" customHeight="false" outlineLevel="0" collapsed="false">
      <c r="A192" s="5" t="s">
        <v>326</v>
      </c>
      <c r="B192" s="5" t="s">
        <v>54</v>
      </c>
      <c r="C192" s="7" t="n">
        <v>45930</v>
      </c>
      <c r="D192" s="8" t="str">
        <f aca="false">INDEX(Dim_Supplier!$C$2:$C$21,MATCH(B192,Dim_Supplier!$A$2:$A$21,0))</f>
        <v>Raw Materials</v>
      </c>
      <c r="E192" s="8" t="str">
        <f aca="false">INDEX(Dim_Supplier!$B$2:$B$21,MATCH(B192,Dim_Supplier!$A$2:$A$21,0))</f>
        <v>Northern Resin Solutions</v>
      </c>
      <c r="F192" s="5" t="s">
        <v>144</v>
      </c>
      <c r="G192" s="5" t="s">
        <v>129</v>
      </c>
      <c r="H192" s="8" t="n">
        <f aca="false">INDEX(Lookup_Tables!$B$2:$B$5,MATCH(D192,Lookup_Tables!$A$2:$A$5,0))</f>
        <v>21</v>
      </c>
      <c r="I192" s="9" t="n">
        <f aca="false">C192+H192</f>
        <v>45951</v>
      </c>
      <c r="J192" s="5" t="n">
        <v>0</v>
      </c>
      <c r="K192" s="9" t="n">
        <f aca="false">I192+J192</f>
        <v>45951</v>
      </c>
      <c r="L192" s="5" t="n">
        <v>864</v>
      </c>
      <c r="M192" s="10" t="n">
        <f aca="false">INDEX(Dim_Supplier!$F$2:$F$21,MATCH(B192,Dim_Supplier!$A$2:$A$21,0))</f>
        <v>38.9</v>
      </c>
      <c r="N192" s="11" t="n">
        <v>0.0565</v>
      </c>
      <c r="O192" s="10" t="n">
        <f aca="false">M192*(1+N192)</f>
        <v>41.09785</v>
      </c>
      <c r="P192" s="10" t="n">
        <f aca="false">O192*L192</f>
        <v>35508.5424</v>
      </c>
      <c r="Q192" s="5" t="s">
        <v>113</v>
      </c>
      <c r="R192" s="5" t="n">
        <v>0</v>
      </c>
      <c r="S192" s="5" t="n">
        <v>60</v>
      </c>
      <c r="T192" s="12" t="n">
        <f aca="false">(O192-M192)/M192</f>
        <v>0.0565000000000001</v>
      </c>
      <c r="U192" s="8" t="n">
        <f aca="false">IF(AND(K192&lt;=I192,R192=0),1,0)</f>
        <v>1</v>
      </c>
      <c r="V192" s="10" t="n">
        <f aca="false">IF(Q192="No",P192,0)</f>
        <v>0</v>
      </c>
    </row>
    <row r="193" customFormat="false" ht="15" hidden="false" customHeight="false" outlineLevel="0" collapsed="false">
      <c r="A193" s="5" t="s">
        <v>327</v>
      </c>
      <c r="B193" s="5" t="s">
        <v>79</v>
      </c>
      <c r="C193" s="7" t="n">
        <v>45495</v>
      </c>
      <c r="D193" s="8" t="str">
        <f aca="false">INDEX(Dim_Supplier!$C$2:$C$21,MATCH(B193,Dim_Supplier!$A$2:$A$21,0))</f>
        <v>Logistics</v>
      </c>
      <c r="E193" s="8" t="str">
        <f aca="false">INDEX(Dim_Supplier!$B$2:$B$21,MATCH(B193,Dim_Supplier!$A$2:$A$21,0))</f>
        <v>Niagara Freight Solutions</v>
      </c>
      <c r="F193" s="5" t="s">
        <v>185</v>
      </c>
      <c r="G193" s="5" t="s">
        <v>125</v>
      </c>
      <c r="H193" s="8" t="n">
        <f aca="false">INDEX(Lookup_Tables!$B$2:$B$5,MATCH(D193,Lookup_Tables!$A$2:$A$5,0))</f>
        <v>5</v>
      </c>
      <c r="I193" s="9" t="n">
        <f aca="false">C193+H193</f>
        <v>45500</v>
      </c>
      <c r="J193" s="5" t="n">
        <v>-3</v>
      </c>
      <c r="K193" s="9" t="n">
        <f aca="false">I193+J193</f>
        <v>45497</v>
      </c>
      <c r="L193" s="5" t="n">
        <v>9</v>
      </c>
      <c r="M193" s="10" t="n">
        <f aca="false">INDEX(Dim_Supplier!$F$2:$F$21,MATCH(B193,Dim_Supplier!$A$2:$A$21,0))</f>
        <v>340</v>
      </c>
      <c r="N193" s="11" t="n">
        <v>0.01</v>
      </c>
      <c r="O193" s="10" t="n">
        <f aca="false">M193*(1+N193)</f>
        <v>343.4</v>
      </c>
      <c r="P193" s="10" t="n">
        <f aca="false">O193*L193</f>
        <v>3090.6</v>
      </c>
      <c r="Q193" s="5" t="s">
        <v>113</v>
      </c>
      <c r="R193" s="5" t="n">
        <v>0</v>
      </c>
      <c r="S193" s="5" t="n">
        <v>45</v>
      </c>
      <c r="T193" s="12" t="n">
        <f aca="false">(O193-M193)/M193</f>
        <v>0.00999999999999993</v>
      </c>
      <c r="U193" s="8" t="n">
        <f aca="false">IF(AND(K193&lt;=I193,R193=0),1,0)</f>
        <v>1</v>
      </c>
      <c r="V193" s="10" t="n">
        <f aca="false">IF(Q193="No",P193,0)</f>
        <v>0</v>
      </c>
    </row>
    <row r="194" customFormat="false" ht="15" hidden="false" customHeight="false" outlineLevel="0" collapsed="false">
      <c r="A194" s="5" t="s">
        <v>328</v>
      </c>
      <c r="B194" s="5" t="s">
        <v>46</v>
      </c>
      <c r="C194" s="7" t="n">
        <v>45819</v>
      </c>
      <c r="D194" s="8" t="str">
        <f aca="false">INDEX(Dim_Supplier!$C$2:$C$21,MATCH(B194,Dim_Supplier!$A$2:$A$21,0))</f>
        <v>Raw Materials</v>
      </c>
      <c r="E194" s="8" t="str">
        <f aca="false">INDEX(Dim_Supplier!$B$2:$B$21,MATCH(B194,Dim_Supplier!$A$2:$A$21,0))</f>
        <v>Niagara Alloy Supply</v>
      </c>
      <c r="F194" s="5" t="s">
        <v>115</v>
      </c>
      <c r="G194" s="5" t="s">
        <v>120</v>
      </c>
      <c r="H194" s="8" t="n">
        <f aca="false">INDEX(Lookup_Tables!$B$2:$B$5,MATCH(D194,Lookup_Tables!$A$2:$A$5,0))</f>
        <v>21</v>
      </c>
      <c r="I194" s="9" t="n">
        <f aca="false">C194+H194</f>
        <v>45840</v>
      </c>
      <c r="J194" s="5" t="n">
        <v>1</v>
      </c>
      <c r="K194" s="9" t="n">
        <f aca="false">I194+J194</f>
        <v>45841</v>
      </c>
      <c r="L194" s="5" t="n">
        <v>904</v>
      </c>
      <c r="M194" s="10" t="n">
        <f aca="false">INDEX(Dim_Supplier!$F$2:$F$21,MATCH(B194,Dim_Supplier!$A$2:$A$21,0))</f>
        <v>46.5</v>
      </c>
      <c r="N194" s="11" t="n">
        <v>0.0227</v>
      </c>
      <c r="O194" s="10" t="n">
        <f aca="false">M194*(1+N194)</f>
        <v>47.55555</v>
      </c>
      <c r="P194" s="10" t="n">
        <f aca="false">O194*L194</f>
        <v>42990.2172</v>
      </c>
      <c r="Q194" s="5" t="s">
        <v>133</v>
      </c>
      <c r="R194" s="5" t="n">
        <v>0</v>
      </c>
      <c r="S194" s="5" t="n">
        <v>30</v>
      </c>
      <c r="T194" s="12" t="n">
        <f aca="false">(O194-M194)/M194</f>
        <v>0.0226999999999999</v>
      </c>
      <c r="U194" s="8" t="n">
        <f aca="false">IF(AND(K194&lt;=I194,R194=0),1,0)</f>
        <v>0</v>
      </c>
      <c r="V194" s="10" t="n">
        <f aca="false">IF(Q194="No",P194,0)</f>
        <v>42990.2172</v>
      </c>
    </row>
    <row r="195" customFormat="false" ht="15" hidden="false" customHeight="false" outlineLevel="0" collapsed="false">
      <c r="A195" s="5" t="s">
        <v>329</v>
      </c>
      <c r="B195" s="5" t="s">
        <v>57</v>
      </c>
      <c r="C195" s="7" t="n">
        <v>46140</v>
      </c>
      <c r="D195" s="8" t="str">
        <f aca="false">INDEX(Dim_Supplier!$C$2:$C$21,MATCH(B195,Dim_Supplier!$A$2:$A$21,0))</f>
        <v>Packaging</v>
      </c>
      <c r="E195" s="8" t="str">
        <f aca="false">INDEX(Dim_Supplier!$B$2:$B$21,MATCH(B195,Dim_Supplier!$A$2:$A$21,0))</f>
        <v>Great Lakes Packaging Co.</v>
      </c>
      <c r="F195" s="5" t="s">
        <v>122</v>
      </c>
      <c r="G195" s="5" t="s">
        <v>125</v>
      </c>
      <c r="H195" s="8" t="n">
        <f aca="false">INDEX(Lookup_Tables!$B$2:$B$5,MATCH(D195,Lookup_Tables!$A$2:$A$5,0))</f>
        <v>14</v>
      </c>
      <c r="I195" s="9" t="n">
        <f aca="false">C195+H195</f>
        <v>46154</v>
      </c>
      <c r="J195" s="5" t="n">
        <v>-3</v>
      </c>
      <c r="K195" s="9" t="n">
        <f aca="false">I195+J195</f>
        <v>46151</v>
      </c>
      <c r="L195" s="5" t="n">
        <v>636</v>
      </c>
      <c r="M195" s="10" t="n">
        <f aca="false">INDEX(Dim_Supplier!$F$2:$F$21,MATCH(B195,Dim_Supplier!$A$2:$A$21,0))</f>
        <v>4.35</v>
      </c>
      <c r="N195" s="11" t="n">
        <v>-0.0063</v>
      </c>
      <c r="O195" s="10" t="n">
        <f aca="false">M195*(1+N195)</f>
        <v>4.322595</v>
      </c>
      <c r="P195" s="10" t="n">
        <f aca="false">O195*L195</f>
        <v>2749.17042</v>
      </c>
      <c r="Q195" s="5" t="s">
        <v>113</v>
      </c>
      <c r="R195" s="5" t="n">
        <v>0</v>
      </c>
      <c r="S195" s="5" t="n">
        <v>60</v>
      </c>
      <c r="T195" s="12" t="n">
        <f aca="false">(O195-M195)/M195</f>
        <v>-0.00629999999999998</v>
      </c>
      <c r="U195" s="8" t="n">
        <f aca="false">IF(AND(K195&lt;=I195,R195=0),1,0)</f>
        <v>1</v>
      </c>
      <c r="V195" s="10" t="n">
        <f aca="false">IF(Q195="No",P195,0)</f>
        <v>0</v>
      </c>
    </row>
    <row r="196" customFormat="false" ht="15" hidden="false" customHeight="false" outlineLevel="0" collapsed="false">
      <c r="A196" s="5" t="s">
        <v>330</v>
      </c>
      <c r="B196" s="5" t="s">
        <v>68</v>
      </c>
      <c r="C196" s="7" t="n">
        <v>46107</v>
      </c>
      <c r="D196" s="8" t="str">
        <f aca="false">INDEX(Dim_Supplier!$C$2:$C$21,MATCH(B196,Dim_Supplier!$A$2:$A$21,0))</f>
        <v>MRO</v>
      </c>
      <c r="E196" s="8" t="str">
        <f aca="false">INDEX(Dim_Supplier!$B$2:$B$21,MATCH(B196,Dim_Supplier!$A$2:$A$21,0))</f>
        <v>Precision Tool &amp; Supply</v>
      </c>
      <c r="F196" s="5" t="s">
        <v>127</v>
      </c>
      <c r="G196" s="5" t="s">
        <v>125</v>
      </c>
      <c r="H196" s="8" t="n">
        <f aca="false">INDEX(Lookup_Tables!$B$2:$B$5,MATCH(D196,Lookup_Tables!$A$2:$A$5,0))</f>
        <v>10</v>
      </c>
      <c r="I196" s="9" t="n">
        <f aca="false">C196+H196</f>
        <v>46117</v>
      </c>
      <c r="J196" s="5" t="n">
        <v>-3</v>
      </c>
      <c r="K196" s="9" t="n">
        <f aca="false">I196+J196</f>
        <v>46114</v>
      </c>
      <c r="L196" s="5" t="n">
        <v>153</v>
      </c>
      <c r="M196" s="10" t="n">
        <f aca="false">INDEX(Dim_Supplier!$F$2:$F$21,MATCH(B196,Dim_Supplier!$A$2:$A$21,0))</f>
        <v>22.4</v>
      </c>
      <c r="N196" s="11" t="n">
        <v>0.0391</v>
      </c>
      <c r="O196" s="10" t="n">
        <f aca="false">M196*(1+N196)</f>
        <v>23.27584</v>
      </c>
      <c r="P196" s="10" t="n">
        <f aca="false">O196*L196</f>
        <v>3561.20352</v>
      </c>
      <c r="Q196" s="5" t="s">
        <v>113</v>
      </c>
      <c r="R196" s="5" t="n">
        <v>0</v>
      </c>
      <c r="S196" s="5" t="n">
        <v>45</v>
      </c>
      <c r="T196" s="12" t="n">
        <f aca="false">(O196-M196)/M196</f>
        <v>0.0390999999999999</v>
      </c>
      <c r="U196" s="8" t="n">
        <f aca="false">IF(AND(K196&lt;=I196,R196=0),1,0)</f>
        <v>1</v>
      </c>
      <c r="V196" s="10" t="n">
        <f aca="false">IF(Q196="No",P196,0)</f>
        <v>0</v>
      </c>
    </row>
    <row r="197" customFormat="false" ht="15" hidden="false" customHeight="false" outlineLevel="0" collapsed="false">
      <c r="A197" s="5" t="s">
        <v>331</v>
      </c>
      <c r="B197" s="5" t="s">
        <v>49</v>
      </c>
      <c r="C197" s="7" t="n">
        <v>45936</v>
      </c>
      <c r="D197" s="8" t="str">
        <f aca="false">INDEX(Dim_Supplier!$C$2:$C$21,MATCH(B197,Dim_Supplier!$A$2:$A$21,0))</f>
        <v>Raw Materials</v>
      </c>
      <c r="E197" s="8" t="str">
        <f aca="false">INDEX(Dim_Supplier!$B$2:$B$21,MATCH(B197,Dim_Supplier!$A$2:$A$21,0))</f>
        <v>Great Lakes Polymer Co.</v>
      </c>
      <c r="F197" s="5" t="s">
        <v>144</v>
      </c>
      <c r="G197" s="5" t="s">
        <v>125</v>
      </c>
      <c r="H197" s="8" t="n">
        <f aca="false">INDEX(Lookup_Tables!$B$2:$B$5,MATCH(D197,Lookup_Tables!$A$2:$A$5,0))</f>
        <v>21</v>
      </c>
      <c r="I197" s="9" t="n">
        <f aca="false">C197+H197</f>
        <v>45957</v>
      </c>
      <c r="J197" s="5" t="n">
        <v>6</v>
      </c>
      <c r="K197" s="9" t="n">
        <f aca="false">I197+J197</f>
        <v>45963</v>
      </c>
      <c r="L197" s="5" t="n">
        <v>164</v>
      </c>
      <c r="M197" s="10" t="n">
        <f aca="false">INDEX(Dim_Supplier!$F$2:$F$21,MATCH(B197,Dim_Supplier!$A$2:$A$21,0))</f>
        <v>32.75</v>
      </c>
      <c r="N197" s="11" t="n">
        <v>0.1442</v>
      </c>
      <c r="O197" s="10" t="n">
        <f aca="false">M197*(1+N197)</f>
        <v>37.47255</v>
      </c>
      <c r="P197" s="10" t="n">
        <f aca="false">O197*L197</f>
        <v>6145.4982</v>
      </c>
      <c r="Q197" s="5" t="s">
        <v>133</v>
      </c>
      <c r="R197" s="5" t="n">
        <v>0</v>
      </c>
      <c r="S197" s="5" t="n">
        <v>30</v>
      </c>
      <c r="T197" s="12" t="n">
        <f aca="false">(O197-M197)/M197</f>
        <v>0.1442</v>
      </c>
      <c r="U197" s="8" t="n">
        <f aca="false">IF(AND(K197&lt;=I197,R197=0),1,0)</f>
        <v>0</v>
      </c>
      <c r="V197" s="10" t="n">
        <f aca="false">IF(Q197="No",P197,0)</f>
        <v>6145.4982</v>
      </c>
    </row>
    <row r="198" customFormat="false" ht="15" hidden="false" customHeight="false" outlineLevel="0" collapsed="false">
      <c r="A198" s="5" t="s">
        <v>332</v>
      </c>
      <c r="B198" s="5" t="s">
        <v>62</v>
      </c>
      <c r="C198" s="7" t="n">
        <v>45720</v>
      </c>
      <c r="D198" s="8" t="str">
        <f aca="false">INDEX(Dim_Supplier!$C$2:$C$21,MATCH(B198,Dim_Supplier!$A$2:$A$21,0))</f>
        <v>Packaging</v>
      </c>
      <c r="E198" s="8" t="str">
        <f aca="false">INDEX(Dim_Supplier!$B$2:$B$21,MATCH(B198,Dim_Supplier!$A$2:$A$21,0))</f>
        <v>Trillium Packaging Solutions</v>
      </c>
      <c r="F198" s="5" t="s">
        <v>158</v>
      </c>
      <c r="G198" s="5" t="s">
        <v>125</v>
      </c>
      <c r="H198" s="8" t="n">
        <f aca="false">INDEX(Lookup_Tables!$B$2:$B$5,MATCH(D198,Lookup_Tables!$A$2:$A$5,0))</f>
        <v>14</v>
      </c>
      <c r="I198" s="9" t="n">
        <f aca="false">C198+H198</f>
        <v>45734</v>
      </c>
      <c r="J198" s="5" t="n">
        <v>-4</v>
      </c>
      <c r="K198" s="9" t="n">
        <f aca="false">I198+J198</f>
        <v>45730</v>
      </c>
      <c r="L198" s="5" t="n">
        <v>4363</v>
      </c>
      <c r="M198" s="10" t="n">
        <f aca="false">INDEX(Dim_Supplier!$F$2:$F$21,MATCH(B198,Dim_Supplier!$A$2:$A$21,0))</f>
        <v>5.6</v>
      </c>
      <c r="N198" s="11" t="n">
        <v>0.0009</v>
      </c>
      <c r="O198" s="10" t="n">
        <f aca="false">M198*(1+N198)</f>
        <v>5.60504</v>
      </c>
      <c r="P198" s="10" t="n">
        <f aca="false">O198*L198</f>
        <v>24454.78952</v>
      </c>
      <c r="Q198" s="5" t="s">
        <v>113</v>
      </c>
      <c r="R198" s="5" t="n">
        <v>0</v>
      </c>
      <c r="S198" s="5" t="n">
        <v>30</v>
      </c>
      <c r="T198" s="12" t="n">
        <f aca="false">(O198-M198)/M198</f>
        <v>0.000899999999999869</v>
      </c>
      <c r="U198" s="8" t="n">
        <f aca="false">IF(AND(K198&lt;=I198,R198=0),1,0)</f>
        <v>1</v>
      </c>
      <c r="V198" s="10" t="n">
        <f aca="false">IF(Q198="No",P198,0)</f>
        <v>0</v>
      </c>
    </row>
    <row r="199" customFormat="false" ht="15" hidden="false" customHeight="false" outlineLevel="0" collapsed="false">
      <c r="A199" s="5" t="s">
        <v>333</v>
      </c>
      <c r="B199" s="5" t="s">
        <v>46</v>
      </c>
      <c r="C199" s="7" t="n">
        <v>45504</v>
      </c>
      <c r="D199" s="8" t="str">
        <f aca="false">INDEX(Dim_Supplier!$C$2:$C$21,MATCH(B199,Dim_Supplier!$A$2:$A$21,0))</f>
        <v>Raw Materials</v>
      </c>
      <c r="E199" s="8" t="str">
        <f aca="false">INDEX(Dim_Supplier!$B$2:$B$21,MATCH(B199,Dim_Supplier!$A$2:$A$21,0))</f>
        <v>Niagara Alloy Supply</v>
      </c>
      <c r="F199" s="5" t="s">
        <v>144</v>
      </c>
      <c r="G199" s="5" t="s">
        <v>120</v>
      </c>
      <c r="H199" s="8" t="n">
        <f aca="false">INDEX(Lookup_Tables!$B$2:$B$5,MATCH(D199,Lookup_Tables!$A$2:$A$5,0))</f>
        <v>21</v>
      </c>
      <c r="I199" s="9" t="n">
        <f aca="false">C199+H199</f>
        <v>45525</v>
      </c>
      <c r="J199" s="5" t="n">
        <v>1</v>
      </c>
      <c r="K199" s="9" t="n">
        <f aca="false">I199+J199</f>
        <v>45526</v>
      </c>
      <c r="L199" s="5" t="n">
        <v>871</v>
      </c>
      <c r="M199" s="10" t="n">
        <f aca="false">INDEX(Dim_Supplier!$F$2:$F$21,MATCH(B199,Dim_Supplier!$A$2:$A$21,0))</f>
        <v>46.5</v>
      </c>
      <c r="N199" s="11" t="n">
        <v>0.0297</v>
      </c>
      <c r="O199" s="10" t="n">
        <f aca="false">M199*(1+N199)</f>
        <v>47.88105</v>
      </c>
      <c r="P199" s="10" t="n">
        <f aca="false">O199*L199</f>
        <v>41704.39455</v>
      </c>
      <c r="Q199" s="5" t="s">
        <v>113</v>
      </c>
      <c r="R199" s="5" t="n">
        <v>0</v>
      </c>
      <c r="S199" s="5" t="n">
        <v>60</v>
      </c>
      <c r="T199" s="12" t="n">
        <f aca="false">(O199-M199)/M199</f>
        <v>0.0297</v>
      </c>
      <c r="U199" s="8" t="n">
        <f aca="false">IF(AND(K199&lt;=I199,R199=0),1,0)</f>
        <v>0</v>
      </c>
      <c r="V199" s="10" t="n">
        <f aca="false">IF(Q199="No",P199,0)</f>
        <v>0</v>
      </c>
    </row>
    <row r="200" customFormat="false" ht="15" hidden="false" customHeight="false" outlineLevel="0" collapsed="false">
      <c r="A200" s="5" t="s">
        <v>334</v>
      </c>
      <c r="B200" s="5" t="s">
        <v>57</v>
      </c>
      <c r="C200" s="7" t="n">
        <v>45654</v>
      </c>
      <c r="D200" s="8" t="str">
        <f aca="false">INDEX(Dim_Supplier!$C$2:$C$21,MATCH(B200,Dim_Supplier!$A$2:$A$21,0))</f>
        <v>Packaging</v>
      </c>
      <c r="E200" s="8" t="str">
        <f aca="false">INDEX(Dim_Supplier!$B$2:$B$21,MATCH(B200,Dim_Supplier!$A$2:$A$21,0))</f>
        <v>Great Lakes Packaging Co.</v>
      </c>
      <c r="F200" s="5" t="s">
        <v>119</v>
      </c>
      <c r="G200" s="5" t="s">
        <v>125</v>
      </c>
      <c r="H200" s="8" t="n">
        <f aca="false">INDEX(Lookup_Tables!$B$2:$B$5,MATCH(D200,Lookup_Tables!$A$2:$A$5,0))</f>
        <v>14</v>
      </c>
      <c r="I200" s="9" t="n">
        <f aca="false">C200+H200</f>
        <v>45668</v>
      </c>
      <c r="J200" s="5" t="n">
        <v>-2</v>
      </c>
      <c r="K200" s="9" t="n">
        <f aca="false">I200+J200</f>
        <v>45666</v>
      </c>
      <c r="L200" s="5" t="n">
        <v>2945</v>
      </c>
      <c r="M200" s="10" t="n">
        <f aca="false">INDEX(Dim_Supplier!$F$2:$F$21,MATCH(B200,Dim_Supplier!$A$2:$A$21,0))</f>
        <v>4.35</v>
      </c>
      <c r="N200" s="11" t="n">
        <v>0.0241</v>
      </c>
      <c r="O200" s="10" t="n">
        <f aca="false">M200*(1+N200)</f>
        <v>4.454835</v>
      </c>
      <c r="P200" s="10" t="n">
        <f aca="false">O200*L200</f>
        <v>13119.489075</v>
      </c>
      <c r="Q200" s="5" t="s">
        <v>113</v>
      </c>
      <c r="R200" s="5" t="n">
        <v>0</v>
      </c>
      <c r="S200" s="5" t="n">
        <v>30</v>
      </c>
      <c r="T200" s="12" t="n">
        <f aca="false">(O200-M200)/M200</f>
        <v>0.0241000000000001</v>
      </c>
      <c r="U200" s="8" t="n">
        <f aca="false">IF(AND(K200&lt;=I200,R200=0),1,0)</f>
        <v>1</v>
      </c>
      <c r="V200" s="10" t="n">
        <f aca="false">IF(Q200="No",P200,0)</f>
        <v>0</v>
      </c>
    </row>
    <row r="201" customFormat="false" ht="15" hidden="false" customHeight="false" outlineLevel="0" collapsed="false">
      <c r="A201" s="5" t="s">
        <v>335</v>
      </c>
      <c r="B201" s="5" t="s">
        <v>54</v>
      </c>
      <c r="C201" s="7" t="n">
        <v>45504</v>
      </c>
      <c r="D201" s="8" t="str">
        <f aca="false">INDEX(Dim_Supplier!$C$2:$C$21,MATCH(B201,Dim_Supplier!$A$2:$A$21,0))</f>
        <v>Raw Materials</v>
      </c>
      <c r="E201" s="8" t="str">
        <f aca="false">INDEX(Dim_Supplier!$B$2:$B$21,MATCH(B201,Dim_Supplier!$A$2:$A$21,0))</f>
        <v>Northern Resin Solutions</v>
      </c>
      <c r="F201" s="5" t="s">
        <v>142</v>
      </c>
      <c r="G201" s="5" t="s">
        <v>120</v>
      </c>
      <c r="H201" s="8" t="n">
        <f aca="false">INDEX(Lookup_Tables!$B$2:$B$5,MATCH(D201,Lookup_Tables!$A$2:$A$5,0))</f>
        <v>21</v>
      </c>
      <c r="I201" s="9" t="n">
        <f aca="false">C201+H201</f>
        <v>45525</v>
      </c>
      <c r="J201" s="5" t="n">
        <v>-4</v>
      </c>
      <c r="K201" s="9" t="n">
        <f aca="false">I201+J201</f>
        <v>45521</v>
      </c>
      <c r="L201" s="5" t="n">
        <v>1728</v>
      </c>
      <c r="M201" s="10" t="n">
        <f aca="false">INDEX(Dim_Supplier!$F$2:$F$21,MATCH(B201,Dim_Supplier!$A$2:$A$21,0))</f>
        <v>38.9</v>
      </c>
      <c r="N201" s="11" t="n">
        <v>0.0532</v>
      </c>
      <c r="O201" s="10" t="n">
        <f aca="false">M201*(1+N201)</f>
        <v>40.96948</v>
      </c>
      <c r="P201" s="10" t="n">
        <f aca="false">O201*L201</f>
        <v>70795.26144</v>
      </c>
      <c r="Q201" s="5" t="s">
        <v>113</v>
      </c>
      <c r="R201" s="5" t="n">
        <v>0</v>
      </c>
      <c r="S201" s="5" t="n">
        <v>45</v>
      </c>
      <c r="T201" s="12" t="n">
        <f aca="false">(O201-M201)/M201</f>
        <v>0.0532</v>
      </c>
      <c r="U201" s="8" t="n">
        <f aca="false">IF(AND(K201&lt;=I201,R201=0),1,0)</f>
        <v>1</v>
      </c>
      <c r="V201" s="10" t="n">
        <f aca="false">IF(Q201="No",P201,0)</f>
        <v>0</v>
      </c>
    </row>
    <row r="202" customFormat="false" ht="15" hidden="false" customHeight="false" outlineLevel="0" collapsed="false">
      <c r="A202" s="5" t="s">
        <v>336</v>
      </c>
      <c r="B202" s="5" t="s">
        <v>68</v>
      </c>
      <c r="C202" s="7" t="n">
        <v>45696</v>
      </c>
      <c r="D202" s="8" t="str">
        <f aca="false">INDEX(Dim_Supplier!$C$2:$C$21,MATCH(B202,Dim_Supplier!$A$2:$A$21,0))</f>
        <v>MRO</v>
      </c>
      <c r="E202" s="8" t="str">
        <f aca="false">INDEX(Dim_Supplier!$B$2:$B$21,MATCH(B202,Dim_Supplier!$A$2:$A$21,0))</f>
        <v>Precision Tool &amp; Supply</v>
      </c>
      <c r="F202" s="5" t="s">
        <v>111</v>
      </c>
      <c r="G202" s="5" t="s">
        <v>112</v>
      </c>
      <c r="H202" s="8" t="n">
        <f aca="false">INDEX(Lookup_Tables!$B$2:$B$5,MATCH(D202,Lookup_Tables!$A$2:$A$5,0))</f>
        <v>10</v>
      </c>
      <c r="I202" s="9" t="n">
        <f aca="false">C202+H202</f>
        <v>45706</v>
      </c>
      <c r="J202" s="5" t="n">
        <v>-3</v>
      </c>
      <c r="K202" s="9" t="n">
        <f aca="false">I202+J202</f>
        <v>45703</v>
      </c>
      <c r="L202" s="5" t="n">
        <v>187</v>
      </c>
      <c r="M202" s="10" t="n">
        <f aca="false">INDEX(Dim_Supplier!$F$2:$F$21,MATCH(B202,Dim_Supplier!$A$2:$A$21,0))</f>
        <v>22.4</v>
      </c>
      <c r="N202" s="11" t="n">
        <v>0.0259</v>
      </c>
      <c r="O202" s="10" t="n">
        <f aca="false">M202*(1+N202)</f>
        <v>22.98016</v>
      </c>
      <c r="P202" s="10" t="n">
        <f aca="false">O202*L202</f>
        <v>4297.28992</v>
      </c>
      <c r="Q202" s="5" t="s">
        <v>113</v>
      </c>
      <c r="R202" s="5" t="n">
        <v>0</v>
      </c>
      <c r="S202" s="5" t="n">
        <v>45</v>
      </c>
      <c r="T202" s="12" t="n">
        <f aca="false">(O202-M202)/M202</f>
        <v>0.0259</v>
      </c>
      <c r="U202" s="8" t="n">
        <f aca="false">IF(AND(K202&lt;=I202,R202=0),1,0)</f>
        <v>1</v>
      </c>
      <c r="V202" s="10" t="n">
        <f aca="false">IF(Q202="No",P202,0)</f>
        <v>0</v>
      </c>
    </row>
    <row r="203" customFormat="false" ht="15" hidden="false" customHeight="false" outlineLevel="0" collapsed="false">
      <c r="A203" s="5" t="s">
        <v>337</v>
      </c>
      <c r="B203" s="5" t="s">
        <v>77</v>
      </c>
      <c r="C203" s="7" t="n">
        <v>45511</v>
      </c>
      <c r="D203" s="8" t="str">
        <f aca="false">INDEX(Dim_Supplier!$C$2:$C$21,MATCH(B203,Dim_Supplier!$A$2:$A$21,0))</f>
        <v>MRO</v>
      </c>
      <c r="E203" s="8" t="str">
        <f aca="false">INDEX(Dim_Supplier!$B$2:$B$21,MATCH(B203,Dim_Supplier!$A$2:$A$21,0))</f>
        <v>Apex Industrial Supply</v>
      </c>
      <c r="F203" s="5" t="s">
        <v>164</v>
      </c>
      <c r="G203" s="5" t="s">
        <v>120</v>
      </c>
      <c r="H203" s="8" t="n">
        <f aca="false">INDEX(Lookup_Tables!$B$2:$B$5,MATCH(D203,Lookup_Tables!$A$2:$A$5,0))</f>
        <v>10</v>
      </c>
      <c r="I203" s="9" t="n">
        <f aca="false">C203+H203</f>
        <v>45521</v>
      </c>
      <c r="J203" s="5" t="n">
        <v>2</v>
      </c>
      <c r="K203" s="9" t="n">
        <f aca="false">I203+J203</f>
        <v>45523</v>
      </c>
      <c r="L203" s="5" t="n">
        <v>40</v>
      </c>
      <c r="M203" s="10" t="n">
        <f aca="false">INDEX(Dim_Supplier!$F$2:$F$21,MATCH(B203,Dim_Supplier!$A$2:$A$21,0))</f>
        <v>24.6</v>
      </c>
      <c r="N203" s="11" t="n">
        <v>0.0374</v>
      </c>
      <c r="O203" s="10" t="n">
        <f aca="false">M203*(1+N203)</f>
        <v>25.52004</v>
      </c>
      <c r="P203" s="10" t="n">
        <f aca="false">O203*L203</f>
        <v>1020.8016</v>
      </c>
      <c r="Q203" s="5" t="s">
        <v>113</v>
      </c>
      <c r="R203" s="5" t="n">
        <v>0</v>
      </c>
      <c r="S203" s="5" t="n">
        <v>30</v>
      </c>
      <c r="T203" s="12" t="n">
        <f aca="false">(O203-M203)/M203</f>
        <v>0.0374000000000002</v>
      </c>
      <c r="U203" s="8" t="n">
        <f aca="false">IF(AND(K203&lt;=I203,R203=0),1,0)</f>
        <v>0</v>
      </c>
      <c r="V203" s="10" t="n">
        <f aca="false">IF(Q203="No",P203,0)</f>
        <v>0</v>
      </c>
    </row>
    <row r="204" customFormat="false" ht="15" hidden="false" customHeight="false" outlineLevel="0" collapsed="false">
      <c r="A204" s="5" t="s">
        <v>338</v>
      </c>
      <c r="B204" s="5" t="s">
        <v>41</v>
      </c>
      <c r="C204" s="7" t="n">
        <v>45835</v>
      </c>
      <c r="D204" s="8" t="str">
        <f aca="false">INDEX(Dim_Supplier!$C$2:$C$21,MATCH(B204,Dim_Supplier!$A$2:$A$21,0))</f>
        <v>Raw Materials</v>
      </c>
      <c r="E204" s="8" t="str">
        <f aca="false">INDEX(Dim_Supplier!$B$2:$B$21,MATCH(B204,Dim_Supplier!$A$2:$A$21,0))</f>
        <v>Ontario Steel Partners</v>
      </c>
      <c r="F204" s="5" t="s">
        <v>115</v>
      </c>
      <c r="G204" s="5" t="s">
        <v>112</v>
      </c>
      <c r="H204" s="8" t="n">
        <f aca="false">INDEX(Lookup_Tables!$B$2:$B$5,MATCH(D204,Lookup_Tables!$A$2:$A$5,0))</f>
        <v>21</v>
      </c>
      <c r="I204" s="9" t="n">
        <f aca="false">C204+H204</f>
        <v>45856</v>
      </c>
      <c r="J204" s="5" t="n">
        <v>-1</v>
      </c>
      <c r="K204" s="9" t="n">
        <f aca="false">I204+J204</f>
        <v>45855</v>
      </c>
      <c r="L204" s="5" t="n">
        <v>1569</v>
      </c>
      <c r="M204" s="10" t="n">
        <f aca="false">INDEX(Dim_Supplier!$F$2:$F$21,MATCH(B204,Dim_Supplier!$A$2:$A$21,0))</f>
        <v>58</v>
      </c>
      <c r="N204" s="11" t="n">
        <v>0.0167</v>
      </c>
      <c r="O204" s="10" t="n">
        <f aca="false">M204*(1+N204)</f>
        <v>58.9686</v>
      </c>
      <c r="P204" s="10" t="n">
        <f aca="false">O204*L204</f>
        <v>92521.7334</v>
      </c>
      <c r="Q204" s="5" t="s">
        <v>113</v>
      </c>
      <c r="R204" s="5" t="n">
        <v>0</v>
      </c>
      <c r="S204" s="5" t="n">
        <v>30</v>
      </c>
      <c r="T204" s="12" t="n">
        <f aca="false">(O204-M204)/M204</f>
        <v>0.0166999999999999</v>
      </c>
      <c r="U204" s="8" t="n">
        <f aca="false">IF(AND(K204&lt;=I204,R204=0),1,0)</f>
        <v>1</v>
      </c>
      <c r="V204" s="10" t="n">
        <f aca="false">IF(Q204="No",P204,0)</f>
        <v>0</v>
      </c>
    </row>
    <row r="205" customFormat="false" ht="15" hidden="false" customHeight="false" outlineLevel="0" collapsed="false">
      <c r="A205" s="5" t="s">
        <v>339</v>
      </c>
      <c r="B205" s="5" t="s">
        <v>88</v>
      </c>
      <c r="C205" s="7" t="n">
        <v>45453</v>
      </c>
      <c r="D205" s="8" t="str">
        <f aca="false">INDEX(Dim_Supplier!$C$2:$C$21,MATCH(B205,Dim_Supplier!$A$2:$A$21,0))</f>
        <v>Logistics</v>
      </c>
      <c r="E205" s="8" t="str">
        <f aca="false">INDEX(Dim_Supplier!$B$2:$B$21,MATCH(B205,Dim_Supplier!$A$2:$A$21,0))</f>
        <v>Summit Last-Mile Delivery</v>
      </c>
      <c r="F205" s="5" t="s">
        <v>237</v>
      </c>
      <c r="G205" s="5" t="s">
        <v>125</v>
      </c>
      <c r="H205" s="8" t="n">
        <f aca="false">INDEX(Lookup_Tables!$B$2:$B$5,MATCH(D205,Lookup_Tables!$A$2:$A$5,0))</f>
        <v>5</v>
      </c>
      <c r="I205" s="9" t="n">
        <f aca="false">C205+H205</f>
        <v>45458</v>
      </c>
      <c r="J205" s="5" t="n">
        <v>-2</v>
      </c>
      <c r="K205" s="9" t="n">
        <f aca="false">I205+J205</f>
        <v>45456</v>
      </c>
      <c r="L205" s="5" t="n">
        <v>19</v>
      </c>
      <c r="M205" s="10" t="n">
        <f aca="false">INDEX(Dim_Supplier!$F$2:$F$21,MATCH(B205,Dim_Supplier!$A$2:$A$21,0))</f>
        <v>95</v>
      </c>
      <c r="N205" s="11" t="n">
        <v>0.0419</v>
      </c>
      <c r="O205" s="10" t="n">
        <f aca="false">M205*(1+N205)</f>
        <v>98.9805</v>
      </c>
      <c r="P205" s="10" t="n">
        <f aca="false">O205*L205</f>
        <v>1880.6295</v>
      </c>
      <c r="Q205" s="5" t="s">
        <v>113</v>
      </c>
      <c r="R205" s="5" t="n">
        <v>0</v>
      </c>
      <c r="S205" s="5" t="n">
        <v>60</v>
      </c>
      <c r="T205" s="12" t="n">
        <f aca="false">(O205-M205)/M205</f>
        <v>0.0419000000000001</v>
      </c>
      <c r="U205" s="8" t="n">
        <f aca="false">IF(AND(K205&lt;=I205,R205=0),1,0)</f>
        <v>1</v>
      </c>
      <c r="V205" s="10" t="n">
        <f aca="false">IF(Q205="No",P205,0)</f>
        <v>0</v>
      </c>
    </row>
    <row r="206" customFormat="false" ht="15" hidden="false" customHeight="false" outlineLevel="0" collapsed="false">
      <c r="A206" s="5" t="s">
        <v>340</v>
      </c>
      <c r="B206" s="5" t="s">
        <v>46</v>
      </c>
      <c r="C206" s="7" t="n">
        <v>45879</v>
      </c>
      <c r="D206" s="8" t="str">
        <f aca="false">INDEX(Dim_Supplier!$C$2:$C$21,MATCH(B206,Dim_Supplier!$A$2:$A$21,0))</f>
        <v>Raw Materials</v>
      </c>
      <c r="E206" s="8" t="str">
        <f aca="false">INDEX(Dim_Supplier!$B$2:$B$21,MATCH(B206,Dim_Supplier!$A$2:$A$21,0))</f>
        <v>Niagara Alloy Supply</v>
      </c>
      <c r="F206" s="5" t="s">
        <v>115</v>
      </c>
      <c r="G206" s="5" t="s">
        <v>129</v>
      </c>
      <c r="H206" s="8" t="n">
        <f aca="false">INDEX(Lookup_Tables!$B$2:$B$5,MATCH(D206,Lookup_Tables!$A$2:$A$5,0))</f>
        <v>21</v>
      </c>
      <c r="I206" s="9" t="n">
        <f aca="false">C206+H206</f>
        <v>45900</v>
      </c>
      <c r="J206" s="5" t="n">
        <v>0</v>
      </c>
      <c r="K206" s="9" t="n">
        <f aca="false">I206+J206</f>
        <v>45900</v>
      </c>
      <c r="L206" s="5" t="n">
        <v>1906</v>
      </c>
      <c r="M206" s="10" t="n">
        <f aca="false">INDEX(Dim_Supplier!$F$2:$F$21,MATCH(B206,Dim_Supplier!$A$2:$A$21,0))</f>
        <v>46.5</v>
      </c>
      <c r="N206" s="11" t="n">
        <v>0.0236</v>
      </c>
      <c r="O206" s="10" t="n">
        <f aca="false">M206*(1+N206)</f>
        <v>47.5974</v>
      </c>
      <c r="P206" s="10" t="n">
        <f aca="false">O206*L206</f>
        <v>90720.6444</v>
      </c>
      <c r="Q206" s="5" t="s">
        <v>113</v>
      </c>
      <c r="R206" s="5" t="n">
        <v>0</v>
      </c>
      <c r="S206" s="5" t="n">
        <v>30</v>
      </c>
      <c r="T206" s="12" t="n">
        <f aca="false">(O206-M206)/M206</f>
        <v>0.0236</v>
      </c>
      <c r="U206" s="8" t="n">
        <f aca="false">IF(AND(K206&lt;=I206,R206=0),1,0)</f>
        <v>1</v>
      </c>
      <c r="V206" s="10" t="n">
        <f aca="false">IF(Q206="No",P206,0)</f>
        <v>0</v>
      </c>
    </row>
    <row r="207" customFormat="false" ht="15" hidden="false" customHeight="false" outlineLevel="0" collapsed="false">
      <c r="A207" s="5" t="s">
        <v>341</v>
      </c>
      <c r="B207" s="5" t="s">
        <v>82</v>
      </c>
      <c r="C207" s="7" t="n">
        <v>46098</v>
      </c>
      <c r="D207" s="8" t="str">
        <f aca="false">INDEX(Dim_Supplier!$C$2:$C$21,MATCH(B207,Dim_Supplier!$A$2:$A$21,0))</f>
        <v>Logistics</v>
      </c>
      <c r="E207" s="8" t="str">
        <f aca="false">INDEX(Dim_Supplier!$B$2:$B$21,MATCH(B207,Dim_Supplier!$A$2:$A$21,0))</f>
        <v>Maple Route Logistics</v>
      </c>
      <c r="F207" s="5" t="s">
        <v>237</v>
      </c>
      <c r="G207" s="5" t="s">
        <v>112</v>
      </c>
      <c r="H207" s="8" t="n">
        <f aca="false">INDEX(Lookup_Tables!$B$2:$B$5,MATCH(D207,Lookup_Tables!$A$2:$A$5,0))</f>
        <v>5</v>
      </c>
      <c r="I207" s="9" t="n">
        <f aca="false">C207+H207</f>
        <v>46103</v>
      </c>
      <c r="J207" s="5" t="n">
        <v>4</v>
      </c>
      <c r="K207" s="9" t="n">
        <f aca="false">I207+J207</f>
        <v>46107</v>
      </c>
      <c r="L207" s="5" t="n">
        <v>19</v>
      </c>
      <c r="M207" s="10" t="n">
        <f aca="false">INDEX(Dim_Supplier!$F$2:$F$21,MATCH(B207,Dim_Supplier!$A$2:$A$21,0))</f>
        <v>285</v>
      </c>
      <c r="N207" s="11" t="n">
        <v>0.0102</v>
      </c>
      <c r="O207" s="10" t="n">
        <f aca="false">M207*(1+N207)</f>
        <v>287.907</v>
      </c>
      <c r="P207" s="10" t="n">
        <f aca="false">O207*L207</f>
        <v>5470.233</v>
      </c>
      <c r="Q207" s="5" t="s">
        <v>133</v>
      </c>
      <c r="R207" s="5" t="n">
        <v>1</v>
      </c>
      <c r="S207" s="5" t="n">
        <v>60</v>
      </c>
      <c r="T207" s="12" t="n">
        <f aca="false">(O207-M207)/M207</f>
        <v>0.0101999999999999</v>
      </c>
      <c r="U207" s="8" t="n">
        <f aca="false">IF(AND(K207&lt;=I207,R207=0),1,0)</f>
        <v>0</v>
      </c>
      <c r="V207" s="10" t="n">
        <f aca="false">IF(Q207="No",P207,0)</f>
        <v>5470.233</v>
      </c>
    </row>
    <row r="208" customFormat="false" ht="15" hidden="false" customHeight="false" outlineLevel="0" collapsed="false">
      <c r="A208" s="5" t="s">
        <v>342</v>
      </c>
      <c r="B208" s="5" t="s">
        <v>57</v>
      </c>
      <c r="C208" s="7" t="n">
        <v>45757</v>
      </c>
      <c r="D208" s="8" t="str">
        <f aca="false">INDEX(Dim_Supplier!$C$2:$C$21,MATCH(B208,Dim_Supplier!$A$2:$A$21,0))</f>
        <v>Packaging</v>
      </c>
      <c r="E208" s="8" t="str">
        <f aca="false">INDEX(Dim_Supplier!$B$2:$B$21,MATCH(B208,Dim_Supplier!$A$2:$A$21,0))</f>
        <v>Great Lakes Packaging Co.</v>
      </c>
      <c r="F208" s="5" t="s">
        <v>122</v>
      </c>
      <c r="G208" s="5" t="s">
        <v>125</v>
      </c>
      <c r="H208" s="8" t="n">
        <f aca="false">INDEX(Lookup_Tables!$B$2:$B$5,MATCH(D208,Lookup_Tables!$A$2:$A$5,0))</f>
        <v>14</v>
      </c>
      <c r="I208" s="9" t="n">
        <f aca="false">C208+H208</f>
        <v>45771</v>
      </c>
      <c r="J208" s="5" t="n">
        <v>-2</v>
      </c>
      <c r="K208" s="9" t="n">
        <f aca="false">I208+J208</f>
        <v>45769</v>
      </c>
      <c r="L208" s="5" t="n">
        <v>4630</v>
      </c>
      <c r="M208" s="10" t="n">
        <f aca="false">INDEX(Dim_Supplier!$F$2:$F$21,MATCH(B208,Dim_Supplier!$A$2:$A$21,0))</f>
        <v>4.35</v>
      </c>
      <c r="N208" s="11" t="n">
        <v>0.0031</v>
      </c>
      <c r="O208" s="10" t="n">
        <f aca="false">M208*(1+N208)</f>
        <v>4.363485</v>
      </c>
      <c r="P208" s="10" t="n">
        <f aca="false">O208*L208</f>
        <v>20202.93555</v>
      </c>
      <c r="Q208" s="5" t="s">
        <v>113</v>
      </c>
      <c r="R208" s="5" t="n">
        <v>0</v>
      </c>
      <c r="S208" s="5" t="n">
        <v>30</v>
      </c>
      <c r="T208" s="12" t="n">
        <f aca="false">(O208-M208)/M208</f>
        <v>0.00310000000000004</v>
      </c>
      <c r="U208" s="8" t="n">
        <f aca="false">IF(AND(K208&lt;=I208,R208=0),1,0)</f>
        <v>1</v>
      </c>
      <c r="V208" s="10" t="n">
        <f aca="false">IF(Q208="No",P208,0)</f>
        <v>0</v>
      </c>
    </row>
    <row r="209" customFormat="false" ht="15" hidden="false" customHeight="false" outlineLevel="0" collapsed="false">
      <c r="A209" s="5" t="s">
        <v>343</v>
      </c>
      <c r="B209" s="5" t="s">
        <v>49</v>
      </c>
      <c r="C209" s="7" t="n">
        <v>45761</v>
      </c>
      <c r="D209" s="8" t="str">
        <f aca="false">INDEX(Dim_Supplier!$C$2:$C$21,MATCH(B209,Dim_Supplier!$A$2:$A$21,0))</f>
        <v>Raw Materials</v>
      </c>
      <c r="E209" s="8" t="str">
        <f aca="false">INDEX(Dim_Supplier!$B$2:$B$21,MATCH(B209,Dim_Supplier!$A$2:$A$21,0))</f>
        <v>Great Lakes Polymer Co.</v>
      </c>
      <c r="F209" s="5" t="s">
        <v>139</v>
      </c>
      <c r="G209" s="5" t="s">
        <v>112</v>
      </c>
      <c r="H209" s="8" t="n">
        <f aca="false">INDEX(Lookup_Tables!$B$2:$B$5,MATCH(D209,Lookup_Tables!$A$2:$A$5,0))</f>
        <v>21</v>
      </c>
      <c r="I209" s="9" t="n">
        <f aca="false">C209+H209</f>
        <v>45782</v>
      </c>
      <c r="J209" s="5" t="n">
        <v>6</v>
      </c>
      <c r="K209" s="9" t="n">
        <f aca="false">I209+J209</f>
        <v>45788</v>
      </c>
      <c r="L209" s="5" t="n">
        <v>704</v>
      </c>
      <c r="M209" s="10" t="n">
        <f aca="false">INDEX(Dim_Supplier!$F$2:$F$21,MATCH(B209,Dim_Supplier!$A$2:$A$21,0))</f>
        <v>32.75</v>
      </c>
      <c r="N209" s="11" t="n">
        <v>0.1216</v>
      </c>
      <c r="O209" s="10" t="n">
        <f aca="false">M209*(1+N209)</f>
        <v>36.7324</v>
      </c>
      <c r="P209" s="10" t="n">
        <f aca="false">O209*L209</f>
        <v>25859.6096</v>
      </c>
      <c r="Q209" s="5" t="s">
        <v>133</v>
      </c>
      <c r="R209" s="5" t="n">
        <v>0</v>
      </c>
      <c r="S209" s="5" t="n">
        <v>30</v>
      </c>
      <c r="T209" s="12" t="n">
        <f aca="false">(O209-M209)/M209</f>
        <v>0.1216</v>
      </c>
      <c r="U209" s="8" t="n">
        <f aca="false">IF(AND(K209&lt;=I209,R209=0),1,0)</f>
        <v>0</v>
      </c>
      <c r="V209" s="10" t="n">
        <f aca="false">IF(Q209="No",P209,0)</f>
        <v>25859.6096</v>
      </c>
    </row>
    <row r="210" customFormat="false" ht="15" hidden="false" customHeight="false" outlineLevel="0" collapsed="false">
      <c r="A210" s="5" t="s">
        <v>344</v>
      </c>
      <c r="B210" s="5" t="s">
        <v>82</v>
      </c>
      <c r="C210" s="7" t="n">
        <v>45707</v>
      </c>
      <c r="D210" s="8" t="str">
        <f aca="false">INDEX(Dim_Supplier!$C$2:$C$21,MATCH(B210,Dim_Supplier!$A$2:$A$21,0))</f>
        <v>Logistics</v>
      </c>
      <c r="E210" s="8" t="str">
        <f aca="false">INDEX(Dim_Supplier!$B$2:$B$21,MATCH(B210,Dim_Supplier!$A$2:$A$21,0))</f>
        <v>Maple Route Logistics</v>
      </c>
      <c r="F210" s="5" t="s">
        <v>237</v>
      </c>
      <c r="G210" s="5" t="s">
        <v>120</v>
      </c>
      <c r="H210" s="8" t="n">
        <f aca="false">INDEX(Lookup_Tables!$B$2:$B$5,MATCH(D210,Lookup_Tables!$A$2:$A$5,0))</f>
        <v>5</v>
      </c>
      <c r="I210" s="9" t="n">
        <f aca="false">C210+H210</f>
        <v>45712</v>
      </c>
      <c r="J210" s="5" t="n">
        <v>2</v>
      </c>
      <c r="K210" s="9" t="n">
        <f aca="false">I210+J210</f>
        <v>45714</v>
      </c>
      <c r="L210" s="5" t="n">
        <v>12</v>
      </c>
      <c r="M210" s="10" t="n">
        <f aca="false">INDEX(Dim_Supplier!$F$2:$F$21,MATCH(B210,Dim_Supplier!$A$2:$A$21,0))</f>
        <v>285</v>
      </c>
      <c r="N210" s="11" t="n">
        <v>0.0454</v>
      </c>
      <c r="O210" s="10" t="n">
        <f aca="false">M210*(1+N210)</f>
        <v>297.939</v>
      </c>
      <c r="P210" s="10" t="n">
        <f aca="false">O210*L210</f>
        <v>3575.268</v>
      </c>
      <c r="Q210" s="5" t="s">
        <v>133</v>
      </c>
      <c r="R210" s="5" t="n">
        <v>0</v>
      </c>
      <c r="S210" s="5" t="n">
        <v>60</v>
      </c>
      <c r="T210" s="12" t="n">
        <f aca="false">(O210-M210)/M210</f>
        <v>0.0454000000000001</v>
      </c>
      <c r="U210" s="8" t="n">
        <f aca="false">IF(AND(K210&lt;=I210,R210=0),1,0)</f>
        <v>0</v>
      </c>
      <c r="V210" s="10" t="n">
        <f aca="false">IF(Q210="No",P210,0)</f>
        <v>3575.268</v>
      </c>
    </row>
    <row r="211" customFormat="false" ht="15" hidden="false" customHeight="false" outlineLevel="0" collapsed="false">
      <c r="A211" s="5" t="s">
        <v>345</v>
      </c>
      <c r="B211" s="5" t="s">
        <v>41</v>
      </c>
      <c r="C211" s="7" t="n">
        <v>45684</v>
      </c>
      <c r="D211" s="8" t="str">
        <f aca="false">INDEX(Dim_Supplier!$C$2:$C$21,MATCH(B211,Dim_Supplier!$A$2:$A$21,0))</f>
        <v>Raw Materials</v>
      </c>
      <c r="E211" s="8" t="str">
        <f aca="false">INDEX(Dim_Supplier!$B$2:$B$21,MATCH(B211,Dim_Supplier!$A$2:$A$21,0))</f>
        <v>Ontario Steel Partners</v>
      </c>
      <c r="F211" s="5" t="s">
        <v>115</v>
      </c>
      <c r="G211" s="5" t="s">
        <v>125</v>
      </c>
      <c r="H211" s="8" t="n">
        <f aca="false">INDEX(Lookup_Tables!$B$2:$B$5,MATCH(D211,Lookup_Tables!$A$2:$A$5,0))</f>
        <v>21</v>
      </c>
      <c r="I211" s="9" t="n">
        <f aca="false">C211+H211</f>
        <v>45705</v>
      </c>
      <c r="J211" s="5" t="n">
        <v>-3</v>
      </c>
      <c r="K211" s="9" t="n">
        <f aca="false">I211+J211</f>
        <v>45702</v>
      </c>
      <c r="L211" s="5" t="n">
        <v>718</v>
      </c>
      <c r="M211" s="10" t="n">
        <f aca="false">INDEX(Dim_Supplier!$F$2:$F$21,MATCH(B211,Dim_Supplier!$A$2:$A$21,0))</f>
        <v>58</v>
      </c>
      <c r="N211" s="11" t="n">
        <v>-0.0396</v>
      </c>
      <c r="O211" s="10" t="n">
        <f aca="false">M211*(1+N211)</f>
        <v>55.7032</v>
      </c>
      <c r="P211" s="10" t="n">
        <f aca="false">O211*L211</f>
        <v>39994.8976</v>
      </c>
      <c r="Q211" s="5" t="s">
        <v>113</v>
      </c>
      <c r="R211" s="5" t="n">
        <v>0</v>
      </c>
      <c r="S211" s="5" t="n">
        <v>30</v>
      </c>
      <c r="T211" s="12" t="n">
        <f aca="false">(O211-M211)/M211</f>
        <v>-0.0396</v>
      </c>
      <c r="U211" s="8" t="n">
        <f aca="false">IF(AND(K211&lt;=I211,R211=0),1,0)</f>
        <v>1</v>
      </c>
      <c r="V211" s="10" t="n">
        <f aca="false">IF(Q211="No",P211,0)</f>
        <v>0</v>
      </c>
    </row>
    <row r="212" customFormat="false" ht="15" hidden="false" customHeight="false" outlineLevel="0" collapsed="false">
      <c r="A212" s="5" t="s">
        <v>346</v>
      </c>
      <c r="B212" s="5" t="s">
        <v>57</v>
      </c>
      <c r="C212" s="7" t="n">
        <v>45533</v>
      </c>
      <c r="D212" s="8" t="str">
        <f aca="false">INDEX(Dim_Supplier!$C$2:$C$21,MATCH(B212,Dim_Supplier!$A$2:$A$21,0))</f>
        <v>Packaging</v>
      </c>
      <c r="E212" s="8" t="str">
        <f aca="false">INDEX(Dim_Supplier!$B$2:$B$21,MATCH(B212,Dim_Supplier!$A$2:$A$21,0))</f>
        <v>Great Lakes Packaging Co.</v>
      </c>
      <c r="F212" s="5" t="s">
        <v>117</v>
      </c>
      <c r="G212" s="5" t="s">
        <v>129</v>
      </c>
      <c r="H212" s="8" t="n">
        <f aca="false">INDEX(Lookup_Tables!$B$2:$B$5,MATCH(D212,Lookup_Tables!$A$2:$A$5,0))</f>
        <v>14</v>
      </c>
      <c r="I212" s="9" t="n">
        <f aca="false">C212+H212</f>
        <v>45547</v>
      </c>
      <c r="J212" s="5" t="n">
        <v>-4</v>
      </c>
      <c r="K212" s="9" t="n">
        <f aca="false">I212+J212</f>
        <v>45543</v>
      </c>
      <c r="L212" s="5" t="n">
        <v>4616</v>
      </c>
      <c r="M212" s="10" t="n">
        <f aca="false">INDEX(Dim_Supplier!$F$2:$F$21,MATCH(B212,Dim_Supplier!$A$2:$A$21,0))</f>
        <v>4.35</v>
      </c>
      <c r="N212" s="11" t="n">
        <v>0.0125</v>
      </c>
      <c r="O212" s="10" t="n">
        <f aca="false">M212*(1+N212)</f>
        <v>4.404375</v>
      </c>
      <c r="P212" s="10" t="n">
        <f aca="false">O212*L212</f>
        <v>20330.595</v>
      </c>
      <c r="Q212" s="5" t="s">
        <v>113</v>
      </c>
      <c r="R212" s="5" t="n">
        <v>0</v>
      </c>
      <c r="S212" s="5" t="n">
        <v>45</v>
      </c>
      <c r="T212" s="12" t="n">
        <f aca="false">(O212-M212)/M212</f>
        <v>0.0124999999999999</v>
      </c>
      <c r="U212" s="8" t="n">
        <f aca="false">IF(AND(K212&lt;=I212,R212=0),1,0)</f>
        <v>1</v>
      </c>
      <c r="V212" s="10" t="n">
        <f aca="false">IF(Q212="No",P212,0)</f>
        <v>0</v>
      </c>
    </row>
    <row r="213" customFormat="false" ht="15" hidden="false" customHeight="false" outlineLevel="0" collapsed="false">
      <c r="A213" s="5" t="s">
        <v>347</v>
      </c>
      <c r="B213" s="5" t="s">
        <v>75</v>
      </c>
      <c r="C213" s="7" t="n">
        <v>45946</v>
      </c>
      <c r="D213" s="8" t="str">
        <f aca="false">INDEX(Dim_Supplier!$C$2:$C$21,MATCH(B213,Dim_Supplier!$A$2:$A$21,0))</f>
        <v>MRO</v>
      </c>
      <c r="E213" s="8" t="str">
        <f aca="false">INDEX(Dim_Supplier!$B$2:$B$21,MATCH(B213,Dim_Supplier!$A$2:$A$21,0))</f>
        <v>Sterling Lubricants Inc.</v>
      </c>
      <c r="F213" s="5" t="s">
        <v>111</v>
      </c>
      <c r="G213" s="5" t="s">
        <v>120</v>
      </c>
      <c r="H213" s="8" t="n">
        <f aca="false">INDEX(Lookup_Tables!$B$2:$B$5,MATCH(D213,Lookup_Tables!$A$2:$A$5,0))</f>
        <v>10</v>
      </c>
      <c r="I213" s="9" t="n">
        <f aca="false">C213+H213</f>
        <v>45956</v>
      </c>
      <c r="J213" s="5" t="n">
        <v>-4</v>
      </c>
      <c r="K213" s="9" t="n">
        <f aca="false">I213+J213</f>
        <v>45952</v>
      </c>
      <c r="L213" s="5" t="n">
        <v>39</v>
      </c>
      <c r="M213" s="10" t="n">
        <f aca="false">INDEX(Dim_Supplier!$F$2:$F$21,MATCH(B213,Dim_Supplier!$A$2:$A$21,0))</f>
        <v>27.1</v>
      </c>
      <c r="N213" s="11" t="n">
        <v>0.0107</v>
      </c>
      <c r="O213" s="10" t="n">
        <f aca="false">M213*(1+N213)</f>
        <v>27.38997</v>
      </c>
      <c r="P213" s="10" t="n">
        <f aca="false">O213*L213</f>
        <v>1068.20883</v>
      </c>
      <c r="Q213" s="5" t="s">
        <v>113</v>
      </c>
      <c r="R213" s="5" t="n">
        <v>0</v>
      </c>
      <c r="S213" s="5" t="n">
        <v>60</v>
      </c>
      <c r="T213" s="12" t="n">
        <f aca="false">(O213-M213)/M213</f>
        <v>0.0106999999999999</v>
      </c>
      <c r="U213" s="8" t="n">
        <f aca="false">IF(AND(K213&lt;=I213,R213=0),1,0)</f>
        <v>1</v>
      </c>
      <c r="V213" s="10" t="n">
        <f aca="false">IF(Q213="No",P213,0)</f>
        <v>0</v>
      </c>
    </row>
    <row r="214" customFormat="false" ht="15" hidden="false" customHeight="false" outlineLevel="0" collapsed="false">
      <c r="A214" s="5" t="s">
        <v>348</v>
      </c>
      <c r="B214" s="5" t="s">
        <v>60</v>
      </c>
      <c r="C214" s="7" t="n">
        <v>46010</v>
      </c>
      <c r="D214" s="8" t="str">
        <f aca="false">INDEX(Dim_Supplier!$C$2:$C$21,MATCH(B214,Dim_Supplier!$A$2:$A$21,0))</f>
        <v>Packaging</v>
      </c>
      <c r="E214" s="8" t="str">
        <f aca="false">INDEX(Dim_Supplier!$B$2:$B$21,MATCH(B214,Dim_Supplier!$A$2:$A$21,0))</f>
        <v>Maple Leaf Box &amp; Crate</v>
      </c>
      <c r="F214" s="5" t="s">
        <v>122</v>
      </c>
      <c r="G214" s="5" t="s">
        <v>125</v>
      </c>
      <c r="H214" s="8" t="n">
        <f aca="false">INDEX(Lookup_Tables!$B$2:$B$5,MATCH(D214,Lookup_Tables!$A$2:$A$5,0))</f>
        <v>14</v>
      </c>
      <c r="I214" s="9" t="n">
        <f aca="false">C214+H214</f>
        <v>46024</v>
      </c>
      <c r="J214" s="5" t="n">
        <v>-1</v>
      </c>
      <c r="K214" s="9" t="n">
        <f aca="false">I214+J214</f>
        <v>46023</v>
      </c>
      <c r="L214" s="5" t="n">
        <v>2289</v>
      </c>
      <c r="M214" s="10" t="n">
        <f aca="false">INDEX(Dim_Supplier!$F$2:$F$21,MATCH(B214,Dim_Supplier!$A$2:$A$21,0))</f>
        <v>3.1</v>
      </c>
      <c r="N214" s="11" t="n">
        <v>0.004</v>
      </c>
      <c r="O214" s="10" t="n">
        <f aca="false">M214*(1+N214)</f>
        <v>3.1124</v>
      </c>
      <c r="P214" s="10" t="n">
        <f aca="false">O214*L214</f>
        <v>7124.2836</v>
      </c>
      <c r="Q214" s="5" t="s">
        <v>113</v>
      </c>
      <c r="R214" s="5" t="n">
        <v>0</v>
      </c>
      <c r="S214" s="5" t="n">
        <v>45</v>
      </c>
      <c r="T214" s="12" t="n">
        <f aca="false">(O214-M214)/M214</f>
        <v>0.00399999999999999</v>
      </c>
      <c r="U214" s="8" t="n">
        <f aca="false">IF(AND(K214&lt;=I214,R214=0),1,0)</f>
        <v>1</v>
      </c>
      <c r="V214" s="10" t="n">
        <f aca="false">IF(Q214="No",P214,0)</f>
        <v>0</v>
      </c>
    </row>
    <row r="215" customFormat="false" ht="15" hidden="false" customHeight="false" outlineLevel="0" collapsed="false">
      <c r="A215" s="5" t="s">
        <v>349</v>
      </c>
      <c r="B215" s="5" t="s">
        <v>79</v>
      </c>
      <c r="C215" s="7" t="n">
        <v>45830</v>
      </c>
      <c r="D215" s="8" t="str">
        <f aca="false">INDEX(Dim_Supplier!$C$2:$C$21,MATCH(B215,Dim_Supplier!$A$2:$A$21,0))</f>
        <v>Logistics</v>
      </c>
      <c r="E215" s="8" t="str">
        <f aca="false">INDEX(Dim_Supplier!$B$2:$B$21,MATCH(B215,Dim_Supplier!$A$2:$A$21,0))</f>
        <v>Niagara Freight Solutions</v>
      </c>
      <c r="F215" s="5" t="s">
        <v>237</v>
      </c>
      <c r="G215" s="5" t="s">
        <v>120</v>
      </c>
      <c r="H215" s="8" t="n">
        <f aca="false">INDEX(Lookup_Tables!$B$2:$B$5,MATCH(D215,Lookup_Tables!$A$2:$A$5,0))</f>
        <v>5</v>
      </c>
      <c r="I215" s="9" t="n">
        <f aca="false">C215+H215</f>
        <v>45835</v>
      </c>
      <c r="J215" s="5" t="n">
        <v>0</v>
      </c>
      <c r="K215" s="9" t="n">
        <f aca="false">I215+J215</f>
        <v>45835</v>
      </c>
      <c r="L215" s="5" t="n">
        <v>4</v>
      </c>
      <c r="M215" s="10" t="n">
        <f aca="false">INDEX(Dim_Supplier!$F$2:$F$21,MATCH(B215,Dim_Supplier!$A$2:$A$21,0))</f>
        <v>340</v>
      </c>
      <c r="N215" s="11" t="n">
        <v>0.0221</v>
      </c>
      <c r="O215" s="10" t="n">
        <f aca="false">M215*(1+N215)</f>
        <v>347.514</v>
      </c>
      <c r="P215" s="10" t="n">
        <f aca="false">O215*L215</f>
        <v>1390.056</v>
      </c>
      <c r="Q215" s="5" t="s">
        <v>113</v>
      </c>
      <c r="R215" s="5" t="n">
        <v>0</v>
      </c>
      <c r="S215" s="5" t="n">
        <v>30</v>
      </c>
      <c r="T215" s="12" t="n">
        <f aca="false">(O215-M215)/M215</f>
        <v>0.0221</v>
      </c>
      <c r="U215" s="8" t="n">
        <f aca="false">IF(AND(K215&lt;=I215,R215=0),1,0)</f>
        <v>1</v>
      </c>
      <c r="V215" s="10" t="n">
        <f aca="false">IF(Q215="No",P215,0)</f>
        <v>0</v>
      </c>
    </row>
    <row r="216" customFormat="false" ht="15" hidden="false" customHeight="false" outlineLevel="0" collapsed="false">
      <c r="A216" s="5" t="s">
        <v>350</v>
      </c>
      <c r="B216" s="5" t="s">
        <v>68</v>
      </c>
      <c r="C216" s="7" t="n">
        <v>45460</v>
      </c>
      <c r="D216" s="8" t="str">
        <f aca="false">INDEX(Dim_Supplier!$C$2:$C$21,MATCH(B216,Dim_Supplier!$A$2:$A$21,0))</f>
        <v>MRO</v>
      </c>
      <c r="E216" s="8" t="str">
        <f aca="false">INDEX(Dim_Supplier!$B$2:$B$21,MATCH(B216,Dim_Supplier!$A$2:$A$21,0))</f>
        <v>Precision Tool &amp; Supply</v>
      </c>
      <c r="F216" s="5" t="s">
        <v>111</v>
      </c>
      <c r="G216" s="5" t="s">
        <v>125</v>
      </c>
      <c r="H216" s="8" t="n">
        <f aca="false">INDEX(Lookup_Tables!$B$2:$B$5,MATCH(D216,Lookup_Tables!$A$2:$A$5,0))</f>
        <v>10</v>
      </c>
      <c r="I216" s="9" t="n">
        <f aca="false">C216+H216</f>
        <v>45470</v>
      </c>
      <c r="J216" s="5" t="n">
        <v>-2</v>
      </c>
      <c r="K216" s="9" t="n">
        <f aca="false">I216+J216</f>
        <v>45468</v>
      </c>
      <c r="L216" s="5" t="n">
        <v>154</v>
      </c>
      <c r="M216" s="10" t="n">
        <f aca="false">INDEX(Dim_Supplier!$F$2:$F$21,MATCH(B216,Dim_Supplier!$A$2:$A$21,0))</f>
        <v>22.4</v>
      </c>
      <c r="N216" s="11" t="n">
        <v>0.019</v>
      </c>
      <c r="O216" s="10" t="n">
        <f aca="false">M216*(1+N216)</f>
        <v>22.8256</v>
      </c>
      <c r="P216" s="10" t="n">
        <f aca="false">O216*L216</f>
        <v>3515.1424</v>
      </c>
      <c r="Q216" s="5" t="s">
        <v>113</v>
      </c>
      <c r="R216" s="5" t="n">
        <v>0</v>
      </c>
      <c r="S216" s="5" t="n">
        <v>30</v>
      </c>
      <c r="T216" s="12" t="n">
        <f aca="false">(O216-M216)/M216</f>
        <v>0.019</v>
      </c>
      <c r="U216" s="8" t="n">
        <f aca="false">IF(AND(K216&lt;=I216,R216=0),1,0)</f>
        <v>1</v>
      </c>
      <c r="V216" s="10" t="n">
        <f aca="false">IF(Q216="No",P216,0)</f>
        <v>0</v>
      </c>
    </row>
    <row r="217" customFormat="false" ht="15" hidden="false" customHeight="false" outlineLevel="0" collapsed="false">
      <c r="A217" s="5" t="s">
        <v>351</v>
      </c>
      <c r="B217" s="5" t="s">
        <v>41</v>
      </c>
      <c r="C217" s="7" t="n">
        <v>45427</v>
      </c>
      <c r="D217" s="8" t="str">
        <f aca="false">INDEX(Dim_Supplier!$C$2:$C$21,MATCH(B217,Dim_Supplier!$A$2:$A$21,0))</f>
        <v>Raw Materials</v>
      </c>
      <c r="E217" s="8" t="str">
        <f aca="false">INDEX(Dim_Supplier!$B$2:$B$21,MATCH(B217,Dim_Supplier!$A$2:$A$21,0))</f>
        <v>Ontario Steel Partners</v>
      </c>
      <c r="F217" s="5" t="s">
        <v>144</v>
      </c>
      <c r="G217" s="5" t="s">
        <v>125</v>
      </c>
      <c r="H217" s="8" t="n">
        <f aca="false">INDEX(Lookup_Tables!$B$2:$B$5,MATCH(D217,Lookup_Tables!$A$2:$A$5,0))</f>
        <v>21</v>
      </c>
      <c r="I217" s="9" t="n">
        <f aca="false">C217+H217</f>
        <v>45448</v>
      </c>
      <c r="J217" s="5" t="n">
        <v>-4</v>
      </c>
      <c r="K217" s="9" t="n">
        <f aca="false">I217+J217</f>
        <v>45444</v>
      </c>
      <c r="L217" s="5" t="n">
        <v>1046</v>
      </c>
      <c r="M217" s="10" t="n">
        <f aca="false">INDEX(Dim_Supplier!$F$2:$F$21,MATCH(B217,Dim_Supplier!$A$2:$A$21,0))</f>
        <v>58</v>
      </c>
      <c r="N217" s="11" t="n">
        <v>0.0118</v>
      </c>
      <c r="O217" s="10" t="n">
        <f aca="false">M217*(1+N217)</f>
        <v>58.6844</v>
      </c>
      <c r="P217" s="10" t="n">
        <f aca="false">O217*L217</f>
        <v>61383.8824</v>
      </c>
      <c r="Q217" s="5" t="s">
        <v>113</v>
      </c>
      <c r="R217" s="5" t="n">
        <v>0</v>
      </c>
      <c r="S217" s="5" t="n">
        <v>30</v>
      </c>
      <c r="T217" s="12" t="n">
        <f aca="false">(O217-M217)/M217</f>
        <v>0.0118000000000001</v>
      </c>
      <c r="U217" s="8" t="n">
        <f aca="false">IF(AND(K217&lt;=I217,R217=0),1,0)</f>
        <v>1</v>
      </c>
      <c r="V217" s="10" t="n">
        <f aca="false">IF(Q217="No",P217,0)</f>
        <v>0</v>
      </c>
    </row>
    <row r="218" customFormat="false" ht="15" hidden="false" customHeight="false" outlineLevel="0" collapsed="false">
      <c r="A218" s="5" t="s">
        <v>352</v>
      </c>
      <c r="B218" s="5" t="s">
        <v>52</v>
      </c>
      <c r="C218" s="7" t="n">
        <v>45295</v>
      </c>
      <c r="D218" s="8" t="str">
        <f aca="false">INDEX(Dim_Supplier!$C$2:$C$21,MATCH(B218,Dim_Supplier!$A$2:$A$21,0))</f>
        <v>Raw Materials</v>
      </c>
      <c r="E218" s="8" t="str">
        <f aca="false">INDEX(Dim_Supplier!$B$2:$B$21,MATCH(B218,Dim_Supplier!$A$2:$A$21,0))</f>
        <v>Laurentian Metals Inc.</v>
      </c>
      <c r="F218" s="5" t="s">
        <v>115</v>
      </c>
      <c r="G218" s="5" t="s">
        <v>129</v>
      </c>
      <c r="H218" s="8" t="n">
        <f aca="false">INDEX(Lookup_Tables!$B$2:$B$5,MATCH(D218,Lookup_Tables!$A$2:$A$5,0))</f>
        <v>21</v>
      </c>
      <c r="I218" s="9" t="n">
        <f aca="false">C218+H218</f>
        <v>45316</v>
      </c>
      <c r="J218" s="5" t="n">
        <v>-1</v>
      </c>
      <c r="K218" s="9" t="n">
        <f aca="false">I218+J218</f>
        <v>45315</v>
      </c>
      <c r="L218" s="5" t="n">
        <v>230</v>
      </c>
      <c r="M218" s="10" t="n">
        <f aca="false">INDEX(Dim_Supplier!$F$2:$F$21,MATCH(B218,Dim_Supplier!$A$2:$A$21,0))</f>
        <v>61.2</v>
      </c>
      <c r="N218" s="11" t="n">
        <v>0.0252</v>
      </c>
      <c r="O218" s="10" t="n">
        <f aca="false">M218*(1+N218)</f>
        <v>62.74224</v>
      </c>
      <c r="P218" s="10" t="n">
        <f aca="false">O218*L218</f>
        <v>14430.7152</v>
      </c>
      <c r="Q218" s="5" t="s">
        <v>113</v>
      </c>
      <c r="R218" s="5" t="n">
        <v>0</v>
      </c>
      <c r="S218" s="5" t="n">
        <v>60</v>
      </c>
      <c r="T218" s="12" t="n">
        <f aca="false">(O218-M218)/M218</f>
        <v>0.0251999999999999</v>
      </c>
      <c r="U218" s="8" t="n">
        <f aca="false">IF(AND(K218&lt;=I218,R218=0),1,0)</f>
        <v>1</v>
      </c>
      <c r="V218" s="10" t="n">
        <f aca="false">IF(Q218="No",P218,0)</f>
        <v>0</v>
      </c>
    </row>
    <row r="219" customFormat="false" ht="15" hidden="false" customHeight="false" outlineLevel="0" collapsed="false">
      <c r="A219" s="5" t="s">
        <v>353</v>
      </c>
      <c r="B219" s="5" t="s">
        <v>88</v>
      </c>
      <c r="C219" s="7" t="n">
        <v>45775</v>
      </c>
      <c r="D219" s="8" t="str">
        <f aca="false">INDEX(Dim_Supplier!$C$2:$C$21,MATCH(B219,Dim_Supplier!$A$2:$A$21,0))</f>
        <v>Logistics</v>
      </c>
      <c r="E219" s="8" t="str">
        <f aca="false">INDEX(Dim_Supplier!$B$2:$B$21,MATCH(B219,Dim_Supplier!$A$2:$A$21,0))</f>
        <v>Summit Last-Mile Delivery</v>
      </c>
      <c r="F219" s="5" t="s">
        <v>124</v>
      </c>
      <c r="G219" s="5" t="s">
        <v>120</v>
      </c>
      <c r="H219" s="8" t="n">
        <f aca="false">INDEX(Lookup_Tables!$B$2:$B$5,MATCH(D219,Lookup_Tables!$A$2:$A$5,0))</f>
        <v>5</v>
      </c>
      <c r="I219" s="9" t="n">
        <f aca="false">C219+H219</f>
        <v>45780</v>
      </c>
      <c r="J219" s="5" t="n">
        <v>-4</v>
      </c>
      <c r="K219" s="9" t="n">
        <f aca="false">I219+J219</f>
        <v>45776</v>
      </c>
      <c r="L219" s="5" t="n">
        <v>50</v>
      </c>
      <c r="M219" s="10" t="n">
        <f aca="false">INDEX(Dim_Supplier!$F$2:$F$21,MATCH(B219,Dim_Supplier!$A$2:$A$21,0))</f>
        <v>95</v>
      </c>
      <c r="N219" s="11" t="n">
        <v>0.0586</v>
      </c>
      <c r="O219" s="10" t="n">
        <f aca="false">M219*(1+N219)</f>
        <v>100.567</v>
      </c>
      <c r="P219" s="10" t="n">
        <f aca="false">O219*L219</f>
        <v>5028.35</v>
      </c>
      <c r="Q219" s="5" t="s">
        <v>113</v>
      </c>
      <c r="R219" s="5" t="n">
        <v>0</v>
      </c>
      <c r="S219" s="5" t="n">
        <v>60</v>
      </c>
      <c r="T219" s="12" t="n">
        <f aca="false">(O219-M219)/M219</f>
        <v>0.0585999999999999</v>
      </c>
      <c r="U219" s="8" t="n">
        <f aca="false">IF(AND(K219&lt;=I219,R219=0),1,0)</f>
        <v>1</v>
      </c>
      <c r="V219" s="10" t="n">
        <f aca="false">IF(Q219="No",P219,0)</f>
        <v>0</v>
      </c>
    </row>
    <row r="220" customFormat="false" ht="15" hidden="false" customHeight="false" outlineLevel="0" collapsed="false">
      <c r="A220" s="5" t="s">
        <v>354</v>
      </c>
      <c r="B220" s="5" t="s">
        <v>60</v>
      </c>
      <c r="C220" s="7" t="n">
        <v>45683</v>
      </c>
      <c r="D220" s="8" t="str">
        <f aca="false">INDEX(Dim_Supplier!$C$2:$C$21,MATCH(B220,Dim_Supplier!$A$2:$A$21,0))</f>
        <v>Packaging</v>
      </c>
      <c r="E220" s="8" t="str">
        <f aca="false">INDEX(Dim_Supplier!$B$2:$B$21,MATCH(B220,Dim_Supplier!$A$2:$A$21,0))</f>
        <v>Maple Leaf Box &amp; Crate</v>
      </c>
      <c r="F220" s="5" t="s">
        <v>137</v>
      </c>
      <c r="G220" s="5" t="s">
        <v>125</v>
      </c>
      <c r="H220" s="8" t="n">
        <f aca="false">INDEX(Lookup_Tables!$B$2:$B$5,MATCH(D220,Lookup_Tables!$A$2:$A$5,0))</f>
        <v>14</v>
      </c>
      <c r="I220" s="9" t="n">
        <f aca="false">C220+H220</f>
        <v>45697</v>
      </c>
      <c r="J220" s="5" t="n">
        <v>-3</v>
      </c>
      <c r="K220" s="9" t="n">
        <f aca="false">I220+J220</f>
        <v>45694</v>
      </c>
      <c r="L220" s="5" t="n">
        <v>4917</v>
      </c>
      <c r="M220" s="10" t="n">
        <f aca="false">INDEX(Dim_Supplier!$F$2:$F$21,MATCH(B220,Dim_Supplier!$A$2:$A$21,0))</f>
        <v>3.1</v>
      </c>
      <c r="N220" s="11" t="n">
        <v>0.0613</v>
      </c>
      <c r="O220" s="10" t="n">
        <f aca="false">M220*(1+N220)</f>
        <v>3.29003</v>
      </c>
      <c r="P220" s="10" t="n">
        <f aca="false">O220*L220</f>
        <v>16177.07751</v>
      </c>
      <c r="Q220" s="5" t="s">
        <v>113</v>
      </c>
      <c r="R220" s="5" t="n">
        <v>0</v>
      </c>
      <c r="S220" s="5" t="n">
        <v>30</v>
      </c>
      <c r="T220" s="12" t="n">
        <f aca="false">(O220-M220)/M220</f>
        <v>0.0612999999999999</v>
      </c>
      <c r="U220" s="8" t="n">
        <f aca="false">IF(AND(K220&lt;=I220,R220=0),1,0)</f>
        <v>1</v>
      </c>
      <c r="V220" s="10" t="n">
        <f aca="false">IF(Q220="No",P220,0)</f>
        <v>0</v>
      </c>
    </row>
    <row r="221" customFormat="false" ht="15" hidden="false" customHeight="false" outlineLevel="0" collapsed="false">
      <c r="A221" s="5" t="s">
        <v>355</v>
      </c>
      <c r="B221" s="5" t="s">
        <v>88</v>
      </c>
      <c r="C221" s="7" t="n">
        <v>45694</v>
      </c>
      <c r="D221" s="8" t="str">
        <f aca="false">INDEX(Dim_Supplier!$C$2:$C$21,MATCH(B221,Dim_Supplier!$A$2:$A$21,0))</f>
        <v>Logistics</v>
      </c>
      <c r="E221" s="8" t="str">
        <f aca="false">INDEX(Dim_Supplier!$B$2:$B$21,MATCH(B221,Dim_Supplier!$A$2:$A$21,0))</f>
        <v>Summit Last-Mile Delivery</v>
      </c>
      <c r="F221" s="5" t="s">
        <v>185</v>
      </c>
      <c r="G221" s="5" t="s">
        <v>112</v>
      </c>
      <c r="H221" s="8" t="n">
        <f aca="false">INDEX(Lookup_Tables!$B$2:$B$5,MATCH(D221,Lookup_Tables!$A$2:$A$5,0))</f>
        <v>5</v>
      </c>
      <c r="I221" s="9" t="n">
        <f aca="false">C221+H221</f>
        <v>45699</v>
      </c>
      <c r="J221" s="5" t="n">
        <v>-1</v>
      </c>
      <c r="K221" s="9" t="n">
        <f aca="false">I221+J221</f>
        <v>45698</v>
      </c>
      <c r="L221" s="5" t="n">
        <v>1</v>
      </c>
      <c r="M221" s="10" t="n">
        <f aca="false">INDEX(Dim_Supplier!$F$2:$F$21,MATCH(B221,Dim_Supplier!$A$2:$A$21,0))</f>
        <v>95</v>
      </c>
      <c r="N221" s="11" t="n">
        <v>0.0259</v>
      </c>
      <c r="O221" s="10" t="n">
        <f aca="false">M221*(1+N221)</f>
        <v>97.4605</v>
      </c>
      <c r="P221" s="10" t="n">
        <f aca="false">O221*L221</f>
        <v>97.4605</v>
      </c>
      <c r="Q221" s="5" t="s">
        <v>113</v>
      </c>
      <c r="R221" s="5" t="n">
        <v>0</v>
      </c>
      <c r="S221" s="5" t="n">
        <v>30</v>
      </c>
      <c r="T221" s="12" t="n">
        <f aca="false">(O221-M221)/M221</f>
        <v>0.0259</v>
      </c>
      <c r="U221" s="8" t="n">
        <f aca="false">IF(AND(K221&lt;=I221,R221=0),1,0)</f>
        <v>1</v>
      </c>
      <c r="V221" s="10" t="n">
        <f aca="false">IF(Q221="No",P221,0)</f>
        <v>0</v>
      </c>
    </row>
    <row r="222" customFormat="false" ht="15" hidden="false" customHeight="false" outlineLevel="0" collapsed="false">
      <c r="A222" s="5" t="s">
        <v>356</v>
      </c>
      <c r="B222" s="5" t="s">
        <v>77</v>
      </c>
      <c r="C222" s="7" t="n">
        <v>45726</v>
      </c>
      <c r="D222" s="8" t="str">
        <f aca="false">INDEX(Dim_Supplier!$C$2:$C$21,MATCH(B222,Dim_Supplier!$A$2:$A$21,0))</f>
        <v>MRO</v>
      </c>
      <c r="E222" s="8" t="str">
        <f aca="false">INDEX(Dim_Supplier!$B$2:$B$21,MATCH(B222,Dim_Supplier!$A$2:$A$21,0))</f>
        <v>Apex Industrial Supply</v>
      </c>
      <c r="F222" s="5" t="s">
        <v>132</v>
      </c>
      <c r="G222" s="5" t="s">
        <v>125</v>
      </c>
      <c r="H222" s="8" t="n">
        <f aca="false">INDEX(Lookup_Tables!$B$2:$B$5,MATCH(D222,Lookup_Tables!$A$2:$A$5,0))</f>
        <v>10</v>
      </c>
      <c r="I222" s="9" t="n">
        <f aca="false">C222+H222</f>
        <v>45736</v>
      </c>
      <c r="J222" s="5" t="n">
        <v>0</v>
      </c>
      <c r="K222" s="9" t="n">
        <f aca="false">I222+J222</f>
        <v>45736</v>
      </c>
      <c r="L222" s="5" t="n">
        <v>93</v>
      </c>
      <c r="M222" s="10" t="n">
        <f aca="false">INDEX(Dim_Supplier!$F$2:$F$21,MATCH(B222,Dim_Supplier!$A$2:$A$21,0))</f>
        <v>24.6</v>
      </c>
      <c r="N222" s="11" t="n">
        <v>0.0365</v>
      </c>
      <c r="O222" s="10" t="n">
        <f aca="false">M222*(1+N222)</f>
        <v>25.4979</v>
      </c>
      <c r="P222" s="10" t="n">
        <f aca="false">O222*L222</f>
        <v>2371.3047</v>
      </c>
      <c r="Q222" s="5" t="s">
        <v>113</v>
      </c>
      <c r="R222" s="5" t="n">
        <v>0</v>
      </c>
      <c r="S222" s="5" t="n">
        <v>60</v>
      </c>
      <c r="T222" s="12" t="n">
        <f aca="false">(O222-M222)/M222</f>
        <v>0.0365</v>
      </c>
      <c r="U222" s="8" t="n">
        <f aca="false">IF(AND(K222&lt;=I222,R222=0),1,0)</f>
        <v>1</v>
      </c>
      <c r="V222" s="10" t="n">
        <f aca="false">IF(Q222="No",P222,0)</f>
        <v>0</v>
      </c>
    </row>
    <row r="223" customFormat="false" ht="15" hidden="false" customHeight="false" outlineLevel="0" collapsed="false">
      <c r="A223" s="5" t="s">
        <v>357</v>
      </c>
      <c r="B223" s="5" t="s">
        <v>79</v>
      </c>
      <c r="C223" s="7" t="n">
        <v>45324</v>
      </c>
      <c r="D223" s="8" t="str">
        <f aca="false">INDEX(Dim_Supplier!$C$2:$C$21,MATCH(B223,Dim_Supplier!$A$2:$A$21,0))</f>
        <v>Logistics</v>
      </c>
      <c r="E223" s="8" t="str">
        <f aca="false">INDEX(Dim_Supplier!$B$2:$B$21,MATCH(B223,Dim_Supplier!$A$2:$A$21,0))</f>
        <v>Niagara Freight Solutions</v>
      </c>
      <c r="F223" s="5" t="s">
        <v>237</v>
      </c>
      <c r="G223" s="5" t="s">
        <v>129</v>
      </c>
      <c r="H223" s="8" t="n">
        <f aca="false">INDEX(Lookup_Tables!$B$2:$B$5,MATCH(D223,Lookup_Tables!$A$2:$A$5,0))</f>
        <v>5</v>
      </c>
      <c r="I223" s="9" t="n">
        <f aca="false">C223+H223</f>
        <v>45329</v>
      </c>
      <c r="J223" s="5" t="n">
        <v>-2</v>
      </c>
      <c r="K223" s="9" t="n">
        <f aca="false">I223+J223</f>
        <v>45327</v>
      </c>
      <c r="L223" s="5" t="n">
        <v>39</v>
      </c>
      <c r="M223" s="10" t="n">
        <f aca="false">INDEX(Dim_Supplier!$F$2:$F$21,MATCH(B223,Dim_Supplier!$A$2:$A$21,0))</f>
        <v>340</v>
      </c>
      <c r="N223" s="11" t="n">
        <v>0.0175</v>
      </c>
      <c r="O223" s="10" t="n">
        <f aca="false">M223*(1+N223)</f>
        <v>345.95</v>
      </c>
      <c r="P223" s="10" t="n">
        <f aca="false">O223*L223</f>
        <v>13492.05</v>
      </c>
      <c r="Q223" s="5" t="s">
        <v>113</v>
      </c>
      <c r="R223" s="5" t="n">
        <v>0</v>
      </c>
      <c r="S223" s="5" t="n">
        <v>45</v>
      </c>
      <c r="T223" s="12" t="n">
        <f aca="false">(O223-M223)/M223</f>
        <v>0.0175000000000001</v>
      </c>
      <c r="U223" s="8" t="n">
        <f aca="false">IF(AND(K223&lt;=I223,R223=0),1,0)</f>
        <v>1</v>
      </c>
      <c r="V223" s="10" t="n">
        <f aca="false">IF(Q223="No",P223,0)</f>
        <v>0</v>
      </c>
    </row>
    <row r="224" customFormat="false" ht="15" hidden="false" customHeight="false" outlineLevel="0" collapsed="false">
      <c r="A224" s="5" t="s">
        <v>358</v>
      </c>
      <c r="B224" s="5" t="s">
        <v>41</v>
      </c>
      <c r="C224" s="7" t="n">
        <v>46050</v>
      </c>
      <c r="D224" s="8" t="str">
        <f aca="false">INDEX(Dim_Supplier!$C$2:$C$21,MATCH(B224,Dim_Supplier!$A$2:$A$21,0))</f>
        <v>Raw Materials</v>
      </c>
      <c r="E224" s="8" t="str">
        <f aca="false">INDEX(Dim_Supplier!$B$2:$B$21,MATCH(B224,Dim_Supplier!$A$2:$A$21,0))</f>
        <v>Ontario Steel Partners</v>
      </c>
      <c r="F224" s="5" t="s">
        <v>148</v>
      </c>
      <c r="G224" s="5" t="s">
        <v>125</v>
      </c>
      <c r="H224" s="8" t="n">
        <f aca="false">INDEX(Lookup_Tables!$B$2:$B$5,MATCH(D224,Lookup_Tables!$A$2:$A$5,0))</f>
        <v>21</v>
      </c>
      <c r="I224" s="9" t="n">
        <f aca="false">C224+H224</f>
        <v>46071</v>
      </c>
      <c r="J224" s="5" t="n">
        <v>-4</v>
      </c>
      <c r="K224" s="9" t="n">
        <f aca="false">I224+J224</f>
        <v>46067</v>
      </c>
      <c r="L224" s="5" t="n">
        <v>1644</v>
      </c>
      <c r="M224" s="10" t="n">
        <f aca="false">INDEX(Dim_Supplier!$F$2:$F$21,MATCH(B224,Dim_Supplier!$A$2:$A$21,0))</f>
        <v>58</v>
      </c>
      <c r="N224" s="11" t="n">
        <v>0.0193</v>
      </c>
      <c r="O224" s="10" t="n">
        <f aca="false">M224*(1+N224)</f>
        <v>59.1194</v>
      </c>
      <c r="P224" s="10" t="n">
        <f aca="false">O224*L224</f>
        <v>97192.2936</v>
      </c>
      <c r="Q224" s="5" t="s">
        <v>113</v>
      </c>
      <c r="R224" s="5" t="n">
        <v>0</v>
      </c>
      <c r="S224" s="5" t="n">
        <v>45</v>
      </c>
      <c r="T224" s="12" t="n">
        <f aca="false">(O224-M224)/M224</f>
        <v>0.0193000000000001</v>
      </c>
      <c r="U224" s="8" t="n">
        <f aca="false">IF(AND(K224&lt;=I224,R224=0),1,0)</f>
        <v>1</v>
      </c>
      <c r="V224" s="10" t="n">
        <f aca="false">IF(Q224="No",P224,0)</f>
        <v>0</v>
      </c>
    </row>
    <row r="225" customFormat="false" ht="15" hidden="false" customHeight="false" outlineLevel="0" collapsed="false">
      <c r="A225" s="5" t="s">
        <v>359</v>
      </c>
      <c r="B225" s="5" t="s">
        <v>54</v>
      </c>
      <c r="C225" s="7" t="n">
        <v>46127</v>
      </c>
      <c r="D225" s="8" t="str">
        <f aca="false">INDEX(Dim_Supplier!$C$2:$C$21,MATCH(B225,Dim_Supplier!$A$2:$A$21,0))</f>
        <v>Raw Materials</v>
      </c>
      <c r="E225" s="8" t="str">
        <f aca="false">INDEX(Dim_Supplier!$B$2:$B$21,MATCH(B225,Dim_Supplier!$A$2:$A$21,0))</f>
        <v>Northern Resin Solutions</v>
      </c>
      <c r="F225" s="5" t="s">
        <v>144</v>
      </c>
      <c r="G225" s="5" t="s">
        <v>120</v>
      </c>
      <c r="H225" s="8" t="n">
        <f aca="false">INDEX(Lookup_Tables!$B$2:$B$5,MATCH(D225,Lookup_Tables!$A$2:$A$5,0))</f>
        <v>21</v>
      </c>
      <c r="I225" s="9" t="n">
        <f aca="false">C225+H225</f>
        <v>46148</v>
      </c>
      <c r="J225" s="5" t="n">
        <v>-4</v>
      </c>
      <c r="K225" s="9" t="n">
        <f aca="false">I225+J225</f>
        <v>46144</v>
      </c>
      <c r="L225" s="5" t="n">
        <v>1776</v>
      </c>
      <c r="M225" s="10" t="n">
        <f aca="false">INDEX(Dim_Supplier!$F$2:$F$21,MATCH(B225,Dim_Supplier!$A$2:$A$21,0))</f>
        <v>38.9</v>
      </c>
      <c r="N225" s="11" t="n">
        <v>0.0339</v>
      </c>
      <c r="O225" s="10" t="n">
        <f aca="false">M225*(1+N225)</f>
        <v>40.21871</v>
      </c>
      <c r="P225" s="10" t="n">
        <f aca="false">O225*L225</f>
        <v>71428.42896</v>
      </c>
      <c r="Q225" s="5" t="s">
        <v>113</v>
      </c>
      <c r="R225" s="5" t="n">
        <v>0</v>
      </c>
      <c r="S225" s="5" t="n">
        <v>30</v>
      </c>
      <c r="T225" s="12" t="n">
        <f aca="false">(O225-M225)/M225</f>
        <v>0.0339000000000001</v>
      </c>
      <c r="U225" s="8" t="n">
        <f aca="false">IF(AND(K225&lt;=I225,R225=0),1,0)</f>
        <v>1</v>
      </c>
      <c r="V225" s="10" t="n">
        <f aca="false">IF(Q225="No",P225,0)</f>
        <v>0</v>
      </c>
    </row>
    <row r="226" customFormat="false" ht="15" hidden="false" customHeight="false" outlineLevel="0" collapsed="false">
      <c r="A226" s="5" t="s">
        <v>360</v>
      </c>
      <c r="B226" s="5" t="s">
        <v>75</v>
      </c>
      <c r="C226" s="7" t="n">
        <v>45518</v>
      </c>
      <c r="D226" s="8" t="str">
        <f aca="false">INDEX(Dim_Supplier!$C$2:$C$21,MATCH(B226,Dim_Supplier!$A$2:$A$21,0))</f>
        <v>MRO</v>
      </c>
      <c r="E226" s="8" t="str">
        <f aca="false">INDEX(Dim_Supplier!$B$2:$B$21,MATCH(B226,Dim_Supplier!$A$2:$A$21,0))</f>
        <v>Sterling Lubricants Inc.</v>
      </c>
      <c r="F226" s="5" t="s">
        <v>179</v>
      </c>
      <c r="G226" s="5" t="s">
        <v>120</v>
      </c>
      <c r="H226" s="8" t="n">
        <f aca="false">INDEX(Lookup_Tables!$B$2:$B$5,MATCH(D226,Lookup_Tables!$A$2:$A$5,0))</f>
        <v>10</v>
      </c>
      <c r="I226" s="9" t="n">
        <f aca="false">C226+H226</f>
        <v>45528</v>
      </c>
      <c r="J226" s="5" t="n">
        <v>-3</v>
      </c>
      <c r="K226" s="9" t="n">
        <f aca="false">I226+J226</f>
        <v>45525</v>
      </c>
      <c r="L226" s="5" t="n">
        <v>156</v>
      </c>
      <c r="M226" s="10" t="n">
        <f aca="false">INDEX(Dim_Supplier!$F$2:$F$21,MATCH(B226,Dim_Supplier!$A$2:$A$21,0))</f>
        <v>27.1</v>
      </c>
      <c r="N226" s="11" t="n">
        <v>0.0452</v>
      </c>
      <c r="O226" s="10" t="n">
        <f aca="false">M226*(1+N226)</f>
        <v>28.32492</v>
      </c>
      <c r="P226" s="10" t="n">
        <f aca="false">O226*L226</f>
        <v>4418.68752</v>
      </c>
      <c r="Q226" s="5" t="s">
        <v>113</v>
      </c>
      <c r="R226" s="5" t="n">
        <v>0</v>
      </c>
      <c r="S226" s="5" t="n">
        <v>45</v>
      </c>
      <c r="T226" s="12" t="n">
        <f aca="false">(O226-M226)/M226</f>
        <v>0.0451999999999999</v>
      </c>
      <c r="U226" s="8" t="n">
        <f aca="false">IF(AND(K226&lt;=I226,R226=0),1,0)</f>
        <v>1</v>
      </c>
      <c r="V226" s="10" t="n">
        <f aca="false">IF(Q226="No",P226,0)</f>
        <v>0</v>
      </c>
    </row>
    <row r="227" customFormat="false" ht="15" hidden="false" customHeight="false" outlineLevel="0" collapsed="false">
      <c r="A227" s="5" t="s">
        <v>361</v>
      </c>
      <c r="B227" s="5" t="s">
        <v>62</v>
      </c>
      <c r="C227" s="7" t="n">
        <v>45799</v>
      </c>
      <c r="D227" s="8" t="str">
        <f aca="false">INDEX(Dim_Supplier!$C$2:$C$21,MATCH(B227,Dim_Supplier!$A$2:$A$21,0))</f>
        <v>Packaging</v>
      </c>
      <c r="E227" s="8" t="str">
        <f aca="false">INDEX(Dim_Supplier!$B$2:$B$21,MATCH(B227,Dim_Supplier!$A$2:$A$21,0))</f>
        <v>Trillium Packaging Solutions</v>
      </c>
      <c r="F227" s="5" t="s">
        <v>117</v>
      </c>
      <c r="G227" s="5" t="s">
        <v>120</v>
      </c>
      <c r="H227" s="8" t="n">
        <f aca="false">INDEX(Lookup_Tables!$B$2:$B$5,MATCH(D227,Lookup_Tables!$A$2:$A$5,0))</f>
        <v>14</v>
      </c>
      <c r="I227" s="9" t="n">
        <f aca="false">C227+H227</f>
        <v>45813</v>
      </c>
      <c r="J227" s="5" t="n">
        <v>0</v>
      </c>
      <c r="K227" s="9" t="n">
        <f aca="false">I227+J227</f>
        <v>45813</v>
      </c>
      <c r="L227" s="5" t="n">
        <v>4796</v>
      </c>
      <c r="M227" s="10" t="n">
        <f aca="false">INDEX(Dim_Supplier!$F$2:$F$21,MATCH(B227,Dim_Supplier!$A$2:$A$21,0))</f>
        <v>5.6</v>
      </c>
      <c r="N227" s="11" t="n">
        <v>0.0093</v>
      </c>
      <c r="O227" s="10" t="n">
        <f aca="false">M227*(1+N227)</f>
        <v>5.65208</v>
      </c>
      <c r="P227" s="10" t="n">
        <f aca="false">O227*L227</f>
        <v>27107.37568</v>
      </c>
      <c r="Q227" s="5" t="s">
        <v>113</v>
      </c>
      <c r="R227" s="5" t="n">
        <v>0</v>
      </c>
      <c r="S227" s="5" t="n">
        <v>30</v>
      </c>
      <c r="T227" s="12" t="n">
        <f aca="false">(O227-M227)/M227</f>
        <v>0.00930000000000002</v>
      </c>
      <c r="U227" s="8" t="n">
        <f aca="false">IF(AND(K227&lt;=I227,R227=0),1,0)</f>
        <v>1</v>
      </c>
      <c r="V227" s="10" t="n">
        <f aca="false">IF(Q227="No",P227,0)</f>
        <v>0</v>
      </c>
    </row>
    <row r="228" customFormat="false" ht="15" hidden="false" customHeight="false" outlineLevel="0" collapsed="false">
      <c r="A228" s="5" t="s">
        <v>362</v>
      </c>
      <c r="B228" s="5" t="s">
        <v>60</v>
      </c>
      <c r="C228" s="7" t="n">
        <v>46064</v>
      </c>
      <c r="D228" s="8" t="str">
        <f aca="false">INDEX(Dim_Supplier!$C$2:$C$21,MATCH(B228,Dim_Supplier!$A$2:$A$21,0))</f>
        <v>Packaging</v>
      </c>
      <c r="E228" s="8" t="str">
        <f aca="false">INDEX(Dim_Supplier!$B$2:$B$21,MATCH(B228,Dim_Supplier!$A$2:$A$21,0))</f>
        <v>Maple Leaf Box &amp; Crate</v>
      </c>
      <c r="F228" s="5" t="s">
        <v>122</v>
      </c>
      <c r="G228" s="5" t="s">
        <v>125</v>
      </c>
      <c r="H228" s="8" t="n">
        <f aca="false">INDEX(Lookup_Tables!$B$2:$B$5,MATCH(D228,Lookup_Tables!$A$2:$A$5,0))</f>
        <v>14</v>
      </c>
      <c r="I228" s="9" t="n">
        <f aca="false">C228+H228</f>
        <v>46078</v>
      </c>
      <c r="J228" s="5" t="n">
        <v>-1</v>
      </c>
      <c r="K228" s="9" t="n">
        <f aca="false">I228+J228</f>
        <v>46077</v>
      </c>
      <c r="L228" s="5" t="n">
        <v>1682</v>
      </c>
      <c r="M228" s="10" t="n">
        <f aca="false">INDEX(Dim_Supplier!$F$2:$F$21,MATCH(B228,Dim_Supplier!$A$2:$A$21,0))</f>
        <v>3.1</v>
      </c>
      <c r="N228" s="11" t="n">
        <v>0.0543</v>
      </c>
      <c r="O228" s="10" t="n">
        <f aca="false">M228*(1+N228)</f>
        <v>3.26833</v>
      </c>
      <c r="P228" s="10" t="n">
        <f aca="false">O228*L228</f>
        <v>5497.33106</v>
      </c>
      <c r="Q228" s="5" t="s">
        <v>113</v>
      </c>
      <c r="R228" s="5" t="n">
        <v>0</v>
      </c>
      <c r="S228" s="5" t="n">
        <v>45</v>
      </c>
      <c r="T228" s="12" t="n">
        <f aca="false">(O228-M228)/M228</f>
        <v>0.0543</v>
      </c>
      <c r="U228" s="8" t="n">
        <f aca="false">IF(AND(K228&lt;=I228,R228=0),1,0)</f>
        <v>1</v>
      </c>
      <c r="V228" s="10" t="n">
        <f aca="false">IF(Q228="No",P228,0)</f>
        <v>0</v>
      </c>
    </row>
    <row r="229" customFormat="false" ht="15" hidden="false" customHeight="false" outlineLevel="0" collapsed="false">
      <c r="A229" s="5" t="s">
        <v>363</v>
      </c>
      <c r="B229" s="5" t="s">
        <v>88</v>
      </c>
      <c r="C229" s="7" t="n">
        <v>45862</v>
      </c>
      <c r="D229" s="8" t="str">
        <f aca="false">INDEX(Dim_Supplier!$C$2:$C$21,MATCH(B229,Dim_Supplier!$A$2:$A$21,0))</f>
        <v>Logistics</v>
      </c>
      <c r="E229" s="8" t="str">
        <f aca="false">INDEX(Dim_Supplier!$B$2:$B$21,MATCH(B229,Dim_Supplier!$A$2:$A$21,0))</f>
        <v>Summit Last-Mile Delivery</v>
      </c>
      <c r="F229" s="5" t="s">
        <v>185</v>
      </c>
      <c r="G229" s="5" t="s">
        <v>112</v>
      </c>
      <c r="H229" s="8" t="n">
        <f aca="false">INDEX(Lookup_Tables!$B$2:$B$5,MATCH(D229,Lookup_Tables!$A$2:$A$5,0))</f>
        <v>5</v>
      </c>
      <c r="I229" s="9" t="n">
        <f aca="false">C229+H229</f>
        <v>45867</v>
      </c>
      <c r="J229" s="5" t="n">
        <v>-2</v>
      </c>
      <c r="K229" s="9" t="n">
        <f aca="false">I229+J229</f>
        <v>45865</v>
      </c>
      <c r="L229" s="5" t="n">
        <v>22</v>
      </c>
      <c r="M229" s="10" t="n">
        <f aca="false">INDEX(Dim_Supplier!$F$2:$F$21,MATCH(B229,Dim_Supplier!$A$2:$A$21,0))</f>
        <v>95</v>
      </c>
      <c r="N229" s="11" t="n">
        <v>0.0499</v>
      </c>
      <c r="O229" s="10" t="n">
        <f aca="false">M229*(1+N229)</f>
        <v>99.7405</v>
      </c>
      <c r="P229" s="10" t="n">
        <f aca="false">O229*L229</f>
        <v>2194.291</v>
      </c>
      <c r="Q229" s="5" t="s">
        <v>113</v>
      </c>
      <c r="R229" s="5" t="n">
        <v>0</v>
      </c>
      <c r="S229" s="5" t="n">
        <v>60</v>
      </c>
      <c r="T229" s="12" t="n">
        <f aca="false">(O229-M229)/M229</f>
        <v>0.0499000000000001</v>
      </c>
      <c r="U229" s="8" t="n">
        <f aca="false">IF(AND(K229&lt;=I229,R229=0),1,0)</f>
        <v>1</v>
      </c>
      <c r="V229" s="10" t="n">
        <f aca="false">IF(Q229="No",P229,0)</f>
        <v>0</v>
      </c>
    </row>
    <row r="230" customFormat="false" ht="15" hidden="false" customHeight="false" outlineLevel="0" collapsed="false">
      <c r="A230" s="5" t="s">
        <v>364</v>
      </c>
      <c r="B230" s="5" t="s">
        <v>46</v>
      </c>
      <c r="C230" s="7" t="n">
        <v>46033</v>
      </c>
      <c r="D230" s="8" t="str">
        <f aca="false">INDEX(Dim_Supplier!$C$2:$C$21,MATCH(B230,Dim_Supplier!$A$2:$A$21,0))</f>
        <v>Raw Materials</v>
      </c>
      <c r="E230" s="8" t="str">
        <f aca="false">INDEX(Dim_Supplier!$B$2:$B$21,MATCH(B230,Dim_Supplier!$A$2:$A$21,0))</f>
        <v>Niagara Alloy Supply</v>
      </c>
      <c r="F230" s="5" t="s">
        <v>115</v>
      </c>
      <c r="G230" s="5" t="s">
        <v>129</v>
      </c>
      <c r="H230" s="8" t="n">
        <f aca="false">INDEX(Lookup_Tables!$B$2:$B$5,MATCH(D230,Lookup_Tables!$A$2:$A$5,0))</f>
        <v>21</v>
      </c>
      <c r="I230" s="9" t="n">
        <f aca="false">C230+H230</f>
        <v>46054</v>
      </c>
      <c r="J230" s="5" t="n">
        <v>-1</v>
      </c>
      <c r="K230" s="9" t="n">
        <f aca="false">I230+J230</f>
        <v>46053</v>
      </c>
      <c r="L230" s="5" t="n">
        <v>1334</v>
      </c>
      <c r="M230" s="10" t="n">
        <f aca="false">INDEX(Dim_Supplier!$F$2:$F$21,MATCH(B230,Dim_Supplier!$A$2:$A$21,0))</f>
        <v>46.5</v>
      </c>
      <c r="N230" s="11" t="n">
        <v>0.0597</v>
      </c>
      <c r="O230" s="10" t="n">
        <f aca="false">M230*(1+N230)</f>
        <v>49.27605</v>
      </c>
      <c r="P230" s="10" t="n">
        <f aca="false">O230*L230</f>
        <v>65734.2507</v>
      </c>
      <c r="Q230" s="5" t="s">
        <v>113</v>
      </c>
      <c r="R230" s="5" t="n">
        <v>0</v>
      </c>
      <c r="S230" s="5" t="n">
        <v>60</v>
      </c>
      <c r="T230" s="12" t="n">
        <f aca="false">(O230-M230)/M230</f>
        <v>0.0597000000000001</v>
      </c>
      <c r="U230" s="8" t="n">
        <f aca="false">IF(AND(K230&lt;=I230,R230=0),1,0)</f>
        <v>1</v>
      </c>
      <c r="V230" s="10" t="n">
        <f aca="false">IF(Q230="No",P230,0)</f>
        <v>0</v>
      </c>
    </row>
    <row r="231" customFormat="false" ht="15" hidden="false" customHeight="false" outlineLevel="0" collapsed="false">
      <c r="A231" s="5" t="s">
        <v>365</v>
      </c>
      <c r="B231" s="5" t="s">
        <v>68</v>
      </c>
      <c r="C231" s="7" t="n">
        <v>45979</v>
      </c>
      <c r="D231" s="8" t="str">
        <f aca="false">INDEX(Dim_Supplier!$C$2:$C$21,MATCH(B231,Dim_Supplier!$A$2:$A$21,0))</f>
        <v>MRO</v>
      </c>
      <c r="E231" s="8" t="str">
        <f aca="false">INDEX(Dim_Supplier!$B$2:$B$21,MATCH(B231,Dim_Supplier!$A$2:$A$21,0))</f>
        <v>Precision Tool &amp; Supply</v>
      </c>
      <c r="F231" s="5" t="s">
        <v>132</v>
      </c>
      <c r="G231" s="5" t="s">
        <v>112</v>
      </c>
      <c r="H231" s="8" t="n">
        <f aca="false">INDEX(Lookup_Tables!$B$2:$B$5,MATCH(D231,Lookup_Tables!$A$2:$A$5,0))</f>
        <v>10</v>
      </c>
      <c r="I231" s="9" t="n">
        <f aca="false">C231+H231</f>
        <v>45989</v>
      </c>
      <c r="J231" s="5" t="n">
        <v>-4</v>
      </c>
      <c r="K231" s="9" t="n">
        <f aca="false">I231+J231</f>
        <v>45985</v>
      </c>
      <c r="L231" s="5" t="n">
        <v>90</v>
      </c>
      <c r="M231" s="10" t="n">
        <f aca="false">INDEX(Dim_Supplier!$F$2:$F$21,MATCH(B231,Dim_Supplier!$A$2:$A$21,0))</f>
        <v>22.4</v>
      </c>
      <c r="N231" s="11" t="n">
        <v>0.0152</v>
      </c>
      <c r="O231" s="10" t="n">
        <f aca="false">M231*(1+N231)</f>
        <v>22.74048</v>
      </c>
      <c r="P231" s="10" t="n">
        <f aca="false">O231*L231</f>
        <v>2046.6432</v>
      </c>
      <c r="Q231" s="5" t="s">
        <v>113</v>
      </c>
      <c r="R231" s="5" t="n">
        <v>0</v>
      </c>
      <c r="S231" s="5" t="n">
        <v>30</v>
      </c>
      <c r="T231" s="12" t="n">
        <f aca="false">(O231-M231)/M231</f>
        <v>0.0152000000000001</v>
      </c>
      <c r="U231" s="8" t="n">
        <f aca="false">IF(AND(K231&lt;=I231,R231=0),1,0)</f>
        <v>1</v>
      </c>
      <c r="V231" s="10" t="n">
        <f aca="false">IF(Q231="No",P231,0)</f>
        <v>0</v>
      </c>
    </row>
    <row r="232" customFormat="false" ht="15" hidden="false" customHeight="false" outlineLevel="0" collapsed="false">
      <c r="A232" s="5" t="s">
        <v>366</v>
      </c>
      <c r="B232" s="5" t="s">
        <v>52</v>
      </c>
      <c r="C232" s="7" t="n">
        <v>46051</v>
      </c>
      <c r="D232" s="8" t="str">
        <f aca="false">INDEX(Dim_Supplier!$C$2:$C$21,MATCH(B232,Dim_Supplier!$A$2:$A$21,0))</f>
        <v>Raw Materials</v>
      </c>
      <c r="E232" s="8" t="str">
        <f aca="false">INDEX(Dim_Supplier!$B$2:$B$21,MATCH(B232,Dim_Supplier!$A$2:$A$21,0))</f>
        <v>Laurentian Metals Inc.</v>
      </c>
      <c r="F232" s="5" t="s">
        <v>148</v>
      </c>
      <c r="G232" s="5" t="s">
        <v>125</v>
      </c>
      <c r="H232" s="8" t="n">
        <f aca="false">INDEX(Lookup_Tables!$B$2:$B$5,MATCH(D232,Lookup_Tables!$A$2:$A$5,0))</f>
        <v>21</v>
      </c>
      <c r="I232" s="9" t="n">
        <f aca="false">C232+H232</f>
        <v>46072</v>
      </c>
      <c r="J232" s="5" t="n">
        <v>0</v>
      </c>
      <c r="K232" s="9" t="n">
        <f aca="false">I232+J232</f>
        <v>46072</v>
      </c>
      <c r="L232" s="5" t="n">
        <v>1541</v>
      </c>
      <c r="M232" s="10" t="n">
        <f aca="false">INDEX(Dim_Supplier!$F$2:$F$21,MATCH(B232,Dim_Supplier!$A$2:$A$21,0))</f>
        <v>61.2</v>
      </c>
      <c r="N232" s="11" t="n">
        <v>0.0042</v>
      </c>
      <c r="O232" s="10" t="n">
        <f aca="false">M232*(1+N232)</f>
        <v>61.45704</v>
      </c>
      <c r="P232" s="10" t="n">
        <f aca="false">O232*L232</f>
        <v>94705.29864</v>
      </c>
      <c r="Q232" s="5" t="s">
        <v>113</v>
      </c>
      <c r="R232" s="5" t="n">
        <v>0</v>
      </c>
      <c r="S232" s="5" t="n">
        <v>45</v>
      </c>
      <c r="T232" s="12" t="n">
        <f aca="false">(O232-M232)/M232</f>
        <v>0.00419999999999994</v>
      </c>
      <c r="U232" s="8" t="n">
        <f aca="false">IF(AND(K232&lt;=I232,R232=0),1,0)</f>
        <v>1</v>
      </c>
      <c r="V232" s="10" t="n">
        <f aca="false">IF(Q232="No",P232,0)</f>
        <v>0</v>
      </c>
    </row>
    <row r="233" customFormat="false" ht="15" hidden="false" customHeight="false" outlineLevel="0" collapsed="false">
      <c r="A233" s="5" t="s">
        <v>367</v>
      </c>
      <c r="B233" s="5" t="s">
        <v>79</v>
      </c>
      <c r="C233" s="7" t="n">
        <v>45681</v>
      </c>
      <c r="D233" s="8" t="str">
        <f aca="false">INDEX(Dim_Supplier!$C$2:$C$21,MATCH(B233,Dim_Supplier!$A$2:$A$21,0))</f>
        <v>Logistics</v>
      </c>
      <c r="E233" s="8" t="str">
        <f aca="false">INDEX(Dim_Supplier!$B$2:$B$21,MATCH(B233,Dim_Supplier!$A$2:$A$21,0))</f>
        <v>Niagara Freight Solutions</v>
      </c>
      <c r="F233" s="5" t="s">
        <v>237</v>
      </c>
      <c r="G233" s="5" t="s">
        <v>120</v>
      </c>
      <c r="H233" s="8" t="n">
        <f aca="false">INDEX(Lookup_Tables!$B$2:$B$5,MATCH(D233,Lookup_Tables!$A$2:$A$5,0))</f>
        <v>5</v>
      </c>
      <c r="I233" s="9" t="n">
        <f aca="false">C233+H233</f>
        <v>45686</v>
      </c>
      <c r="J233" s="5" t="n">
        <v>-3</v>
      </c>
      <c r="K233" s="9" t="n">
        <f aca="false">I233+J233</f>
        <v>45683</v>
      </c>
      <c r="L233" s="5" t="n">
        <v>32</v>
      </c>
      <c r="M233" s="10" t="n">
        <f aca="false">INDEX(Dim_Supplier!$F$2:$F$21,MATCH(B233,Dim_Supplier!$A$2:$A$21,0))</f>
        <v>340</v>
      </c>
      <c r="N233" s="11" t="n">
        <v>0.0276</v>
      </c>
      <c r="O233" s="10" t="n">
        <f aca="false">M233*(1+N233)</f>
        <v>349.384</v>
      </c>
      <c r="P233" s="10" t="n">
        <f aca="false">O233*L233</f>
        <v>11180.288</v>
      </c>
      <c r="Q233" s="5" t="s">
        <v>113</v>
      </c>
      <c r="R233" s="5" t="n">
        <v>0</v>
      </c>
      <c r="S233" s="5" t="n">
        <v>45</v>
      </c>
      <c r="T233" s="12" t="n">
        <f aca="false">(O233-M233)/M233</f>
        <v>0.0276</v>
      </c>
      <c r="U233" s="8" t="n">
        <f aca="false">IF(AND(K233&lt;=I233,R233=0),1,0)</f>
        <v>1</v>
      </c>
      <c r="V233" s="10" t="n">
        <f aca="false">IF(Q233="No",P233,0)</f>
        <v>0</v>
      </c>
    </row>
    <row r="234" customFormat="false" ht="15" hidden="false" customHeight="false" outlineLevel="0" collapsed="false">
      <c r="A234" s="5" t="s">
        <v>368</v>
      </c>
      <c r="B234" s="5" t="s">
        <v>79</v>
      </c>
      <c r="C234" s="7" t="n">
        <v>45619</v>
      </c>
      <c r="D234" s="8" t="str">
        <f aca="false">INDEX(Dim_Supplier!$C$2:$C$21,MATCH(B234,Dim_Supplier!$A$2:$A$21,0))</f>
        <v>Logistics</v>
      </c>
      <c r="E234" s="8" t="str">
        <f aca="false">INDEX(Dim_Supplier!$B$2:$B$21,MATCH(B234,Dim_Supplier!$A$2:$A$21,0))</f>
        <v>Niagara Freight Solutions</v>
      </c>
      <c r="F234" s="5" t="s">
        <v>154</v>
      </c>
      <c r="G234" s="5" t="s">
        <v>120</v>
      </c>
      <c r="H234" s="8" t="n">
        <f aca="false">INDEX(Lookup_Tables!$B$2:$B$5,MATCH(D234,Lookup_Tables!$A$2:$A$5,0))</f>
        <v>5</v>
      </c>
      <c r="I234" s="9" t="n">
        <f aca="false">C234+H234</f>
        <v>45624</v>
      </c>
      <c r="J234" s="5" t="n">
        <v>-2</v>
      </c>
      <c r="K234" s="9" t="n">
        <f aca="false">I234+J234</f>
        <v>45622</v>
      </c>
      <c r="L234" s="5" t="n">
        <v>15</v>
      </c>
      <c r="M234" s="10" t="n">
        <f aca="false">INDEX(Dim_Supplier!$F$2:$F$21,MATCH(B234,Dim_Supplier!$A$2:$A$21,0))</f>
        <v>340</v>
      </c>
      <c r="N234" s="11" t="n">
        <v>0.0156</v>
      </c>
      <c r="O234" s="10" t="n">
        <f aca="false">M234*(1+N234)</f>
        <v>345.304</v>
      </c>
      <c r="P234" s="10" t="n">
        <f aca="false">O234*L234</f>
        <v>5179.56</v>
      </c>
      <c r="Q234" s="5" t="s">
        <v>113</v>
      </c>
      <c r="R234" s="5" t="n">
        <v>0</v>
      </c>
      <c r="S234" s="5" t="n">
        <v>45</v>
      </c>
      <c r="T234" s="12" t="n">
        <f aca="false">(O234-M234)/M234</f>
        <v>0.0156000000000001</v>
      </c>
      <c r="U234" s="8" t="n">
        <f aca="false">IF(AND(K234&lt;=I234,R234=0),1,0)</f>
        <v>1</v>
      </c>
      <c r="V234" s="10" t="n">
        <f aca="false">IF(Q234="No",P234,0)</f>
        <v>0</v>
      </c>
    </row>
    <row r="235" customFormat="false" ht="15" hidden="false" customHeight="false" outlineLevel="0" collapsed="false">
      <c r="A235" s="5" t="s">
        <v>369</v>
      </c>
      <c r="B235" s="5" t="s">
        <v>68</v>
      </c>
      <c r="C235" s="7" t="n">
        <v>46029</v>
      </c>
      <c r="D235" s="8" t="str">
        <f aca="false">INDEX(Dim_Supplier!$C$2:$C$21,MATCH(B235,Dim_Supplier!$A$2:$A$21,0))</f>
        <v>MRO</v>
      </c>
      <c r="E235" s="8" t="str">
        <f aca="false">INDEX(Dim_Supplier!$B$2:$B$21,MATCH(B235,Dim_Supplier!$A$2:$A$21,0))</f>
        <v>Precision Tool &amp; Supply</v>
      </c>
      <c r="F235" s="5" t="s">
        <v>179</v>
      </c>
      <c r="G235" s="5" t="s">
        <v>120</v>
      </c>
      <c r="H235" s="8" t="n">
        <f aca="false">INDEX(Lookup_Tables!$B$2:$B$5,MATCH(D235,Lookup_Tables!$A$2:$A$5,0))</f>
        <v>10</v>
      </c>
      <c r="I235" s="9" t="n">
        <f aca="false">C235+H235</f>
        <v>46039</v>
      </c>
      <c r="J235" s="5" t="n">
        <v>-2</v>
      </c>
      <c r="K235" s="9" t="n">
        <f aca="false">I235+J235</f>
        <v>46037</v>
      </c>
      <c r="L235" s="5" t="n">
        <v>102</v>
      </c>
      <c r="M235" s="10" t="n">
        <f aca="false">INDEX(Dim_Supplier!$F$2:$F$21,MATCH(B235,Dim_Supplier!$A$2:$A$21,0))</f>
        <v>22.4</v>
      </c>
      <c r="N235" s="11" t="n">
        <v>0.0246</v>
      </c>
      <c r="O235" s="10" t="n">
        <f aca="false">M235*(1+N235)</f>
        <v>22.95104</v>
      </c>
      <c r="P235" s="10" t="n">
        <f aca="false">O235*L235</f>
        <v>2341.00608</v>
      </c>
      <c r="Q235" s="5" t="s">
        <v>113</v>
      </c>
      <c r="R235" s="5" t="n">
        <v>0</v>
      </c>
      <c r="S235" s="5" t="n">
        <v>45</v>
      </c>
      <c r="T235" s="12" t="n">
        <f aca="false">(O235-M235)/M235</f>
        <v>0.0246</v>
      </c>
      <c r="U235" s="8" t="n">
        <f aca="false">IF(AND(K235&lt;=I235,R235=0),1,0)</f>
        <v>1</v>
      </c>
      <c r="V235" s="10" t="n">
        <f aca="false">IF(Q235="No",P235,0)</f>
        <v>0</v>
      </c>
    </row>
    <row r="236" customFormat="false" ht="15" hidden="false" customHeight="false" outlineLevel="0" collapsed="false">
      <c r="A236" s="5" t="s">
        <v>370</v>
      </c>
      <c r="B236" s="5" t="s">
        <v>86</v>
      </c>
      <c r="C236" s="7" t="n">
        <v>45637</v>
      </c>
      <c r="D236" s="8" t="str">
        <f aca="false">INDEX(Dim_Supplier!$C$2:$C$21,MATCH(B236,Dim_Supplier!$A$2:$A$21,0))</f>
        <v>Logistics</v>
      </c>
      <c r="E236" s="8" t="str">
        <f aca="false">INDEX(Dim_Supplier!$B$2:$B$21,MATCH(B236,Dim_Supplier!$A$2:$A$21,0))</f>
        <v>Blue Water Customs Brokerage</v>
      </c>
      <c r="F236" s="5" t="s">
        <v>146</v>
      </c>
      <c r="G236" s="5" t="s">
        <v>125</v>
      </c>
      <c r="H236" s="8" t="n">
        <f aca="false">INDEX(Lookup_Tables!$B$2:$B$5,MATCH(D236,Lookup_Tables!$A$2:$A$5,0))</f>
        <v>5</v>
      </c>
      <c r="I236" s="9" t="n">
        <f aca="false">C236+H236</f>
        <v>45642</v>
      </c>
      <c r="J236" s="5" t="n">
        <v>1</v>
      </c>
      <c r="K236" s="9" t="n">
        <f aca="false">I236+J236</f>
        <v>45643</v>
      </c>
      <c r="L236" s="5" t="n">
        <v>32</v>
      </c>
      <c r="M236" s="10" t="n">
        <f aca="false">INDEX(Dim_Supplier!$F$2:$F$21,MATCH(B236,Dim_Supplier!$A$2:$A$21,0))</f>
        <v>175</v>
      </c>
      <c r="N236" s="11" t="n">
        <v>0.004</v>
      </c>
      <c r="O236" s="10" t="n">
        <f aca="false">M236*(1+N236)</f>
        <v>175.7</v>
      </c>
      <c r="P236" s="10" t="n">
        <f aca="false">O236*L236</f>
        <v>5622.4</v>
      </c>
      <c r="Q236" s="5" t="s">
        <v>113</v>
      </c>
      <c r="R236" s="5" t="n">
        <v>0</v>
      </c>
      <c r="S236" s="5" t="n">
        <v>30</v>
      </c>
      <c r="T236" s="12" t="n">
        <f aca="false">(O236-M236)/M236</f>
        <v>0.00399999999999994</v>
      </c>
      <c r="U236" s="8" t="n">
        <f aca="false">IF(AND(K236&lt;=I236,R236=0),1,0)</f>
        <v>0</v>
      </c>
      <c r="V236" s="10" t="n">
        <f aca="false">IF(Q236="No",P236,0)</f>
        <v>0</v>
      </c>
    </row>
    <row r="237" customFormat="false" ht="15" hidden="false" customHeight="false" outlineLevel="0" collapsed="false">
      <c r="A237" s="5" t="s">
        <v>371</v>
      </c>
      <c r="B237" s="5" t="s">
        <v>46</v>
      </c>
      <c r="C237" s="7" t="n">
        <v>45851</v>
      </c>
      <c r="D237" s="8" t="str">
        <f aca="false">INDEX(Dim_Supplier!$C$2:$C$21,MATCH(B237,Dim_Supplier!$A$2:$A$21,0))</f>
        <v>Raw Materials</v>
      </c>
      <c r="E237" s="8" t="str">
        <f aca="false">INDEX(Dim_Supplier!$B$2:$B$21,MATCH(B237,Dim_Supplier!$A$2:$A$21,0))</f>
        <v>Niagara Alloy Supply</v>
      </c>
      <c r="F237" s="5" t="s">
        <v>142</v>
      </c>
      <c r="G237" s="5" t="s">
        <v>112</v>
      </c>
      <c r="H237" s="8" t="n">
        <f aca="false">INDEX(Lookup_Tables!$B$2:$B$5,MATCH(D237,Lookup_Tables!$A$2:$A$5,0))</f>
        <v>21</v>
      </c>
      <c r="I237" s="9" t="n">
        <f aca="false">C237+H237</f>
        <v>45872</v>
      </c>
      <c r="J237" s="5" t="n">
        <v>1</v>
      </c>
      <c r="K237" s="9" t="n">
        <f aca="false">I237+J237</f>
        <v>45873</v>
      </c>
      <c r="L237" s="5" t="n">
        <v>1414</v>
      </c>
      <c r="M237" s="10" t="n">
        <f aca="false">INDEX(Dim_Supplier!$F$2:$F$21,MATCH(B237,Dim_Supplier!$A$2:$A$21,0))</f>
        <v>46.5</v>
      </c>
      <c r="N237" s="11" t="n">
        <v>0.0175</v>
      </c>
      <c r="O237" s="10" t="n">
        <f aca="false">M237*(1+N237)</f>
        <v>47.31375</v>
      </c>
      <c r="P237" s="10" t="n">
        <f aca="false">O237*L237</f>
        <v>66901.6425</v>
      </c>
      <c r="Q237" s="5" t="s">
        <v>133</v>
      </c>
      <c r="R237" s="5" t="n">
        <v>0</v>
      </c>
      <c r="S237" s="5" t="n">
        <v>60</v>
      </c>
      <c r="T237" s="12" t="n">
        <f aca="false">(O237-M237)/M237</f>
        <v>0.0175000000000001</v>
      </c>
      <c r="U237" s="8" t="n">
        <f aca="false">IF(AND(K237&lt;=I237,R237=0),1,0)</f>
        <v>0</v>
      </c>
      <c r="V237" s="10" t="n">
        <f aca="false">IF(Q237="No",P237,0)</f>
        <v>66901.6425</v>
      </c>
    </row>
    <row r="238" customFormat="false" ht="15" hidden="false" customHeight="false" outlineLevel="0" collapsed="false">
      <c r="A238" s="5" t="s">
        <v>372</v>
      </c>
      <c r="B238" s="5" t="s">
        <v>41</v>
      </c>
      <c r="C238" s="7" t="n">
        <v>46129</v>
      </c>
      <c r="D238" s="8" t="str">
        <f aca="false">INDEX(Dim_Supplier!$C$2:$C$21,MATCH(B238,Dim_Supplier!$A$2:$A$21,0))</f>
        <v>Raw Materials</v>
      </c>
      <c r="E238" s="8" t="str">
        <f aca="false">INDEX(Dim_Supplier!$B$2:$B$21,MATCH(B238,Dim_Supplier!$A$2:$A$21,0))</f>
        <v>Ontario Steel Partners</v>
      </c>
      <c r="F238" s="5" t="s">
        <v>148</v>
      </c>
      <c r="G238" s="5" t="s">
        <v>129</v>
      </c>
      <c r="H238" s="8" t="n">
        <f aca="false">INDEX(Lookup_Tables!$B$2:$B$5,MATCH(D238,Lookup_Tables!$A$2:$A$5,0))</f>
        <v>21</v>
      </c>
      <c r="I238" s="9" t="n">
        <f aca="false">C238+H238</f>
        <v>46150</v>
      </c>
      <c r="J238" s="5" t="n">
        <v>-4</v>
      </c>
      <c r="K238" s="9" t="n">
        <f aca="false">I238+J238</f>
        <v>46146</v>
      </c>
      <c r="L238" s="5" t="n">
        <v>573</v>
      </c>
      <c r="M238" s="10" t="n">
        <f aca="false">INDEX(Dim_Supplier!$F$2:$F$21,MATCH(B238,Dim_Supplier!$A$2:$A$21,0))</f>
        <v>58</v>
      </c>
      <c r="N238" s="11" t="n">
        <v>0.0301</v>
      </c>
      <c r="O238" s="10" t="n">
        <f aca="false">M238*(1+N238)</f>
        <v>59.7458</v>
      </c>
      <c r="P238" s="10" t="n">
        <f aca="false">O238*L238</f>
        <v>34234.3434</v>
      </c>
      <c r="Q238" s="5" t="s">
        <v>113</v>
      </c>
      <c r="R238" s="5" t="n">
        <v>0</v>
      </c>
      <c r="S238" s="5" t="n">
        <v>30</v>
      </c>
      <c r="T238" s="12" t="n">
        <f aca="false">(O238-M238)/M238</f>
        <v>0.0301</v>
      </c>
      <c r="U238" s="8" t="n">
        <f aca="false">IF(AND(K238&lt;=I238,R238=0),1,0)</f>
        <v>1</v>
      </c>
      <c r="V238" s="10" t="n">
        <f aca="false">IF(Q238="No",P238,0)</f>
        <v>0</v>
      </c>
    </row>
    <row r="239" customFormat="false" ht="15" hidden="false" customHeight="false" outlineLevel="0" collapsed="false">
      <c r="A239" s="5" t="s">
        <v>373</v>
      </c>
      <c r="B239" s="5" t="s">
        <v>62</v>
      </c>
      <c r="C239" s="7" t="n">
        <v>45353</v>
      </c>
      <c r="D239" s="8" t="str">
        <f aca="false">INDEX(Dim_Supplier!$C$2:$C$21,MATCH(B239,Dim_Supplier!$A$2:$A$21,0))</f>
        <v>Packaging</v>
      </c>
      <c r="E239" s="8" t="str">
        <f aca="false">INDEX(Dim_Supplier!$B$2:$B$21,MATCH(B239,Dim_Supplier!$A$2:$A$21,0))</f>
        <v>Trillium Packaging Solutions</v>
      </c>
      <c r="F239" s="5" t="s">
        <v>122</v>
      </c>
      <c r="G239" s="5" t="s">
        <v>125</v>
      </c>
      <c r="H239" s="8" t="n">
        <f aca="false">INDEX(Lookup_Tables!$B$2:$B$5,MATCH(D239,Lookup_Tables!$A$2:$A$5,0))</f>
        <v>14</v>
      </c>
      <c r="I239" s="9" t="n">
        <f aca="false">C239+H239</f>
        <v>45367</v>
      </c>
      <c r="J239" s="5" t="n">
        <v>-3</v>
      </c>
      <c r="K239" s="9" t="n">
        <f aca="false">I239+J239</f>
        <v>45364</v>
      </c>
      <c r="L239" s="5" t="n">
        <v>4859</v>
      </c>
      <c r="M239" s="10" t="n">
        <f aca="false">INDEX(Dim_Supplier!$F$2:$F$21,MATCH(B239,Dim_Supplier!$A$2:$A$21,0))</f>
        <v>5.6</v>
      </c>
      <c r="N239" s="11" t="n">
        <v>0.017</v>
      </c>
      <c r="O239" s="10" t="n">
        <f aca="false">M239*(1+N239)</f>
        <v>5.6952</v>
      </c>
      <c r="P239" s="10" t="n">
        <f aca="false">O239*L239</f>
        <v>27672.9768</v>
      </c>
      <c r="Q239" s="5" t="s">
        <v>113</v>
      </c>
      <c r="R239" s="5" t="n">
        <v>272</v>
      </c>
      <c r="S239" s="5" t="n">
        <v>45</v>
      </c>
      <c r="T239" s="12" t="n">
        <f aca="false">(O239-M239)/M239</f>
        <v>0.0169999999999999</v>
      </c>
      <c r="U239" s="8" t="n">
        <f aca="false">IF(AND(K239&lt;=I239,R239=0),1,0)</f>
        <v>0</v>
      </c>
      <c r="V239" s="10" t="n">
        <f aca="false">IF(Q239="No",P239,0)</f>
        <v>0</v>
      </c>
    </row>
    <row r="240" customFormat="false" ht="15" hidden="false" customHeight="false" outlineLevel="0" collapsed="false">
      <c r="A240" s="5" t="s">
        <v>374</v>
      </c>
      <c r="B240" s="5" t="s">
        <v>68</v>
      </c>
      <c r="C240" s="7" t="n">
        <v>45585</v>
      </c>
      <c r="D240" s="8" t="str">
        <f aca="false">INDEX(Dim_Supplier!$C$2:$C$21,MATCH(B240,Dim_Supplier!$A$2:$A$21,0))</f>
        <v>MRO</v>
      </c>
      <c r="E240" s="8" t="str">
        <f aca="false">INDEX(Dim_Supplier!$B$2:$B$21,MATCH(B240,Dim_Supplier!$A$2:$A$21,0))</f>
        <v>Precision Tool &amp; Supply</v>
      </c>
      <c r="F240" s="5" t="s">
        <v>127</v>
      </c>
      <c r="G240" s="5" t="s">
        <v>125</v>
      </c>
      <c r="H240" s="8" t="n">
        <f aca="false">INDEX(Lookup_Tables!$B$2:$B$5,MATCH(D240,Lookup_Tables!$A$2:$A$5,0))</f>
        <v>10</v>
      </c>
      <c r="I240" s="9" t="n">
        <f aca="false">C240+H240</f>
        <v>45595</v>
      </c>
      <c r="J240" s="5" t="n">
        <v>-1</v>
      </c>
      <c r="K240" s="9" t="n">
        <f aca="false">I240+J240</f>
        <v>45594</v>
      </c>
      <c r="L240" s="5" t="n">
        <v>32</v>
      </c>
      <c r="M240" s="10" t="n">
        <f aca="false">INDEX(Dim_Supplier!$F$2:$F$21,MATCH(B240,Dim_Supplier!$A$2:$A$21,0))</f>
        <v>22.4</v>
      </c>
      <c r="N240" s="11" t="n">
        <v>-0.0312</v>
      </c>
      <c r="O240" s="10" t="n">
        <f aca="false">M240*(1+N240)</f>
        <v>21.70112</v>
      </c>
      <c r="P240" s="10" t="n">
        <f aca="false">O240*L240</f>
        <v>694.43584</v>
      </c>
      <c r="Q240" s="5" t="s">
        <v>113</v>
      </c>
      <c r="R240" s="5" t="n">
        <v>0</v>
      </c>
      <c r="S240" s="5" t="n">
        <v>30</v>
      </c>
      <c r="T240" s="12" t="n">
        <f aca="false">(O240-M240)/M240</f>
        <v>-0.0312</v>
      </c>
      <c r="U240" s="8" t="n">
        <f aca="false">IF(AND(K240&lt;=I240,R240=0),1,0)</f>
        <v>1</v>
      </c>
      <c r="V240" s="10" t="n">
        <f aca="false">IF(Q240="No",P240,0)</f>
        <v>0</v>
      </c>
    </row>
    <row r="241" customFormat="false" ht="15" hidden="false" customHeight="false" outlineLevel="0" collapsed="false">
      <c r="A241" s="5" t="s">
        <v>375</v>
      </c>
      <c r="B241" s="5" t="s">
        <v>71</v>
      </c>
      <c r="C241" s="7" t="n">
        <v>45550</v>
      </c>
      <c r="D241" s="8" t="str">
        <f aca="false">INDEX(Dim_Supplier!$C$2:$C$21,MATCH(B241,Dim_Supplier!$A$2:$A$21,0))</f>
        <v>MRO</v>
      </c>
      <c r="E241" s="8" t="str">
        <f aca="false">INDEX(Dim_Supplier!$B$2:$B$21,MATCH(B241,Dim_Supplier!$A$2:$A$21,0))</f>
        <v>CanSafe Equipment Ltd.</v>
      </c>
      <c r="F241" s="5" t="s">
        <v>111</v>
      </c>
      <c r="G241" s="5" t="s">
        <v>120</v>
      </c>
      <c r="H241" s="8" t="n">
        <f aca="false">INDEX(Lookup_Tables!$B$2:$B$5,MATCH(D241,Lookup_Tables!$A$2:$A$5,0))</f>
        <v>10</v>
      </c>
      <c r="I241" s="9" t="n">
        <f aca="false">C241+H241</f>
        <v>45560</v>
      </c>
      <c r="J241" s="5" t="n">
        <v>-1</v>
      </c>
      <c r="K241" s="9" t="n">
        <f aca="false">I241+J241</f>
        <v>45559</v>
      </c>
      <c r="L241" s="5" t="n">
        <v>108</v>
      </c>
      <c r="M241" s="10" t="n">
        <f aca="false">INDEX(Dim_Supplier!$F$2:$F$21,MATCH(B241,Dim_Supplier!$A$2:$A$21,0))</f>
        <v>18.75</v>
      </c>
      <c r="N241" s="11" t="n">
        <v>0.0222</v>
      </c>
      <c r="O241" s="10" t="n">
        <f aca="false">M241*(1+N241)</f>
        <v>19.16625</v>
      </c>
      <c r="P241" s="10" t="n">
        <f aca="false">O241*L241</f>
        <v>2069.955</v>
      </c>
      <c r="Q241" s="5" t="s">
        <v>113</v>
      </c>
      <c r="R241" s="5" t="n">
        <v>0</v>
      </c>
      <c r="S241" s="5" t="n">
        <v>45</v>
      </c>
      <c r="T241" s="12" t="n">
        <f aca="false">(O241-M241)/M241</f>
        <v>0.0222000000000001</v>
      </c>
      <c r="U241" s="8" t="n">
        <f aca="false">IF(AND(K241&lt;=I241,R241=0),1,0)</f>
        <v>1</v>
      </c>
      <c r="V241" s="10" t="n">
        <f aca="false">IF(Q241="No",P241,0)</f>
        <v>0</v>
      </c>
    </row>
    <row r="242" customFormat="false" ht="15" hidden="false" customHeight="false" outlineLevel="0" collapsed="false">
      <c r="A242" s="5" t="s">
        <v>376</v>
      </c>
      <c r="B242" s="5" t="s">
        <v>57</v>
      </c>
      <c r="C242" s="7" t="n">
        <v>46139</v>
      </c>
      <c r="D242" s="8" t="str">
        <f aca="false">INDEX(Dim_Supplier!$C$2:$C$21,MATCH(B242,Dim_Supplier!$A$2:$A$21,0))</f>
        <v>Packaging</v>
      </c>
      <c r="E242" s="8" t="str">
        <f aca="false">INDEX(Dim_Supplier!$B$2:$B$21,MATCH(B242,Dim_Supplier!$A$2:$A$21,0))</f>
        <v>Great Lakes Packaging Co.</v>
      </c>
      <c r="F242" s="5" t="s">
        <v>117</v>
      </c>
      <c r="G242" s="5" t="s">
        <v>129</v>
      </c>
      <c r="H242" s="8" t="n">
        <f aca="false">INDEX(Lookup_Tables!$B$2:$B$5,MATCH(D242,Lookup_Tables!$A$2:$A$5,0))</f>
        <v>14</v>
      </c>
      <c r="I242" s="9" t="n">
        <f aca="false">C242+H242</f>
        <v>46153</v>
      </c>
      <c r="J242" s="5" t="n">
        <v>-1</v>
      </c>
      <c r="K242" s="9" t="n">
        <f aca="false">I242+J242</f>
        <v>46152</v>
      </c>
      <c r="L242" s="5" t="n">
        <v>4399</v>
      </c>
      <c r="M242" s="10" t="n">
        <f aca="false">INDEX(Dim_Supplier!$F$2:$F$21,MATCH(B242,Dim_Supplier!$A$2:$A$21,0))</f>
        <v>4.35</v>
      </c>
      <c r="N242" s="11" t="n">
        <v>0.0208</v>
      </c>
      <c r="O242" s="10" t="n">
        <f aca="false">M242*(1+N242)</f>
        <v>4.44048</v>
      </c>
      <c r="P242" s="10" t="n">
        <f aca="false">O242*L242</f>
        <v>19533.67152</v>
      </c>
      <c r="Q242" s="5" t="s">
        <v>113</v>
      </c>
      <c r="R242" s="5" t="n">
        <v>88</v>
      </c>
      <c r="S242" s="5" t="n">
        <v>30</v>
      </c>
      <c r="T242" s="12" t="n">
        <f aca="false">(O242-M242)/M242</f>
        <v>0.0207999999999999</v>
      </c>
      <c r="U242" s="8" t="n">
        <f aca="false">IF(AND(K242&lt;=I242,R242=0),1,0)</f>
        <v>0</v>
      </c>
      <c r="V242" s="10" t="n">
        <f aca="false">IF(Q242="No",P242,0)</f>
        <v>0</v>
      </c>
    </row>
    <row r="243" customFormat="false" ht="15" hidden="false" customHeight="false" outlineLevel="0" collapsed="false">
      <c r="A243" s="5" t="s">
        <v>377</v>
      </c>
      <c r="B243" s="5" t="s">
        <v>82</v>
      </c>
      <c r="C243" s="7" t="n">
        <v>45952</v>
      </c>
      <c r="D243" s="8" t="str">
        <f aca="false">INDEX(Dim_Supplier!$C$2:$C$21,MATCH(B243,Dim_Supplier!$A$2:$A$21,0))</f>
        <v>Logistics</v>
      </c>
      <c r="E243" s="8" t="str">
        <f aca="false">INDEX(Dim_Supplier!$B$2:$B$21,MATCH(B243,Dim_Supplier!$A$2:$A$21,0))</f>
        <v>Maple Route Logistics</v>
      </c>
      <c r="F243" s="5" t="s">
        <v>146</v>
      </c>
      <c r="G243" s="5" t="s">
        <v>129</v>
      </c>
      <c r="H243" s="8" t="n">
        <f aca="false">INDEX(Lookup_Tables!$B$2:$B$5,MATCH(D243,Lookup_Tables!$A$2:$A$5,0))</f>
        <v>5</v>
      </c>
      <c r="I243" s="9" t="n">
        <f aca="false">C243+H243</f>
        <v>45957</v>
      </c>
      <c r="J243" s="5" t="n">
        <v>3</v>
      </c>
      <c r="K243" s="9" t="n">
        <f aca="false">I243+J243</f>
        <v>45960</v>
      </c>
      <c r="L243" s="5" t="n">
        <v>15</v>
      </c>
      <c r="M243" s="10" t="n">
        <f aca="false">INDEX(Dim_Supplier!$F$2:$F$21,MATCH(B243,Dim_Supplier!$A$2:$A$21,0))</f>
        <v>285</v>
      </c>
      <c r="N243" s="11" t="n">
        <v>0.0025</v>
      </c>
      <c r="O243" s="10" t="n">
        <f aca="false">M243*(1+N243)</f>
        <v>285.7125</v>
      </c>
      <c r="P243" s="10" t="n">
        <f aca="false">O243*L243</f>
        <v>4285.6875</v>
      </c>
      <c r="Q243" s="5" t="s">
        <v>113</v>
      </c>
      <c r="R243" s="5" t="n">
        <v>0</v>
      </c>
      <c r="S243" s="5" t="n">
        <v>60</v>
      </c>
      <c r="T243" s="12" t="n">
        <f aca="false">(O243-M243)/M243</f>
        <v>0.00249999999999992</v>
      </c>
      <c r="U243" s="8" t="n">
        <f aca="false">IF(AND(K243&lt;=I243,R243=0),1,0)</f>
        <v>0</v>
      </c>
      <c r="V243" s="10" t="n">
        <f aca="false">IF(Q243="No",P243,0)</f>
        <v>0</v>
      </c>
    </row>
    <row r="244" customFormat="false" ht="15" hidden="false" customHeight="false" outlineLevel="0" collapsed="false">
      <c r="A244" s="5" t="s">
        <v>378</v>
      </c>
      <c r="B244" s="5" t="s">
        <v>64</v>
      </c>
      <c r="C244" s="7" t="n">
        <v>45339</v>
      </c>
      <c r="D244" s="8" t="str">
        <f aca="false">INDEX(Dim_Supplier!$C$2:$C$21,MATCH(B244,Dim_Supplier!$A$2:$A$21,0))</f>
        <v>Packaging</v>
      </c>
      <c r="E244" s="8" t="str">
        <f aca="false">INDEX(Dim_Supplier!$B$2:$B$21,MATCH(B244,Dim_Supplier!$A$2:$A$21,0))</f>
        <v>Huron Pallet Works</v>
      </c>
      <c r="F244" s="5" t="s">
        <v>117</v>
      </c>
      <c r="G244" s="5" t="s">
        <v>120</v>
      </c>
      <c r="H244" s="8" t="n">
        <f aca="false">INDEX(Lookup_Tables!$B$2:$B$5,MATCH(D244,Lookup_Tables!$A$2:$A$5,0))</f>
        <v>14</v>
      </c>
      <c r="I244" s="9" t="n">
        <f aca="false">C244+H244</f>
        <v>45353</v>
      </c>
      <c r="J244" s="5" t="n">
        <v>7</v>
      </c>
      <c r="K244" s="9" t="n">
        <f aca="false">I244+J244</f>
        <v>45360</v>
      </c>
      <c r="L244" s="5" t="n">
        <v>769</v>
      </c>
      <c r="M244" s="10" t="n">
        <f aca="false">INDEX(Dim_Supplier!$F$2:$F$21,MATCH(B244,Dim_Supplier!$A$2:$A$21,0))</f>
        <v>2.25</v>
      </c>
      <c r="N244" s="11" t="n">
        <v>0.1248</v>
      </c>
      <c r="O244" s="10" t="n">
        <f aca="false">M244*(1+N244)</f>
        <v>2.5308</v>
      </c>
      <c r="P244" s="10" t="n">
        <f aca="false">O244*L244</f>
        <v>1946.1852</v>
      </c>
      <c r="Q244" s="5" t="s">
        <v>113</v>
      </c>
      <c r="R244" s="5" t="n">
        <v>0</v>
      </c>
      <c r="S244" s="5" t="n">
        <v>30</v>
      </c>
      <c r="T244" s="12" t="n">
        <f aca="false">(O244-M244)/M244</f>
        <v>0.1248</v>
      </c>
      <c r="U244" s="8" t="n">
        <f aca="false">IF(AND(K244&lt;=I244,R244=0),1,0)</f>
        <v>0</v>
      </c>
      <c r="V244" s="10" t="n">
        <f aca="false">IF(Q244="No",P244,0)</f>
        <v>0</v>
      </c>
    </row>
    <row r="245" customFormat="false" ht="15" hidden="false" customHeight="false" outlineLevel="0" collapsed="false">
      <c r="A245" s="5" t="s">
        <v>379</v>
      </c>
      <c r="B245" s="5" t="s">
        <v>52</v>
      </c>
      <c r="C245" s="7" t="n">
        <v>45439</v>
      </c>
      <c r="D245" s="8" t="str">
        <f aca="false">INDEX(Dim_Supplier!$C$2:$C$21,MATCH(B245,Dim_Supplier!$A$2:$A$21,0))</f>
        <v>Raw Materials</v>
      </c>
      <c r="E245" s="8" t="str">
        <f aca="false">INDEX(Dim_Supplier!$B$2:$B$21,MATCH(B245,Dim_Supplier!$A$2:$A$21,0))</f>
        <v>Laurentian Metals Inc.</v>
      </c>
      <c r="F245" s="5" t="s">
        <v>142</v>
      </c>
      <c r="G245" s="5" t="s">
        <v>129</v>
      </c>
      <c r="H245" s="8" t="n">
        <f aca="false">INDEX(Lookup_Tables!$B$2:$B$5,MATCH(D245,Lookup_Tables!$A$2:$A$5,0))</f>
        <v>21</v>
      </c>
      <c r="I245" s="9" t="n">
        <f aca="false">C245+H245</f>
        <v>45460</v>
      </c>
      <c r="J245" s="5" t="n">
        <v>-4</v>
      </c>
      <c r="K245" s="9" t="n">
        <f aca="false">I245+J245</f>
        <v>45456</v>
      </c>
      <c r="L245" s="5" t="n">
        <v>1260</v>
      </c>
      <c r="M245" s="10" t="n">
        <f aca="false">INDEX(Dim_Supplier!$F$2:$F$21,MATCH(B245,Dim_Supplier!$A$2:$A$21,0))</f>
        <v>61.2</v>
      </c>
      <c r="N245" s="11" t="n">
        <v>0.0445</v>
      </c>
      <c r="O245" s="10" t="n">
        <f aca="false">M245*(1+N245)</f>
        <v>63.9234</v>
      </c>
      <c r="P245" s="10" t="n">
        <f aca="false">O245*L245</f>
        <v>80543.484</v>
      </c>
      <c r="Q245" s="5" t="s">
        <v>113</v>
      </c>
      <c r="R245" s="5" t="n">
        <v>0</v>
      </c>
      <c r="S245" s="5" t="n">
        <v>60</v>
      </c>
      <c r="T245" s="12" t="n">
        <f aca="false">(O245-M245)/M245</f>
        <v>0.0445</v>
      </c>
      <c r="U245" s="8" t="n">
        <f aca="false">IF(AND(K245&lt;=I245,R245=0),1,0)</f>
        <v>1</v>
      </c>
      <c r="V245" s="10" t="n">
        <f aca="false">IF(Q245="No",P245,0)</f>
        <v>0</v>
      </c>
    </row>
    <row r="246" customFormat="false" ht="15" hidden="false" customHeight="false" outlineLevel="0" collapsed="false">
      <c r="A246" s="5" t="s">
        <v>380</v>
      </c>
      <c r="B246" s="5" t="s">
        <v>57</v>
      </c>
      <c r="C246" s="7" t="n">
        <v>46065</v>
      </c>
      <c r="D246" s="8" t="str">
        <f aca="false">INDEX(Dim_Supplier!$C$2:$C$21,MATCH(B246,Dim_Supplier!$A$2:$A$21,0))</f>
        <v>Packaging</v>
      </c>
      <c r="E246" s="8" t="str">
        <f aca="false">INDEX(Dim_Supplier!$B$2:$B$21,MATCH(B246,Dim_Supplier!$A$2:$A$21,0))</f>
        <v>Great Lakes Packaging Co.</v>
      </c>
      <c r="F246" s="5" t="s">
        <v>158</v>
      </c>
      <c r="G246" s="5" t="s">
        <v>129</v>
      </c>
      <c r="H246" s="8" t="n">
        <f aca="false">INDEX(Lookup_Tables!$B$2:$B$5,MATCH(D246,Lookup_Tables!$A$2:$A$5,0))</f>
        <v>14</v>
      </c>
      <c r="I246" s="9" t="n">
        <f aca="false">C246+H246</f>
        <v>46079</v>
      </c>
      <c r="J246" s="5" t="n">
        <v>-4</v>
      </c>
      <c r="K246" s="9" t="n">
        <f aca="false">I246+J246</f>
        <v>46075</v>
      </c>
      <c r="L246" s="5" t="n">
        <v>939</v>
      </c>
      <c r="M246" s="10" t="n">
        <f aca="false">INDEX(Dim_Supplier!$F$2:$F$21,MATCH(B246,Dim_Supplier!$A$2:$A$21,0))</f>
        <v>4.35</v>
      </c>
      <c r="N246" s="11" t="n">
        <v>0.0097</v>
      </c>
      <c r="O246" s="10" t="n">
        <f aca="false">M246*(1+N246)</f>
        <v>4.392195</v>
      </c>
      <c r="P246" s="10" t="n">
        <f aca="false">O246*L246</f>
        <v>4124.271105</v>
      </c>
      <c r="Q246" s="5" t="s">
        <v>113</v>
      </c>
      <c r="R246" s="5" t="n">
        <v>0</v>
      </c>
      <c r="S246" s="5" t="n">
        <v>30</v>
      </c>
      <c r="T246" s="12" t="n">
        <f aca="false">(O246-M246)/M246</f>
        <v>0.0097000000000001</v>
      </c>
      <c r="U246" s="8" t="n">
        <f aca="false">IF(AND(K246&lt;=I246,R246=0),1,0)</f>
        <v>1</v>
      </c>
      <c r="V246" s="10" t="n">
        <f aca="false">IF(Q246="No",P246,0)</f>
        <v>0</v>
      </c>
    </row>
    <row r="247" customFormat="false" ht="15" hidden="false" customHeight="false" outlineLevel="0" collapsed="false">
      <c r="A247" s="5" t="s">
        <v>381</v>
      </c>
      <c r="B247" s="5" t="s">
        <v>71</v>
      </c>
      <c r="C247" s="7" t="n">
        <v>45920</v>
      </c>
      <c r="D247" s="8" t="str">
        <f aca="false">INDEX(Dim_Supplier!$C$2:$C$21,MATCH(B247,Dim_Supplier!$A$2:$A$21,0))</f>
        <v>MRO</v>
      </c>
      <c r="E247" s="8" t="str">
        <f aca="false">INDEX(Dim_Supplier!$B$2:$B$21,MATCH(B247,Dim_Supplier!$A$2:$A$21,0))</f>
        <v>CanSafe Equipment Ltd.</v>
      </c>
      <c r="F247" s="5" t="s">
        <v>132</v>
      </c>
      <c r="G247" s="5" t="s">
        <v>125</v>
      </c>
      <c r="H247" s="8" t="n">
        <f aca="false">INDEX(Lookup_Tables!$B$2:$B$5,MATCH(D247,Lookup_Tables!$A$2:$A$5,0))</f>
        <v>10</v>
      </c>
      <c r="I247" s="9" t="n">
        <f aca="false">C247+H247</f>
        <v>45930</v>
      </c>
      <c r="J247" s="5" t="n">
        <v>1</v>
      </c>
      <c r="K247" s="9" t="n">
        <f aca="false">I247+J247</f>
        <v>45931</v>
      </c>
      <c r="L247" s="5" t="n">
        <v>167</v>
      </c>
      <c r="M247" s="10" t="n">
        <f aca="false">INDEX(Dim_Supplier!$F$2:$F$21,MATCH(B247,Dim_Supplier!$A$2:$A$21,0))</f>
        <v>18.75</v>
      </c>
      <c r="N247" s="11" t="n">
        <v>0.0266</v>
      </c>
      <c r="O247" s="10" t="n">
        <f aca="false">M247*(1+N247)</f>
        <v>19.24875</v>
      </c>
      <c r="P247" s="10" t="n">
        <f aca="false">O247*L247</f>
        <v>3214.54125</v>
      </c>
      <c r="Q247" s="5" t="s">
        <v>113</v>
      </c>
      <c r="R247" s="5" t="n">
        <v>0</v>
      </c>
      <c r="S247" s="5" t="n">
        <v>30</v>
      </c>
      <c r="T247" s="12" t="n">
        <f aca="false">(O247-M247)/M247</f>
        <v>0.0265999999999999</v>
      </c>
      <c r="U247" s="8" t="n">
        <f aca="false">IF(AND(K247&lt;=I247,R247=0),1,0)</f>
        <v>0</v>
      </c>
      <c r="V247" s="10" t="n">
        <f aca="false">IF(Q247="No",P247,0)</f>
        <v>0</v>
      </c>
    </row>
    <row r="248" customFormat="false" ht="15" hidden="false" customHeight="false" outlineLevel="0" collapsed="false">
      <c r="A248" s="5" t="s">
        <v>382</v>
      </c>
      <c r="B248" s="5" t="s">
        <v>57</v>
      </c>
      <c r="C248" s="7" t="n">
        <v>45676</v>
      </c>
      <c r="D248" s="8" t="str">
        <f aca="false">INDEX(Dim_Supplier!$C$2:$C$21,MATCH(B248,Dim_Supplier!$A$2:$A$21,0))</f>
        <v>Packaging</v>
      </c>
      <c r="E248" s="8" t="str">
        <f aca="false">INDEX(Dim_Supplier!$B$2:$B$21,MATCH(B248,Dim_Supplier!$A$2:$A$21,0))</f>
        <v>Great Lakes Packaging Co.</v>
      </c>
      <c r="F248" s="5" t="s">
        <v>137</v>
      </c>
      <c r="G248" s="5" t="s">
        <v>112</v>
      </c>
      <c r="H248" s="8" t="n">
        <f aca="false">INDEX(Lookup_Tables!$B$2:$B$5,MATCH(D248,Lookup_Tables!$A$2:$A$5,0))</f>
        <v>14</v>
      </c>
      <c r="I248" s="9" t="n">
        <f aca="false">C248+H248</f>
        <v>45690</v>
      </c>
      <c r="J248" s="5" t="n">
        <v>-4</v>
      </c>
      <c r="K248" s="9" t="n">
        <f aca="false">I248+J248</f>
        <v>45686</v>
      </c>
      <c r="L248" s="5" t="n">
        <v>1202</v>
      </c>
      <c r="M248" s="10" t="n">
        <f aca="false">INDEX(Dim_Supplier!$F$2:$F$21,MATCH(B248,Dim_Supplier!$A$2:$A$21,0))</f>
        <v>4.35</v>
      </c>
      <c r="N248" s="11" t="n">
        <v>-0.0166</v>
      </c>
      <c r="O248" s="10" t="n">
        <f aca="false">M248*(1+N248)</f>
        <v>4.27779</v>
      </c>
      <c r="P248" s="10" t="n">
        <f aca="false">O248*L248</f>
        <v>5141.90358</v>
      </c>
      <c r="Q248" s="5" t="s">
        <v>113</v>
      </c>
      <c r="R248" s="5" t="n">
        <v>0</v>
      </c>
      <c r="S248" s="5" t="n">
        <v>30</v>
      </c>
      <c r="T248" s="12" t="n">
        <f aca="false">(O248-M248)/M248</f>
        <v>-0.0166</v>
      </c>
      <c r="U248" s="8" t="n">
        <f aca="false">IF(AND(K248&lt;=I248,R248=0),1,0)</f>
        <v>1</v>
      </c>
      <c r="V248" s="10" t="n">
        <f aca="false">IF(Q248="No",P248,0)</f>
        <v>0</v>
      </c>
    </row>
    <row r="249" customFormat="false" ht="15" hidden="false" customHeight="false" outlineLevel="0" collapsed="false">
      <c r="A249" s="5" t="s">
        <v>383</v>
      </c>
      <c r="B249" s="5" t="s">
        <v>41</v>
      </c>
      <c r="C249" s="7" t="n">
        <v>45566</v>
      </c>
      <c r="D249" s="8" t="str">
        <f aca="false">INDEX(Dim_Supplier!$C$2:$C$21,MATCH(B249,Dim_Supplier!$A$2:$A$21,0))</f>
        <v>Raw Materials</v>
      </c>
      <c r="E249" s="8" t="str">
        <f aca="false">INDEX(Dim_Supplier!$B$2:$B$21,MATCH(B249,Dim_Supplier!$A$2:$A$21,0))</f>
        <v>Ontario Steel Partners</v>
      </c>
      <c r="F249" s="5" t="s">
        <v>115</v>
      </c>
      <c r="G249" s="5" t="s">
        <v>125</v>
      </c>
      <c r="H249" s="8" t="n">
        <f aca="false">INDEX(Lookup_Tables!$B$2:$B$5,MATCH(D249,Lookup_Tables!$A$2:$A$5,0))</f>
        <v>21</v>
      </c>
      <c r="I249" s="9" t="n">
        <f aca="false">C249+H249</f>
        <v>45587</v>
      </c>
      <c r="J249" s="5" t="n">
        <v>-4</v>
      </c>
      <c r="K249" s="9" t="n">
        <f aca="false">I249+J249</f>
        <v>45583</v>
      </c>
      <c r="L249" s="5" t="n">
        <v>1614</v>
      </c>
      <c r="M249" s="10" t="n">
        <f aca="false">INDEX(Dim_Supplier!$F$2:$F$21,MATCH(B249,Dim_Supplier!$A$2:$A$21,0))</f>
        <v>58</v>
      </c>
      <c r="N249" s="11" t="n">
        <v>-0.0175</v>
      </c>
      <c r="O249" s="10" t="n">
        <f aca="false">M249*(1+N249)</f>
        <v>56.985</v>
      </c>
      <c r="P249" s="10" t="n">
        <f aca="false">O249*L249</f>
        <v>91973.79</v>
      </c>
      <c r="Q249" s="5" t="s">
        <v>113</v>
      </c>
      <c r="R249" s="5" t="n">
        <v>0</v>
      </c>
      <c r="S249" s="5" t="n">
        <v>30</v>
      </c>
      <c r="T249" s="12" t="n">
        <f aca="false">(O249-M249)/M249</f>
        <v>-0.0175</v>
      </c>
      <c r="U249" s="8" t="n">
        <f aca="false">IF(AND(K249&lt;=I249,R249=0),1,0)</f>
        <v>1</v>
      </c>
      <c r="V249" s="10" t="n">
        <f aca="false">IF(Q249="No",P249,0)</f>
        <v>0</v>
      </c>
    </row>
    <row r="250" customFormat="false" ht="15" hidden="false" customHeight="false" outlineLevel="0" collapsed="false">
      <c r="A250" s="5" t="s">
        <v>384</v>
      </c>
      <c r="B250" s="5" t="s">
        <v>86</v>
      </c>
      <c r="C250" s="7" t="n">
        <v>45747</v>
      </c>
      <c r="D250" s="8" t="str">
        <f aca="false">INDEX(Dim_Supplier!$C$2:$C$21,MATCH(B250,Dim_Supplier!$A$2:$A$21,0))</f>
        <v>Logistics</v>
      </c>
      <c r="E250" s="8" t="str">
        <f aca="false">INDEX(Dim_Supplier!$B$2:$B$21,MATCH(B250,Dim_Supplier!$A$2:$A$21,0))</f>
        <v>Blue Water Customs Brokerage</v>
      </c>
      <c r="F250" s="5" t="s">
        <v>146</v>
      </c>
      <c r="G250" s="5" t="s">
        <v>120</v>
      </c>
      <c r="H250" s="8" t="n">
        <f aca="false">INDEX(Lookup_Tables!$B$2:$B$5,MATCH(D250,Lookup_Tables!$A$2:$A$5,0))</f>
        <v>5</v>
      </c>
      <c r="I250" s="9" t="n">
        <f aca="false">C250+H250</f>
        <v>45752</v>
      </c>
      <c r="J250" s="5" t="n">
        <v>-1</v>
      </c>
      <c r="K250" s="9" t="n">
        <f aca="false">I250+J250</f>
        <v>45751</v>
      </c>
      <c r="L250" s="5" t="n">
        <v>28</v>
      </c>
      <c r="M250" s="10" t="n">
        <f aca="false">INDEX(Dim_Supplier!$F$2:$F$21,MATCH(B250,Dim_Supplier!$A$2:$A$21,0))</f>
        <v>175</v>
      </c>
      <c r="N250" s="11" t="n">
        <v>0.0151</v>
      </c>
      <c r="O250" s="10" t="n">
        <f aca="false">M250*(1+N250)</f>
        <v>177.6425</v>
      </c>
      <c r="P250" s="10" t="n">
        <f aca="false">O250*L250</f>
        <v>4973.99</v>
      </c>
      <c r="Q250" s="5" t="s">
        <v>113</v>
      </c>
      <c r="R250" s="5" t="n">
        <v>0</v>
      </c>
      <c r="S250" s="5" t="n">
        <v>30</v>
      </c>
      <c r="T250" s="12" t="n">
        <f aca="false">(O250-M250)/M250</f>
        <v>0.0150999999999999</v>
      </c>
      <c r="U250" s="8" t="n">
        <f aca="false">IF(AND(K250&lt;=I250,R250=0),1,0)</f>
        <v>1</v>
      </c>
      <c r="V250" s="10" t="n">
        <f aca="false">IF(Q250="No",P250,0)</f>
        <v>0</v>
      </c>
    </row>
    <row r="251" customFormat="false" ht="15" hidden="false" customHeight="false" outlineLevel="0" collapsed="false">
      <c r="A251" s="5" t="s">
        <v>385</v>
      </c>
      <c r="B251" s="5" t="s">
        <v>41</v>
      </c>
      <c r="C251" s="7" t="n">
        <v>45654</v>
      </c>
      <c r="D251" s="8" t="str">
        <f aca="false">INDEX(Dim_Supplier!$C$2:$C$21,MATCH(B251,Dim_Supplier!$A$2:$A$21,0))</f>
        <v>Raw Materials</v>
      </c>
      <c r="E251" s="8" t="str">
        <f aca="false">INDEX(Dim_Supplier!$B$2:$B$21,MATCH(B251,Dim_Supplier!$A$2:$A$21,0))</f>
        <v>Ontario Steel Partners</v>
      </c>
      <c r="F251" s="5" t="s">
        <v>144</v>
      </c>
      <c r="G251" s="5" t="s">
        <v>129</v>
      </c>
      <c r="H251" s="8" t="n">
        <f aca="false">INDEX(Lookup_Tables!$B$2:$B$5,MATCH(D251,Lookup_Tables!$A$2:$A$5,0))</f>
        <v>21</v>
      </c>
      <c r="I251" s="9" t="n">
        <f aca="false">C251+H251</f>
        <v>45675</v>
      </c>
      <c r="J251" s="5" t="n">
        <v>-4</v>
      </c>
      <c r="K251" s="9" t="n">
        <f aca="false">I251+J251</f>
        <v>45671</v>
      </c>
      <c r="L251" s="5" t="n">
        <v>1868</v>
      </c>
      <c r="M251" s="10" t="n">
        <f aca="false">INDEX(Dim_Supplier!$F$2:$F$21,MATCH(B251,Dim_Supplier!$A$2:$A$21,0))</f>
        <v>58</v>
      </c>
      <c r="N251" s="11" t="n">
        <v>-0.01</v>
      </c>
      <c r="O251" s="10" t="n">
        <f aca="false">M251*(1+N251)</f>
        <v>57.42</v>
      </c>
      <c r="P251" s="10" t="n">
        <f aca="false">O251*L251</f>
        <v>107260.56</v>
      </c>
      <c r="Q251" s="5" t="s">
        <v>113</v>
      </c>
      <c r="R251" s="5" t="n">
        <v>0</v>
      </c>
      <c r="S251" s="5" t="n">
        <v>30</v>
      </c>
      <c r="T251" s="12" t="n">
        <f aca="false">(O251-M251)/M251</f>
        <v>-0.00999999999999997</v>
      </c>
      <c r="U251" s="8" t="n">
        <f aca="false">IF(AND(K251&lt;=I251,R251=0),1,0)</f>
        <v>1</v>
      </c>
      <c r="V251" s="10" t="n">
        <f aca="false">IF(Q251="No",P251,0)</f>
        <v>0</v>
      </c>
    </row>
    <row r="252" customFormat="false" ht="15" hidden="false" customHeight="false" outlineLevel="0" collapsed="false">
      <c r="A252" s="5" t="s">
        <v>386</v>
      </c>
      <c r="B252" s="5" t="s">
        <v>41</v>
      </c>
      <c r="C252" s="7" t="n">
        <v>45864</v>
      </c>
      <c r="D252" s="8" t="str">
        <f aca="false">INDEX(Dim_Supplier!$C$2:$C$21,MATCH(B252,Dim_Supplier!$A$2:$A$21,0))</f>
        <v>Raw Materials</v>
      </c>
      <c r="E252" s="8" t="str">
        <f aca="false">INDEX(Dim_Supplier!$B$2:$B$21,MATCH(B252,Dim_Supplier!$A$2:$A$21,0))</f>
        <v>Ontario Steel Partners</v>
      </c>
      <c r="F252" s="5" t="s">
        <v>115</v>
      </c>
      <c r="G252" s="5" t="s">
        <v>112</v>
      </c>
      <c r="H252" s="8" t="n">
        <f aca="false">INDEX(Lookup_Tables!$B$2:$B$5,MATCH(D252,Lookup_Tables!$A$2:$A$5,0))</f>
        <v>21</v>
      </c>
      <c r="I252" s="9" t="n">
        <f aca="false">C252+H252</f>
        <v>45885</v>
      </c>
      <c r="J252" s="5" t="n">
        <v>-3</v>
      </c>
      <c r="K252" s="9" t="n">
        <f aca="false">I252+J252</f>
        <v>45882</v>
      </c>
      <c r="L252" s="5" t="n">
        <v>650</v>
      </c>
      <c r="M252" s="10" t="n">
        <f aca="false">INDEX(Dim_Supplier!$F$2:$F$21,MATCH(B252,Dim_Supplier!$A$2:$A$21,0))</f>
        <v>58</v>
      </c>
      <c r="N252" s="11" t="n">
        <v>-0.0012</v>
      </c>
      <c r="O252" s="10" t="n">
        <f aca="false">M252*(1+N252)</f>
        <v>57.9304</v>
      </c>
      <c r="P252" s="10" t="n">
        <f aca="false">O252*L252</f>
        <v>37654.76</v>
      </c>
      <c r="Q252" s="5" t="s">
        <v>113</v>
      </c>
      <c r="R252" s="5" t="n">
        <v>0</v>
      </c>
      <c r="S252" s="5" t="n">
        <v>30</v>
      </c>
      <c r="T252" s="12" t="n">
        <f aca="false">(O252-M252)/M252</f>
        <v>-0.00120000000000002</v>
      </c>
      <c r="U252" s="8" t="n">
        <f aca="false">IF(AND(K252&lt;=I252,R252=0),1,0)</f>
        <v>1</v>
      </c>
      <c r="V252" s="10" t="n">
        <f aca="false">IF(Q252="No",P252,0)</f>
        <v>0</v>
      </c>
    </row>
    <row r="253" customFormat="false" ht="15" hidden="false" customHeight="false" outlineLevel="0" collapsed="false">
      <c r="A253" s="5" t="s">
        <v>387</v>
      </c>
      <c r="B253" s="5" t="s">
        <v>62</v>
      </c>
      <c r="C253" s="7" t="n">
        <v>45723</v>
      </c>
      <c r="D253" s="8" t="str">
        <f aca="false">INDEX(Dim_Supplier!$C$2:$C$21,MATCH(B253,Dim_Supplier!$A$2:$A$21,0))</f>
        <v>Packaging</v>
      </c>
      <c r="E253" s="8" t="str">
        <f aca="false">INDEX(Dim_Supplier!$B$2:$B$21,MATCH(B253,Dim_Supplier!$A$2:$A$21,0))</f>
        <v>Trillium Packaging Solutions</v>
      </c>
      <c r="F253" s="5" t="s">
        <v>119</v>
      </c>
      <c r="G253" s="5" t="s">
        <v>125</v>
      </c>
      <c r="H253" s="8" t="n">
        <f aca="false">INDEX(Lookup_Tables!$B$2:$B$5,MATCH(D253,Lookup_Tables!$A$2:$A$5,0))</f>
        <v>14</v>
      </c>
      <c r="I253" s="9" t="n">
        <f aca="false">C253+H253</f>
        <v>45737</v>
      </c>
      <c r="J253" s="5" t="n">
        <v>-3</v>
      </c>
      <c r="K253" s="9" t="n">
        <f aca="false">I253+J253</f>
        <v>45734</v>
      </c>
      <c r="L253" s="5" t="n">
        <v>2520</v>
      </c>
      <c r="M253" s="10" t="n">
        <f aca="false">INDEX(Dim_Supplier!$F$2:$F$21,MATCH(B253,Dim_Supplier!$A$2:$A$21,0))</f>
        <v>5.6</v>
      </c>
      <c r="N253" s="11" t="n">
        <v>0.0015</v>
      </c>
      <c r="O253" s="10" t="n">
        <f aca="false">M253*(1+N253)</f>
        <v>5.6084</v>
      </c>
      <c r="P253" s="10" t="n">
        <f aca="false">O253*L253</f>
        <v>14133.168</v>
      </c>
      <c r="Q253" s="5" t="s">
        <v>113</v>
      </c>
      <c r="R253" s="5" t="n">
        <v>0</v>
      </c>
      <c r="S253" s="5" t="n">
        <v>45</v>
      </c>
      <c r="T253" s="12" t="n">
        <f aca="false">(O253-M253)/M253</f>
        <v>0.00149999999999999</v>
      </c>
      <c r="U253" s="8" t="n">
        <f aca="false">IF(AND(K253&lt;=I253,R253=0),1,0)</f>
        <v>1</v>
      </c>
      <c r="V253" s="10" t="n">
        <f aca="false">IF(Q253="No",P253,0)</f>
        <v>0</v>
      </c>
    </row>
    <row r="254" customFormat="false" ht="15" hidden="false" customHeight="false" outlineLevel="0" collapsed="false">
      <c r="A254" s="5" t="s">
        <v>388</v>
      </c>
      <c r="B254" s="5" t="s">
        <v>62</v>
      </c>
      <c r="C254" s="7" t="n">
        <v>45430</v>
      </c>
      <c r="D254" s="8" t="str">
        <f aca="false">INDEX(Dim_Supplier!$C$2:$C$21,MATCH(B254,Dim_Supplier!$A$2:$A$21,0))</f>
        <v>Packaging</v>
      </c>
      <c r="E254" s="8" t="str">
        <f aca="false">INDEX(Dim_Supplier!$B$2:$B$21,MATCH(B254,Dim_Supplier!$A$2:$A$21,0))</f>
        <v>Trillium Packaging Solutions</v>
      </c>
      <c r="F254" s="5" t="s">
        <v>119</v>
      </c>
      <c r="G254" s="5" t="s">
        <v>129</v>
      </c>
      <c r="H254" s="8" t="n">
        <f aca="false">INDEX(Lookup_Tables!$B$2:$B$5,MATCH(D254,Lookup_Tables!$A$2:$A$5,0))</f>
        <v>14</v>
      </c>
      <c r="I254" s="9" t="n">
        <f aca="false">C254+H254</f>
        <v>45444</v>
      </c>
      <c r="J254" s="5" t="n">
        <v>-1</v>
      </c>
      <c r="K254" s="9" t="n">
        <f aca="false">I254+J254</f>
        <v>45443</v>
      </c>
      <c r="L254" s="5" t="n">
        <v>3612</v>
      </c>
      <c r="M254" s="10" t="n">
        <f aca="false">INDEX(Dim_Supplier!$F$2:$F$21,MATCH(B254,Dim_Supplier!$A$2:$A$21,0))</f>
        <v>5.6</v>
      </c>
      <c r="N254" s="11" t="n">
        <v>0.0143</v>
      </c>
      <c r="O254" s="10" t="n">
        <f aca="false">M254*(1+N254)</f>
        <v>5.68008</v>
      </c>
      <c r="P254" s="10" t="n">
        <f aca="false">O254*L254</f>
        <v>20516.44896</v>
      </c>
      <c r="Q254" s="5" t="s">
        <v>113</v>
      </c>
      <c r="R254" s="5" t="n">
        <v>0</v>
      </c>
      <c r="S254" s="5" t="n">
        <v>30</v>
      </c>
      <c r="T254" s="12" t="n">
        <f aca="false">(O254-M254)/M254</f>
        <v>0.0142999999999999</v>
      </c>
      <c r="U254" s="8" t="n">
        <f aca="false">IF(AND(K254&lt;=I254,R254=0),1,0)</f>
        <v>1</v>
      </c>
      <c r="V254" s="10" t="n">
        <f aca="false">IF(Q254="No",P254,0)</f>
        <v>0</v>
      </c>
    </row>
    <row r="255" customFormat="false" ht="15" hidden="false" customHeight="false" outlineLevel="0" collapsed="false">
      <c r="A255" s="5" t="s">
        <v>389</v>
      </c>
      <c r="B255" s="5" t="s">
        <v>79</v>
      </c>
      <c r="C255" s="7" t="n">
        <v>46172</v>
      </c>
      <c r="D255" s="8" t="str">
        <f aca="false">INDEX(Dim_Supplier!$C$2:$C$21,MATCH(B255,Dim_Supplier!$A$2:$A$21,0))</f>
        <v>Logistics</v>
      </c>
      <c r="E255" s="8" t="str">
        <f aca="false">INDEX(Dim_Supplier!$B$2:$B$21,MATCH(B255,Dim_Supplier!$A$2:$A$21,0))</f>
        <v>Niagara Freight Solutions</v>
      </c>
      <c r="F255" s="5" t="s">
        <v>185</v>
      </c>
      <c r="G255" s="5" t="s">
        <v>112</v>
      </c>
      <c r="H255" s="8" t="n">
        <f aca="false">INDEX(Lookup_Tables!$B$2:$B$5,MATCH(D255,Lookup_Tables!$A$2:$A$5,0))</f>
        <v>5</v>
      </c>
      <c r="I255" s="9" t="n">
        <f aca="false">C255+H255</f>
        <v>46177</v>
      </c>
      <c r="J255" s="5" t="n">
        <v>-3</v>
      </c>
      <c r="K255" s="9" t="n">
        <f aca="false">I255+J255</f>
        <v>46174</v>
      </c>
      <c r="L255" s="5" t="n">
        <v>45</v>
      </c>
      <c r="M255" s="10" t="n">
        <f aca="false">INDEX(Dim_Supplier!$F$2:$F$21,MATCH(B255,Dim_Supplier!$A$2:$A$21,0))</f>
        <v>340</v>
      </c>
      <c r="N255" s="11" t="n">
        <v>0.0358</v>
      </c>
      <c r="O255" s="10" t="n">
        <f aca="false">M255*(1+N255)</f>
        <v>352.172</v>
      </c>
      <c r="P255" s="10" t="n">
        <f aca="false">O255*L255</f>
        <v>15847.74</v>
      </c>
      <c r="Q255" s="5" t="s">
        <v>113</v>
      </c>
      <c r="R255" s="5" t="n">
        <v>0</v>
      </c>
      <c r="S255" s="5" t="n">
        <v>60</v>
      </c>
      <c r="T255" s="12" t="n">
        <f aca="false">(O255-M255)/M255</f>
        <v>0.0358000000000001</v>
      </c>
      <c r="U255" s="8" t="n">
        <f aca="false">IF(AND(K255&lt;=I255,R255=0),1,0)</f>
        <v>1</v>
      </c>
      <c r="V255" s="10" t="n">
        <f aca="false">IF(Q255="No",P255,0)</f>
        <v>0</v>
      </c>
    </row>
    <row r="256" customFormat="false" ht="15" hidden="false" customHeight="false" outlineLevel="0" collapsed="false">
      <c r="A256" s="5" t="s">
        <v>390</v>
      </c>
      <c r="B256" s="5" t="s">
        <v>88</v>
      </c>
      <c r="C256" s="7" t="n">
        <v>45590</v>
      </c>
      <c r="D256" s="8" t="str">
        <f aca="false">INDEX(Dim_Supplier!$C$2:$C$21,MATCH(B256,Dim_Supplier!$A$2:$A$21,0))</f>
        <v>Logistics</v>
      </c>
      <c r="E256" s="8" t="str">
        <f aca="false">INDEX(Dim_Supplier!$B$2:$B$21,MATCH(B256,Dim_Supplier!$A$2:$A$21,0))</f>
        <v>Summit Last-Mile Delivery</v>
      </c>
      <c r="F256" s="5" t="s">
        <v>237</v>
      </c>
      <c r="G256" s="5" t="s">
        <v>112</v>
      </c>
      <c r="H256" s="8" t="n">
        <f aca="false">INDEX(Lookup_Tables!$B$2:$B$5,MATCH(D256,Lookup_Tables!$A$2:$A$5,0))</f>
        <v>5</v>
      </c>
      <c r="I256" s="9" t="n">
        <f aca="false">C256+H256</f>
        <v>45595</v>
      </c>
      <c r="J256" s="5" t="n">
        <v>-2</v>
      </c>
      <c r="K256" s="9" t="n">
        <f aca="false">I256+J256</f>
        <v>45593</v>
      </c>
      <c r="L256" s="5" t="n">
        <v>26</v>
      </c>
      <c r="M256" s="10" t="n">
        <f aca="false">INDEX(Dim_Supplier!$F$2:$F$21,MATCH(B256,Dim_Supplier!$A$2:$A$21,0))</f>
        <v>95</v>
      </c>
      <c r="N256" s="11" t="n">
        <v>0.0544</v>
      </c>
      <c r="O256" s="10" t="n">
        <f aca="false">M256*(1+N256)</f>
        <v>100.168</v>
      </c>
      <c r="P256" s="10" t="n">
        <f aca="false">O256*L256</f>
        <v>2604.368</v>
      </c>
      <c r="Q256" s="5" t="s">
        <v>113</v>
      </c>
      <c r="R256" s="5" t="n">
        <v>0</v>
      </c>
      <c r="S256" s="5" t="n">
        <v>30</v>
      </c>
      <c r="T256" s="12" t="n">
        <f aca="false">(O256-M256)/M256</f>
        <v>0.0544000000000001</v>
      </c>
      <c r="U256" s="8" t="n">
        <f aca="false">IF(AND(K256&lt;=I256,R256=0),1,0)</f>
        <v>1</v>
      </c>
      <c r="V256" s="10" t="n">
        <f aca="false">IF(Q256="No",P256,0)</f>
        <v>0</v>
      </c>
    </row>
    <row r="257" customFormat="false" ht="15" hidden="false" customHeight="false" outlineLevel="0" collapsed="false">
      <c r="A257" s="5" t="s">
        <v>391</v>
      </c>
      <c r="B257" s="5" t="s">
        <v>88</v>
      </c>
      <c r="C257" s="7" t="n">
        <v>45476</v>
      </c>
      <c r="D257" s="8" t="str">
        <f aca="false">INDEX(Dim_Supplier!$C$2:$C$21,MATCH(B257,Dim_Supplier!$A$2:$A$21,0))</f>
        <v>Logistics</v>
      </c>
      <c r="E257" s="8" t="str">
        <f aca="false">INDEX(Dim_Supplier!$B$2:$B$21,MATCH(B257,Dim_Supplier!$A$2:$A$21,0))</f>
        <v>Summit Last-Mile Delivery</v>
      </c>
      <c r="F257" s="5" t="s">
        <v>185</v>
      </c>
      <c r="G257" s="5" t="s">
        <v>129</v>
      </c>
      <c r="H257" s="8" t="n">
        <f aca="false">INDEX(Lookup_Tables!$B$2:$B$5,MATCH(D257,Lookup_Tables!$A$2:$A$5,0))</f>
        <v>5</v>
      </c>
      <c r="I257" s="9" t="n">
        <f aca="false">C257+H257</f>
        <v>45481</v>
      </c>
      <c r="J257" s="5" t="n">
        <v>1</v>
      </c>
      <c r="K257" s="9" t="n">
        <f aca="false">I257+J257</f>
        <v>45482</v>
      </c>
      <c r="L257" s="5" t="n">
        <v>46</v>
      </c>
      <c r="M257" s="10" t="n">
        <f aca="false">INDEX(Dim_Supplier!$F$2:$F$21,MATCH(B257,Dim_Supplier!$A$2:$A$21,0))</f>
        <v>95</v>
      </c>
      <c r="N257" s="11" t="n">
        <v>0.0335</v>
      </c>
      <c r="O257" s="10" t="n">
        <f aca="false">M257*(1+N257)</f>
        <v>98.1825</v>
      </c>
      <c r="P257" s="10" t="n">
        <f aca="false">O257*L257</f>
        <v>4516.395</v>
      </c>
      <c r="Q257" s="5" t="s">
        <v>113</v>
      </c>
      <c r="R257" s="5" t="n">
        <v>0</v>
      </c>
      <c r="S257" s="5" t="n">
        <v>60</v>
      </c>
      <c r="T257" s="12" t="n">
        <f aca="false">(O257-M257)/M257</f>
        <v>0.0335000000000001</v>
      </c>
      <c r="U257" s="8" t="n">
        <f aca="false">IF(AND(K257&lt;=I257,R257=0),1,0)</f>
        <v>0</v>
      </c>
      <c r="V257" s="10" t="n">
        <f aca="false">IF(Q257="No",P257,0)</f>
        <v>0</v>
      </c>
    </row>
    <row r="258" customFormat="false" ht="15" hidden="false" customHeight="false" outlineLevel="0" collapsed="false">
      <c r="A258" s="5" t="s">
        <v>392</v>
      </c>
      <c r="B258" s="5" t="s">
        <v>41</v>
      </c>
      <c r="C258" s="7" t="n">
        <v>46160</v>
      </c>
      <c r="D258" s="8" t="str">
        <f aca="false">INDEX(Dim_Supplier!$C$2:$C$21,MATCH(B258,Dim_Supplier!$A$2:$A$21,0))</f>
        <v>Raw Materials</v>
      </c>
      <c r="E258" s="8" t="str">
        <f aca="false">INDEX(Dim_Supplier!$B$2:$B$21,MATCH(B258,Dim_Supplier!$A$2:$A$21,0))</f>
        <v>Ontario Steel Partners</v>
      </c>
      <c r="F258" s="5" t="s">
        <v>142</v>
      </c>
      <c r="G258" s="5" t="s">
        <v>125</v>
      </c>
      <c r="H258" s="8" t="n">
        <f aca="false">INDEX(Lookup_Tables!$B$2:$B$5,MATCH(D258,Lookup_Tables!$A$2:$A$5,0))</f>
        <v>21</v>
      </c>
      <c r="I258" s="9" t="n">
        <f aca="false">C258+H258</f>
        <v>46181</v>
      </c>
      <c r="J258" s="5" t="n">
        <v>-2</v>
      </c>
      <c r="K258" s="9" t="n">
        <f aca="false">I258+J258</f>
        <v>46179</v>
      </c>
      <c r="L258" s="5" t="n">
        <v>617</v>
      </c>
      <c r="M258" s="10" t="n">
        <f aca="false">INDEX(Dim_Supplier!$F$2:$F$21,MATCH(B258,Dim_Supplier!$A$2:$A$21,0))</f>
        <v>58</v>
      </c>
      <c r="N258" s="11" t="n">
        <v>0.023</v>
      </c>
      <c r="O258" s="10" t="n">
        <f aca="false">M258*(1+N258)</f>
        <v>59.334</v>
      </c>
      <c r="P258" s="10" t="n">
        <f aca="false">O258*L258</f>
        <v>36609.078</v>
      </c>
      <c r="Q258" s="5" t="s">
        <v>113</v>
      </c>
      <c r="R258" s="5" t="n">
        <v>0</v>
      </c>
      <c r="S258" s="5" t="n">
        <v>45</v>
      </c>
      <c r="T258" s="12" t="n">
        <f aca="false">(O258-M258)/M258</f>
        <v>0.0229999999999999</v>
      </c>
      <c r="U258" s="8" t="n">
        <f aca="false">IF(AND(K258&lt;=I258,R258=0),1,0)</f>
        <v>1</v>
      </c>
      <c r="V258" s="10" t="n">
        <f aca="false">IF(Q258="No",P258,0)</f>
        <v>0</v>
      </c>
    </row>
    <row r="259" customFormat="false" ht="15" hidden="false" customHeight="false" outlineLevel="0" collapsed="false">
      <c r="A259" s="5" t="s">
        <v>393</v>
      </c>
      <c r="B259" s="5" t="s">
        <v>41</v>
      </c>
      <c r="C259" s="7" t="n">
        <v>45904</v>
      </c>
      <c r="D259" s="8" t="str">
        <f aca="false">INDEX(Dim_Supplier!$C$2:$C$21,MATCH(B259,Dim_Supplier!$A$2:$A$21,0))</f>
        <v>Raw Materials</v>
      </c>
      <c r="E259" s="8" t="str">
        <f aca="false">INDEX(Dim_Supplier!$B$2:$B$21,MATCH(B259,Dim_Supplier!$A$2:$A$21,0))</f>
        <v>Ontario Steel Partners</v>
      </c>
      <c r="F259" s="5" t="s">
        <v>142</v>
      </c>
      <c r="G259" s="5" t="s">
        <v>125</v>
      </c>
      <c r="H259" s="8" t="n">
        <f aca="false">INDEX(Lookup_Tables!$B$2:$B$5,MATCH(D259,Lookup_Tables!$A$2:$A$5,0))</f>
        <v>21</v>
      </c>
      <c r="I259" s="9" t="n">
        <f aca="false">C259+H259</f>
        <v>45925</v>
      </c>
      <c r="J259" s="5" t="n">
        <v>-4</v>
      </c>
      <c r="K259" s="9" t="n">
        <f aca="false">I259+J259</f>
        <v>45921</v>
      </c>
      <c r="L259" s="5" t="n">
        <v>1881</v>
      </c>
      <c r="M259" s="10" t="n">
        <f aca="false">INDEX(Dim_Supplier!$F$2:$F$21,MATCH(B259,Dim_Supplier!$A$2:$A$21,0))</f>
        <v>58</v>
      </c>
      <c r="N259" s="11" t="n">
        <v>0.0003</v>
      </c>
      <c r="O259" s="10" t="n">
        <f aca="false">M259*(1+N259)</f>
        <v>58.0174</v>
      </c>
      <c r="P259" s="10" t="n">
        <f aca="false">O259*L259</f>
        <v>109130.7294</v>
      </c>
      <c r="Q259" s="5" t="s">
        <v>113</v>
      </c>
      <c r="R259" s="5" t="n">
        <v>0</v>
      </c>
      <c r="S259" s="5" t="n">
        <v>45</v>
      </c>
      <c r="T259" s="12" t="n">
        <f aca="false">(O259-M259)/M259</f>
        <v>0.000299999999999913</v>
      </c>
      <c r="U259" s="8" t="n">
        <f aca="false">IF(AND(K259&lt;=I259,R259=0),1,0)</f>
        <v>1</v>
      </c>
      <c r="V259" s="10" t="n">
        <f aca="false">IF(Q259="No",P259,0)</f>
        <v>0</v>
      </c>
    </row>
    <row r="260" customFormat="false" ht="15" hidden="false" customHeight="false" outlineLevel="0" collapsed="false">
      <c r="A260" s="5" t="s">
        <v>394</v>
      </c>
      <c r="B260" s="5" t="s">
        <v>57</v>
      </c>
      <c r="C260" s="7" t="n">
        <v>46123</v>
      </c>
      <c r="D260" s="8" t="str">
        <f aca="false">INDEX(Dim_Supplier!$C$2:$C$21,MATCH(B260,Dim_Supplier!$A$2:$A$21,0))</f>
        <v>Packaging</v>
      </c>
      <c r="E260" s="8" t="str">
        <f aca="false">INDEX(Dim_Supplier!$B$2:$B$21,MATCH(B260,Dim_Supplier!$A$2:$A$21,0))</f>
        <v>Great Lakes Packaging Co.</v>
      </c>
      <c r="F260" s="5" t="s">
        <v>122</v>
      </c>
      <c r="G260" s="5" t="s">
        <v>129</v>
      </c>
      <c r="H260" s="8" t="n">
        <f aca="false">INDEX(Lookup_Tables!$B$2:$B$5,MATCH(D260,Lookup_Tables!$A$2:$A$5,0))</f>
        <v>14</v>
      </c>
      <c r="I260" s="9" t="n">
        <f aca="false">C260+H260</f>
        <v>46137</v>
      </c>
      <c r="J260" s="5" t="n">
        <v>-2</v>
      </c>
      <c r="K260" s="9" t="n">
        <f aca="false">I260+J260</f>
        <v>46135</v>
      </c>
      <c r="L260" s="5" t="n">
        <v>3408</v>
      </c>
      <c r="M260" s="10" t="n">
        <f aca="false">INDEX(Dim_Supplier!$F$2:$F$21,MATCH(B260,Dim_Supplier!$A$2:$A$21,0))</f>
        <v>4.35</v>
      </c>
      <c r="N260" s="11" t="n">
        <v>0.0196</v>
      </c>
      <c r="O260" s="10" t="n">
        <f aca="false">M260*(1+N260)</f>
        <v>4.43526</v>
      </c>
      <c r="P260" s="10" t="n">
        <f aca="false">O260*L260</f>
        <v>15115.36608</v>
      </c>
      <c r="Q260" s="5" t="s">
        <v>113</v>
      </c>
      <c r="R260" s="5" t="n">
        <v>0</v>
      </c>
      <c r="S260" s="5" t="n">
        <v>45</v>
      </c>
      <c r="T260" s="12" t="n">
        <f aca="false">(O260-M260)/M260</f>
        <v>0.0196</v>
      </c>
      <c r="U260" s="8" t="n">
        <f aca="false">IF(AND(K260&lt;=I260,R260=0),1,0)</f>
        <v>1</v>
      </c>
      <c r="V260" s="10" t="n">
        <f aca="false">IF(Q260="No",P260,0)</f>
        <v>0</v>
      </c>
    </row>
    <row r="261" customFormat="false" ht="15" hidden="false" customHeight="false" outlineLevel="0" collapsed="false">
      <c r="A261" s="5" t="s">
        <v>395</v>
      </c>
      <c r="B261" s="5" t="s">
        <v>73</v>
      </c>
      <c r="C261" s="7" t="n">
        <v>45954</v>
      </c>
      <c r="D261" s="8" t="str">
        <f aca="false">INDEX(Dim_Supplier!$C$2:$C$21,MATCH(B261,Dim_Supplier!$A$2:$A$21,0))</f>
        <v>MRO</v>
      </c>
      <c r="E261" s="8" t="str">
        <f aca="false">INDEX(Dim_Supplier!$B$2:$B$21,MATCH(B261,Dim_Supplier!$A$2:$A$21,0))</f>
        <v>Frontier MRO Solutions</v>
      </c>
      <c r="F261" s="5" t="s">
        <v>179</v>
      </c>
      <c r="G261" s="5" t="s">
        <v>120</v>
      </c>
      <c r="H261" s="8" t="n">
        <f aca="false">INDEX(Lookup_Tables!$B$2:$B$5,MATCH(D261,Lookup_Tables!$A$2:$A$5,0))</f>
        <v>10</v>
      </c>
      <c r="I261" s="9" t="n">
        <f aca="false">C261+H261</f>
        <v>45964</v>
      </c>
      <c r="J261" s="5" t="n">
        <v>7</v>
      </c>
      <c r="K261" s="9" t="n">
        <f aca="false">I261+J261</f>
        <v>45971</v>
      </c>
      <c r="L261" s="5" t="n">
        <v>7</v>
      </c>
      <c r="M261" s="10" t="n">
        <f aca="false">INDEX(Dim_Supplier!$F$2:$F$21,MATCH(B261,Dim_Supplier!$A$2:$A$21,0))</f>
        <v>15.9</v>
      </c>
      <c r="N261" s="11" t="n">
        <v>0.1455</v>
      </c>
      <c r="O261" s="10" t="n">
        <f aca="false">M261*(1+N261)</f>
        <v>18.21345</v>
      </c>
      <c r="P261" s="10" t="n">
        <f aca="false">O261*L261</f>
        <v>127.49415</v>
      </c>
      <c r="Q261" s="5" t="s">
        <v>113</v>
      </c>
      <c r="R261" s="5" t="n">
        <v>0</v>
      </c>
      <c r="S261" s="5" t="n">
        <v>45</v>
      </c>
      <c r="T261" s="12" t="n">
        <f aca="false">(O261-M261)/M261</f>
        <v>0.1455</v>
      </c>
      <c r="U261" s="8" t="n">
        <f aca="false">IF(AND(K261&lt;=I261,R261=0),1,0)</f>
        <v>0</v>
      </c>
      <c r="V261" s="10" t="n">
        <f aca="false">IF(Q261="No",P261,0)</f>
        <v>0</v>
      </c>
    </row>
    <row r="262" customFormat="false" ht="15" hidden="false" customHeight="false" outlineLevel="0" collapsed="false">
      <c r="A262" s="5" t="s">
        <v>396</v>
      </c>
      <c r="B262" s="5" t="s">
        <v>68</v>
      </c>
      <c r="C262" s="7" t="n">
        <v>45996</v>
      </c>
      <c r="D262" s="8" t="str">
        <f aca="false">INDEX(Dim_Supplier!$C$2:$C$21,MATCH(B262,Dim_Supplier!$A$2:$A$21,0))</f>
        <v>MRO</v>
      </c>
      <c r="E262" s="8" t="str">
        <f aca="false">INDEX(Dim_Supplier!$B$2:$B$21,MATCH(B262,Dim_Supplier!$A$2:$A$21,0))</f>
        <v>Precision Tool &amp; Supply</v>
      </c>
      <c r="F262" s="5" t="s">
        <v>132</v>
      </c>
      <c r="G262" s="5" t="s">
        <v>112</v>
      </c>
      <c r="H262" s="8" t="n">
        <f aca="false">INDEX(Lookup_Tables!$B$2:$B$5,MATCH(D262,Lookup_Tables!$A$2:$A$5,0))</f>
        <v>10</v>
      </c>
      <c r="I262" s="9" t="n">
        <f aca="false">C262+H262</f>
        <v>46006</v>
      </c>
      <c r="J262" s="5" t="n">
        <v>-4</v>
      </c>
      <c r="K262" s="9" t="n">
        <f aca="false">I262+J262</f>
        <v>46002</v>
      </c>
      <c r="L262" s="5" t="n">
        <v>178</v>
      </c>
      <c r="M262" s="10" t="n">
        <f aca="false">INDEX(Dim_Supplier!$F$2:$F$21,MATCH(B262,Dim_Supplier!$A$2:$A$21,0))</f>
        <v>22.4</v>
      </c>
      <c r="N262" s="11" t="n">
        <v>0.0167</v>
      </c>
      <c r="O262" s="10" t="n">
        <f aca="false">M262*(1+N262)</f>
        <v>22.77408</v>
      </c>
      <c r="P262" s="10" t="n">
        <f aca="false">O262*L262</f>
        <v>4053.78624</v>
      </c>
      <c r="Q262" s="5" t="s">
        <v>113</v>
      </c>
      <c r="R262" s="5" t="n">
        <v>0</v>
      </c>
      <c r="S262" s="5" t="n">
        <v>30</v>
      </c>
      <c r="T262" s="12" t="n">
        <f aca="false">(O262-M262)/M262</f>
        <v>0.0167</v>
      </c>
      <c r="U262" s="8" t="n">
        <f aca="false">IF(AND(K262&lt;=I262,R262=0),1,0)</f>
        <v>1</v>
      </c>
      <c r="V262" s="10" t="n">
        <f aca="false">IF(Q262="No",P262,0)</f>
        <v>0</v>
      </c>
    </row>
    <row r="263" customFormat="false" ht="15" hidden="false" customHeight="false" outlineLevel="0" collapsed="false">
      <c r="A263" s="5" t="s">
        <v>397</v>
      </c>
      <c r="B263" s="5" t="s">
        <v>41</v>
      </c>
      <c r="C263" s="7" t="n">
        <v>45399</v>
      </c>
      <c r="D263" s="8" t="str">
        <f aca="false">INDEX(Dim_Supplier!$C$2:$C$21,MATCH(B263,Dim_Supplier!$A$2:$A$21,0))</f>
        <v>Raw Materials</v>
      </c>
      <c r="E263" s="8" t="str">
        <f aca="false">INDEX(Dim_Supplier!$B$2:$B$21,MATCH(B263,Dim_Supplier!$A$2:$A$21,0))</f>
        <v>Ontario Steel Partners</v>
      </c>
      <c r="F263" s="5" t="s">
        <v>139</v>
      </c>
      <c r="G263" s="5" t="s">
        <v>125</v>
      </c>
      <c r="H263" s="8" t="n">
        <f aca="false">INDEX(Lookup_Tables!$B$2:$B$5,MATCH(D263,Lookup_Tables!$A$2:$A$5,0))</f>
        <v>21</v>
      </c>
      <c r="I263" s="9" t="n">
        <f aca="false">C263+H263</f>
        <v>45420</v>
      </c>
      <c r="J263" s="5" t="n">
        <v>-2</v>
      </c>
      <c r="K263" s="9" t="n">
        <f aca="false">I263+J263</f>
        <v>45418</v>
      </c>
      <c r="L263" s="5" t="n">
        <v>1802</v>
      </c>
      <c r="M263" s="10" t="n">
        <f aca="false">INDEX(Dim_Supplier!$F$2:$F$21,MATCH(B263,Dim_Supplier!$A$2:$A$21,0))</f>
        <v>58</v>
      </c>
      <c r="N263" s="11" t="n">
        <v>0.0059</v>
      </c>
      <c r="O263" s="10" t="n">
        <f aca="false">M263*(1+N263)</f>
        <v>58.3422</v>
      </c>
      <c r="P263" s="10" t="n">
        <f aca="false">O263*L263</f>
        <v>105132.6444</v>
      </c>
      <c r="Q263" s="5" t="s">
        <v>113</v>
      </c>
      <c r="R263" s="5" t="n">
        <v>0</v>
      </c>
      <c r="S263" s="5" t="n">
        <v>30</v>
      </c>
      <c r="T263" s="12" t="n">
        <f aca="false">(O263-M263)/M263</f>
        <v>0.00589999999999997</v>
      </c>
      <c r="U263" s="8" t="n">
        <f aca="false">IF(AND(K263&lt;=I263,R263=0),1,0)</f>
        <v>1</v>
      </c>
      <c r="V263" s="10" t="n">
        <f aca="false">IF(Q263="No",P263,0)</f>
        <v>0</v>
      </c>
    </row>
    <row r="264" customFormat="false" ht="15" hidden="false" customHeight="false" outlineLevel="0" collapsed="false">
      <c r="A264" s="5" t="s">
        <v>398</v>
      </c>
      <c r="B264" s="5" t="s">
        <v>62</v>
      </c>
      <c r="C264" s="7" t="n">
        <v>45503</v>
      </c>
      <c r="D264" s="8" t="str">
        <f aca="false">INDEX(Dim_Supplier!$C$2:$C$21,MATCH(B264,Dim_Supplier!$A$2:$A$21,0))</f>
        <v>Packaging</v>
      </c>
      <c r="E264" s="8" t="str">
        <f aca="false">INDEX(Dim_Supplier!$B$2:$B$21,MATCH(B264,Dim_Supplier!$A$2:$A$21,0))</f>
        <v>Trillium Packaging Solutions</v>
      </c>
      <c r="F264" s="5" t="s">
        <v>122</v>
      </c>
      <c r="G264" s="5" t="s">
        <v>125</v>
      </c>
      <c r="H264" s="8" t="n">
        <f aca="false">INDEX(Lookup_Tables!$B$2:$B$5,MATCH(D264,Lookup_Tables!$A$2:$A$5,0))</f>
        <v>14</v>
      </c>
      <c r="I264" s="9" t="n">
        <f aca="false">C264+H264</f>
        <v>45517</v>
      </c>
      <c r="J264" s="5" t="n">
        <v>-4</v>
      </c>
      <c r="K264" s="9" t="n">
        <f aca="false">I264+J264</f>
        <v>45513</v>
      </c>
      <c r="L264" s="5" t="n">
        <v>4206</v>
      </c>
      <c r="M264" s="10" t="n">
        <f aca="false">INDEX(Dim_Supplier!$F$2:$F$21,MATCH(B264,Dim_Supplier!$A$2:$A$21,0))</f>
        <v>5.6</v>
      </c>
      <c r="N264" s="11" t="n">
        <v>0.0274</v>
      </c>
      <c r="O264" s="10" t="n">
        <f aca="false">M264*(1+N264)</f>
        <v>5.75344</v>
      </c>
      <c r="P264" s="10" t="n">
        <f aca="false">O264*L264</f>
        <v>24198.96864</v>
      </c>
      <c r="Q264" s="5" t="s">
        <v>113</v>
      </c>
      <c r="R264" s="5" t="n">
        <v>0</v>
      </c>
      <c r="S264" s="5" t="n">
        <v>60</v>
      </c>
      <c r="T264" s="12" t="n">
        <f aca="false">(O264-M264)/M264</f>
        <v>0.0274000000000001</v>
      </c>
      <c r="U264" s="8" t="n">
        <f aca="false">IF(AND(K264&lt;=I264,R264=0),1,0)</f>
        <v>1</v>
      </c>
      <c r="V264" s="10" t="n">
        <f aca="false">IF(Q264="No",P264,0)</f>
        <v>0</v>
      </c>
    </row>
    <row r="265" customFormat="false" ht="15" hidden="false" customHeight="false" outlineLevel="0" collapsed="false">
      <c r="A265" s="5" t="s">
        <v>399</v>
      </c>
      <c r="B265" s="5" t="s">
        <v>46</v>
      </c>
      <c r="C265" s="7" t="n">
        <v>46161</v>
      </c>
      <c r="D265" s="8" t="str">
        <f aca="false">INDEX(Dim_Supplier!$C$2:$C$21,MATCH(B265,Dim_Supplier!$A$2:$A$21,0))</f>
        <v>Raw Materials</v>
      </c>
      <c r="E265" s="8" t="str">
        <f aca="false">INDEX(Dim_Supplier!$B$2:$B$21,MATCH(B265,Dim_Supplier!$A$2:$A$21,0))</f>
        <v>Niagara Alloy Supply</v>
      </c>
      <c r="F265" s="5" t="s">
        <v>139</v>
      </c>
      <c r="G265" s="5" t="s">
        <v>129</v>
      </c>
      <c r="H265" s="8" t="n">
        <f aca="false">INDEX(Lookup_Tables!$B$2:$B$5,MATCH(D265,Lookup_Tables!$A$2:$A$5,0))</f>
        <v>21</v>
      </c>
      <c r="I265" s="9" t="n">
        <f aca="false">C265+H265</f>
        <v>46182</v>
      </c>
      <c r="J265" s="5" t="n">
        <v>-2</v>
      </c>
      <c r="K265" s="9" t="n">
        <f aca="false">I265+J265</f>
        <v>46180</v>
      </c>
      <c r="L265" s="5" t="n">
        <v>1616</v>
      </c>
      <c r="M265" s="10" t="n">
        <f aca="false">INDEX(Dim_Supplier!$F$2:$F$21,MATCH(B265,Dim_Supplier!$A$2:$A$21,0))</f>
        <v>46.5</v>
      </c>
      <c r="N265" s="11" t="n">
        <v>0.0192</v>
      </c>
      <c r="O265" s="10" t="n">
        <f aca="false">M265*(1+N265)</f>
        <v>47.3928</v>
      </c>
      <c r="P265" s="10" t="n">
        <f aca="false">O265*L265</f>
        <v>76586.7648</v>
      </c>
      <c r="Q265" s="5" t="s">
        <v>113</v>
      </c>
      <c r="R265" s="5" t="n">
        <v>0</v>
      </c>
      <c r="S265" s="5" t="n">
        <v>30</v>
      </c>
      <c r="T265" s="12" t="n">
        <f aca="false">(O265-M265)/M265</f>
        <v>0.0192000000000002</v>
      </c>
      <c r="U265" s="8" t="n">
        <f aca="false">IF(AND(K265&lt;=I265,R265=0),1,0)</f>
        <v>1</v>
      </c>
      <c r="V265" s="10" t="n">
        <f aca="false">IF(Q265="No",P265,0)</f>
        <v>0</v>
      </c>
    </row>
    <row r="266" customFormat="false" ht="15" hidden="false" customHeight="false" outlineLevel="0" collapsed="false">
      <c r="A266" s="5" t="s">
        <v>400</v>
      </c>
      <c r="B266" s="5" t="s">
        <v>68</v>
      </c>
      <c r="C266" s="7" t="n">
        <v>45765</v>
      </c>
      <c r="D266" s="8" t="str">
        <f aca="false">INDEX(Dim_Supplier!$C$2:$C$21,MATCH(B266,Dim_Supplier!$A$2:$A$21,0))</f>
        <v>MRO</v>
      </c>
      <c r="E266" s="8" t="str">
        <f aca="false">INDEX(Dim_Supplier!$B$2:$B$21,MATCH(B266,Dim_Supplier!$A$2:$A$21,0))</f>
        <v>Precision Tool &amp; Supply</v>
      </c>
      <c r="F266" s="5" t="s">
        <v>164</v>
      </c>
      <c r="G266" s="5" t="s">
        <v>125</v>
      </c>
      <c r="H266" s="8" t="n">
        <f aca="false">INDEX(Lookup_Tables!$B$2:$B$5,MATCH(D266,Lookup_Tables!$A$2:$A$5,0))</f>
        <v>10</v>
      </c>
      <c r="I266" s="9" t="n">
        <f aca="false">C266+H266</f>
        <v>45775</v>
      </c>
      <c r="J266" s="5" t="n">
        <v>-4</v>
      </c>
      <c r="K266" s="9" t="n">
        <f aca="false">I266+J266</f>
        <v>45771</v>
      </c>
      <c r="L266" s="5" t="n">
        <v>173</v>
      </c>
      <c r="M266" s="10" t="n">
        <f aca="false">INDEX(Dim_Supplier!$F$2:$F$21,MATCH(B266,Dim_Supplier!$A$2:$A$21,0))</f>
        <v>22.4</v>
      </c>
      <c r="N266" s="11" t="n">
        <v>0.0006</v>
      </c>
      <c r="O266" s="10" t="n">
        <f aca="false">M266*(1+N266)</f>
        <v>22.41344</v>
      </c>
      <c r="P266" s="10" t="n">
        <f aca="false">O266*L266</f>
        <v>3877.52512</v>
      </c>
      <c r="Q266" s="5" t="s">
        <v>113</v>
      </c>
      <c r="R266" s="5" t="n">
        <v>0</v>
      </c>
      <c r="S266" s="5" t="n">
        <v>45</v>
      </c>
      <c r="T266" s="12" t="n">
        <f aca="false">(O266-M266)/M266</f>
        <v>0.000599999999999966</v>
      </c>
      <c r="U266" s="8" t="n">
        <f aca="false">IF(AND(K266&lt;=I266,R266=0),1,0)</f>
        <v>1</v>
      </c>
      <c r="V266" s="10" t="n">
        <f aca="false">IF(Q266="No",P266,0)</f>
        <v>0</v>
      </c>
    </row>
    <row r="267" customFormat="false" ht="15" hidden="false" customHeight="false" outlineLevel="0" collapsed="false">
      <c r="A267" s="5" t="s">
        <v>401</v>
      </c>
      <c r="B267" s="5" t="s">
        <v>52</v>
      </c>
      <c r="C267" s="7" t="n">
        <v>45898</v>
      </c>
      <c r="D267" s="8" t="str">
        <f aca="false">INDEX(Dim_Supplier!$C$2:$C$21,MATCH(B267,Dim_Supplier!$A$2:$A$21,0))</f>
        <v>Raw Materials</v>
      </c>
      <c r="E267" s="8" t="str">
        <f aca="false">INDEX(Dim_Supplier!$B$2:$B$21,MATCH(B267,Dim_Supplier!$A$2:$A$21,0))</f>
        <v>Laurentian Metals Inc.</v>
      </c>
      <c r="F267" s="5" t="s">
        <v>142</v>
      </c>
      <c r="G267" s="5" t="s">
        <v>125</v>
      </c>
      <c r="H267" s="8" t="n">
        <f aca="false">INDEX(Lookup_Tables!$B$2:$B$5,MATCH(D267,Lookup_Tables!$A$2:$A$5,0))</f>
        <v>21</v>
      </c>
      <c r="I267" s="9" t="n">
        <f aca="false">C267+H267</f>
        <v>45919</v>
      </c>
      <c r="J267" s="5" t="n">
        <v>-2</v>
      </c>
      <c r="K267" s="9" t="n">
        <f aca="false">I267+J267</f>
        <v>45917</v>
      </c>
      <c r="L267" s="5" t="n">
        <v>670</v>
      </c>
      <c r="M267" s="10" t="n">
        <f aca="false">INDEX(Dim_Supplier!$F$2:$F$21,MATCH(B267,Dim_Supplier!$A$2:$A$21,0))</f>
        <v>61.2</v>
      </c>
      <c r="N267" s="11" t="n">
        <v>0.0204</v>
      </c>
      <c r="O267" s="10" t="n">
        <f aca="false">M267*(1+N267)</f>
        <v>62.44848</v>
      </c>
      <c r="P267" s="10" t="n">
        <f aca="false">O267*L267</f>
        <v>41840.4816</v>
      </c>
      <c r="Q267" s="5" t="s">
        <v>113</v>
      </c>
      <c r="R267" s="5" t="n">
        <v>0</v>
      </c>
      <c r="S267" s="5" t="n">
        <v>30</v>
      </c>
      <c r="T267" s="12" t="n">
        <f aca="false">(O267-M267)/M267</f>
        <v>0.0204</v>
      </c>
      <c r="U267" s="8" t="n">
        <f aca="false">IF(AND(K267&lt;=I267,R267=0),1,0)</f>
        <v>1</v>
      </c>
      <c r="V267" s="10" t="n">
        <f aca="false">IF(Q267="No",P267,0)</f>
        <v>0</v>
      </c>
    </row>
    <row r="268" customFormat="false" ht="15" hidden="false" customHeight="false" outlineLevel="0" collapsed="false">
      <c r="A268" s="5" t="s">
        <v>402</v>
      </c>
      <c r="B268" s="5" t="s">
        <v>46</v>
      </c>
      <c r="C268" s="7" t="n">
        <v>46184</v>
      </c>
      <c r="D268" s="8" t="str">
        <f aca="false">INDEX(Dim_Supplier!$C$2:$C$21,MATCH(B268,Dim_Supplier!$A$2:$A$21,0))</f>
        <v>Raw Materials</v>
      </c>
      <c r="E268" s="8" t="str">
        <f aca="false">INDEX(Dim_Supplier!$B$2:$B$21,MATCH(B268,Dim_Supplier!$A$2:$A$21,0))</f>
        <v>Niagara Alloy Supply</v>
      </c>
      <c r="F268" s="5" t="s">
        <v>144</v>
      </c>
      <c r="G268" s="5" t="s">
        <v>112</v>
      </c>
      <c r="H268" s="8" t="n">
        <f aca="false">INDEX(Lookup_Tables!$B$2:$B$5,MATCH(D268,Lookup_Tables!$A$2:$A$5,0))</f>
        <v>21</v>
      </c>
      <c r="I268" s="9" t="n">
        <f aca="false">C268+H268</f>
        <v>46205</v>
      </c>
      <c r="J268" s="5" t="n">
        <v>-2</v>
      </c>
      <c r="K268" s="9" t="n">
        <f aca="false">I268+J268</f>
        <v>46203</v>
      </c>
      <c r="L268" s="5" t="n">
        <v>333</v>
      </c>
      <c r="M268" s="10" t="n">
        <f aca="false">INDEX(Dim_Supplier!$F$2:$F$21,MATCH(B268,Dim_Supplier!$A$2:$A$21,0))</f>
        <v>46.5</v>
      </c>
      <c r="N268" s="11" t="n">
        <v>0.0399</v>
      </c>
      <c r="O268" s="10" t="n">
        <f aca="false">M268*(1+N268)</f>
        <v>48.35535</v>
      </c>
      <c r="P268" s="10" t="n">
        <f aca="false">O268*L268</f>
        <v>16102.33155</v>
      </c>
      <c r="Q268" s="5" t="s">
        <v>113</v>
      </c>
      <c r="R268" s="5" t="n">
        <v>0</v>
      </c>
      <c r="S268" s="5" t="n">
        <v>45</v>
      </c>
      <c r="T268" s="12" t="n">
        <f aca="false">(O268-M268)/M268</f>
        <v>0.0399</v>
      </c>
      <c r="U268" s="8" t="n">
        <f aca="false">IF(AND(K268&lt;=I268,R268=0),1,0)</f>
        <v>1</v>
      </c>
      <c r="V268" s="10" t="n">
        <f aca="false">IF(Q268="No",P268,0)</f>
        <v>0</v>
      </c>
    </row>
    <row r="269" customFormat="false" ht="15" hidden="false" customHeight="false" outlineLevel="0" collapsed="false">
      <c r="A269" s="5" t="s">
        <v>403</v>
      </c>
      <c r="B269" s="5" t="s">
        <v>71</v>
      </c>
      <c r="C269" s="7" t="n">
        <v>45903</v>
      </c>
      <c r="D269" s="8" t="str">
        <f aca="false">INDEX(Dim_Supplier!$C$2:$C$21,MATCH(B269,Dim_Supplier!$A$2:$A$21,0))</f>
        <v>MRO</v>
      </c>
      <c r="E269" s="8" t="str">
        <f aca="false">INDEX(Dim_Supplier!$B$2:$B$21,MATCH(B269,Dim_Supplier!$A$2:$A$21,0))</f>
        <v>CanSafe Equipment Ltd.</v>
      </c>
      <c r="F269" s="5" t="s">
        <v>179</v>
      </c>
      <c r="G269" s="5" t="s">
        <v>125</v>
      </c>
      <c r="H269" s="8" t="n">
        <f aca="false">INDEX(Lookup_Tables!$B$2:$B$5,MATCH(D269,Lookup_Tables!$A$2:$A$5,0))</f>
        <v>10</v>
      </c>
      <c r="I269" s="9" t="n">
        <f aca="false">C269+H269</f>
        <v>45913</v>
      </c>
      <c r="J269" s="5" t="n">
        <v>-3</v>
      </c>
      <c r="K269" s="9" t="n">
        <f aca="false">I269+J269</f>
        <v>45910</v>
      </c>
      <c r="L269" s="5" t="n">
        <v>122</v>
      </c>
      <c r="M269" s="10" t="n">
        <f aca="false">INDEX(Dim_Supplier!$F$2:$F$21,MATCH(B269,Dim_Supplier!$A$2:$A$21,0))</f>
        <v>18.75</v>
      </c>
      <c r="N269" s="11" t="n">
        <v>0.0204</v>
      </c>
      <c r="O269" s="10" t="n">
        <f aca="false">M269*(1+N269)</f>
        <v>19.1325</v>
      </c>
      <c r="P269" s="10" t="n">
        <f aca="false">O269*L269</f>
        <v>2334.165</v>
      </c>
      <c r="Q269" s="5" t="s">
        <v>113</v>
      </c>
      <c r="R269" s="5" t="n">
        <v>0</v>
      </c>
      <c r="S269" s="5" t="n">
        <v>45</v>
      </c>
      <c r="T269" s="12" t="n">
        <f aca="false">(O269-M269)/M269</f>
        <v>0.0204</v>
      </c>
      <c r="U269" s="8" t="n">
        <f aca="false">IF(AND(K269&lt;=I269,R269=0),1,0)</f>
        <v>1</v>
      </c>
      <c r="V269" s="10" t="n">
        <f aca="false">IF(Q269="No",P269,0)</f>
        <v>0</v>
      </c>
    </row>
    <row r="270" customFormat="false" ht="15" hidden="false" customHeight="false" outlineLevel="0" collapsed="false">
      <c r="A270" s="5" t="s">
        <v>404</v>
      </c>
      <c r="B270" s="5" t="s">
        <v>57</v>
      </c>
      <c r="C270" s="7" t="n">
        <v>45921</v>
      </c>
      <c r="D270" s="8" t="str">
        <f aca="false">INDEX(Dim_Supplier!$C$2:$C$21,MATCH(B270,Dim_Supplier!$A$2:$A$21,0))</f>
        <v>Packaging</v>
      </c>
      <c r="E270" s="8" t="str">
        <f aca="false">INDEX(Dim_Supplier!$B$2:$B$21,MATCH(B270,Dim_Supplier!$A$2:$A$21,0))</f>
        <v>Great Lakes Packaging Co.</v>
      </c>
      <c r="F270" s="5" t="s">
        <v>122</v>
      </c>
      <c r="G270" s="5" t="s">
        <v>129</v>
      </c>
      <c r="H270" s="8" t="n">
        <f aca="false">INDEX(Lookup_Tables!$B$2:$B$5,MATCH(D270,Lookup_Tables!$A$2:$A$5,0))</f>
        <v>14</v>
      </c>
      <c r="I270" s="9" t="n">
        <f aca="false">C270+H270</f>
        <v>45935</v>
      </c>
      <c r="J270" s="5" t="n">
        <v>-4</v>
      </c>
      <c r="K270" s="9" t="n">
        <f aca="false">I270+J270</f>
        <v>45931</v>
      </c>
      <c r="L270" s="5" t="n">
        <v>2454</v>
      </c>
      <c r="M270" s="10" t="n">
        <f aca="false">INDEX(Dim_Supplier!$F$2:$F$21,MATCH(B270,Dim_Supplier!$A$2:$A$21,0))</f>
        <v>4.35</v>
      </c>
      <c r="N270" s="11" t="n">
        <v>-0.0053</v>
      </c>
      <c r="O270" s="10" t="n">
        <f aca="false">M270*(1+N270)</f>
        <v>4.326945</v>
      </c>
      <c r="P270" s="10" t="n">
        <f aca="false">O270*L270</f>
        <v>10618.32303</v>
      </c>
      <c r="Q270" s="5" t="s">
        <v>113</v>
      </c>
      <c r="R270" s="5" t="n">
        <v>0</v>
      </c>
      <c r="S270" s="5" t="n">
        <v>45</v>
      </c>
      <c r="T270" s="12" t="n">
        <f aca="false">(O270-M270)/M270</f>
        <v>-0.00530000000000006</v>
      </c>
      <c r="U270" s="8" t="n">
        <f aca="false">IF(AND(K270&lt;=I270,R270=0),1,0)</f>
        <v>1</v>
      </c>
      <c r="V270" s="10" t="n">
        <f aca="false">IF(Q270="No",P270,0)</f>
        <v>0</v>
      </c>
    </row>
    <row r="271" customFormat="false" ht="15" hidden="false" customHeight="false" outlineLevel="0" collapsed="false">
      <c r="A271" s="5" t="s">
        <v>405</v>
      </c>
      <c r="B271" s="5" t="s">
        <v>66</v>
      </c>
      <c r="C271" s="7" t="n">
        <v>45720</v>
      </c>
      <c r="D271" s="8" t="str">
        <f aca="false">INDEX(Dim_Supplier!$C$2:$C$21,MATCH(B271,Dim_Supplier!$A$2:$A$21,0))</f>
        <v>Packaging</v>
      </c>
      <c r="E271" s="8" t="str">
        <f aca="false">INDEX(Dim_Supplier!$B$2:$B$21,MATCH(B271,Dim_Supplier!$A$2:$A$21,0))</f>
        <v>EverGreen Wrap Industries</v>
      </c>
      <c r="F271" s="5" t="s">
        <v>122</v>
      </c>
      <c r="G271" s="5" t="s">
        <v>112</v>
      </c>
      <c r="H271" s="8" t="n">
        <f aca="false">INDEX(Lookup_Tables!$B$2:$B$5,MATCH(D271,Lookup_Tables!$A$2:$A$5,0))</f>
        <v>14</v>
      </c>
      <c r="I271" s="9" t="n">
        <f aca="false">C271+H271</f>
        <v>45734</v>
      </c>
      <c r="J271" s="5" t="n">
        <v>-3</v>
      </c>
      <c r="K271" s="9" t="n">
        <f aca="false">I271+J271</f>
        <v>45731</v>
      </c>
      <c r="L271" s="5" t="n">
        <v>4486</v>
      </c>
      <c r="M271" s="10" t="n">
        <f aca="false">INDEX(Dim_Supplier!$F$2:$F$21,MATCH(B271,Dim_Supplier!$A$2:$A$21,0))</f>
        <v>6.8</v>
      </c>
      <c r="N271" s="11" t="n">
        <v>0.0505</v>
      </c>
      <c r="O271" s="10" t="n">
        <f aca="false">M271*(1+N271)</f>
        <v>7.1434</v>
      </c>
      <c r="P271" s="10" t="n">
        <f aca="false">O271*L271</f>
        <v>32045.2924</v>
      </c>
      <c r="Q271" s="5" t="s">
        <v>113</v>
      </c>
      <c r="R271" s="5" t="n">
        <v>0</v>
      </c>
      <c r="S271" s="5" t="n">
        <v>45</v>
      </c>
      <c r="T271" s="12" t="n">
        <f aca="false">(O271-M271)/M271</f>
        <v>0.0505</v>
      </c>
      <c r="U271" s="8" t="n">
        <f aca="false">IF(AND(K271&lt;=I271,R271=0),1,0)</f>
        <v>1</v>
      </c>
      <c r="V271" s="10" t="n">
        <f aca="false">IF(Q271="No",P271,0)</f>
        <v>0</v>
      </c>
    </row>
    <row r="272" customFormat="false" ht="15" hidden="false" customHeight="false" outlineLevel="0" collapsed="false">
      <c r="A272" s="5" t="s">
        <v>406</v>
      </c>
      <c r="B272" s="5" t="s">
        <v>88</v>
      </c>
      <c r="C272" s="7" t="n">
        <v>45860</v>
      </c>
      <c r="D272" s="8" t="str">
        <f aca="false">INDEX(Dim_Supplier!$C$2:$C$21,MATCH(B272,Dim_Supplier!$A$2:$A$21,0))</f>
        <v>Logistics</v>
      </c>
      <c r="E272" s="8" t="str">
        <f aca="false">INDEX(Dim_Supplier!$B$2:$B$21,MATCH(B272,Dim_Supplier!$A$2:$A$21,0))</f>
        <v>Summit Last-Mile Delivery</v>
      </c>
      <c r="F272" s="5" t="s">
        <v>154</v>
      </c>
      <c r="G272" s="5" t="s">
        <v>125</v>
      </c>
      <c r="H272" s="8" t="n">
        <f aca="false">INDEX(Lookup_Tables!$B$2:$B$5,MATCH(D272,Lookup_Tables!$A$2:$A$5,0))</f>
        <v>5</v>
      </c>
      <c r="I272" s="9" t="n">
        <f aca="false">C272+H272</f>
        <v>45865</v>
      </c>
      <c r="J272" s="5" t="n">
        <v>-1</v>
      </c>
      <c r="K272" s="9" t="n">
        <f aca="false">I272+J272</f>
        <v>45864</v>
      </c>
      <c r="L272" s="5" t="n">
        <v>29</v>
      </c>
      <c r="M272" s="10" t="n">
        <f aca="false">INDEX(Dim_Supplier!$F$2:$F$21,MATCH(B272,Dim_Supplier!$A$2:$A$21,0))</f>
        <v>95</v>
      </c>
      <c r="N272" s="11" t="n">
        <v>0.0525</v>
      </c>
      <c r="O272" s="10" t="n">
        <f aca="false">M272*(1+N272)</f>
        <v>99.9875</v>
      </c>
      <c r="P272" s="10" t="n">
        <f aca="false">O272*L272</f>
        <v>2899.6375</v>
      </c>
      <c r="Q272" s="5" t="s">
        <v>113</v>
      </c>
      <c r="R272" s="5" t="n">
        <v>0</v>
      </c>
      <c r="S272" s="5" t="n">
        <v>60</v>
      </c>
      <c r="T272" s="12" t="n">
        <f aca="false">(O272-M272)/M272</f>
        <v>0.0525</v>
      </c>
      <c r="U272" s="8" t="n">
        <f aca="false">IF(AND(K272&lt;=I272,R272=0),1,0)</f>
        <v>1</v>
      </c>
      <c r="V272" s="10" t="n">
        <f aca="false">IF(Q272="No",P272,0)</f>
        <v>0</v>
      </c>
    </row>
    <row r="273" customFormat="false" ht="15" hidden="false" customHeight="false" outlineLevel="0" collapsed="false">
      <c r="A273" s="5" t="s">
        <v>407</v>
      </c>
      <c r="B273" s="5" t="s">
        <v>64</v>
      </c>
      <c r="C273" s="7" t="n">
        <v>45491</v>
      </c>
      <c r="D273" s="8" t="str">
        <f aca="false">INDEX(Dim_Supplier!$C$2:$C$21,MATCH(B273,Dim_Supplier!$A$2:$A$21,0))</f>
        <v>Packaging</v>
      </c>
      <c r="E273" s="8" t="str">
        <f aca="false">INDEX(Dim_Supplier!$B$2:$B$21,MATCH(B273,Dim_Supplier!$A$2:$A$21,0))</f>
        <v>Huron Pallet Works</v>
      </c>
      <c r="F273" s="5" t="s">
        <v>137</v>
      </c>
      <c r="G273" s="5" t="s">
        <v>125</v>
      </c>
      <c r="H273" s="8" t="n">
        <f aca="false">INDEX(Lookup_Tables!$B$2:$B$5,MATCH(D273,Lookup_Tables!$A$2:$A$5,0))</f>
        <v>14</v>
      </c>
      <c r="I273" s="9" t="n">
        <f aca="false">C273+H273</f>
        <v>45505</v>
      </c>
      <c r="J273" s="5" t="n">
        <v>3</v>
      </c>
      <c r="K273" s="9" t="n">
        <f aca="false">I273+J273</f>
        <v>45508</v>
      </c>
      <c r="L273" s="5" t="n">
        <v>4136</v>
      </c>
      <c r="M273" s="10" t="n">
        <f aca="false">INDEX(Dim_Supplier!$F$2:$F$21,MATCH(B273,Dim_Supplier!$A$2:$A$21,0))</f>
        <v>2.25</v>
      </c>
      <c r="N273" s="11" t="n">
        <v>0.1526</v>
      </c>
      <c r="O273" s="10" t="n">
        <f aca="false">M273*(1+N273)</f>
        <v>2.59335</v>
      </c>
      <c r="P273" s="10" t="n">
        <f aca="false">O273*L273</f>
        <v>10726.0956</v>
      </c>
      <c r="Q273" s="5" t="s">
        <v>133</v>
      </c>
      <c r="R273" s="5" t="n">
        <v>0</v>
      </c>
      <c r="S273" s="5" t="n">
        <v>30</v>
      </c>
      <c r="T273" s="12" t="n">
        <f aca="false">(O273-M273)/M273</f>
        <v>0.1526</v>
      </c>
      <c r="U273" s="8" t="n">
        <f aca="false">IF(AND(K273&lt;=I273,R273=0),1,0)</f>
        <v>0</v>
      </c>
      <c r="V273" s="10" t="n">
        <f aca="false">IF(Q273="No",P273,0)</f>
        <v>10726.0956</v>
      </c>
    </row>
    <row r="274" customFormat="false" ht="15" hidden="false" customHeight="false" outlineLevel="0" collapsed="false">
      <c r="A274" s="5" t="s">
        <v>408</v>
      </c>
      <c r="B274" s="5" t="s">
        <v>79</v>
      </c>
      <c r="C274" s="7" t="n">
        <v>45591</v>
      </c>
      <c r="D274" s="8" t="str">
        <f aca="false">INDEX(Dim_Supplier!$C$2:$C$21,MATCH(B274,Dim_Supplier!$A$2:$A$21,0))</f>
        <v>Logistics</v>
      </c>
      <c r="E274" s="8" t="str">
        <f aca="false">INDEX(Dim_Supplier!$B$2:$B$21,MATCH(B274,Dim_Supplier!$A$2:$A$21,0))</f>
        <v>Niagara Freight Solutions</v>
      </c>
      <c r="F274" s="5" t="s">
        <v>124</v>
      </c>
      <c r="G274" s="5" t="s">
        <v>120</v>
      </c>
      <c r="H274" s="8" t="n">
        <f aca="false">INDEX(Lookup_Tables!$B$2:$B$5,MATCH(D274,Lookup_Tables!$A$2:$A$5,0))</f>
        <v>5</v>
      </c>
      <c r="I274" s="9" t="n">
        <f aca="false">C274+H274</f>
        <v>45596</v>
      </c>
      <c r="J274" s="5" t="n">
        <v>-2</v>
      </c>
      <c r="K274" s="9" t="n">
        <f aca="false">I274+J274</f>
        <v>45594</v>
      </c>
      <c r="L274" s="5" t="n">
        <v>50</v>
      </c>
      <c r="M274" s="10" t="n">
        <f aca="false">INDEX(Dim_Supplier!$F$2:$F$21,MATCH(B274,Dim_Supplier!$A$2:$A$21,0))</f>
        <v>340</v>
      </c>
      <c r="N274" s="11" t="n">
        <v>0.0263</v>
      </c>
      <c r="O274" s="10" t="n">
        <f aca="false">M274*(1+N274)</f>
        <v>348.942</v>
      </c>
      <c r="P274" s="10" t="n">
        <f aca="false">O274*L274</f>
        <v>17447.1</v>
      </c>
      <c r="Q274" s="5" t="s">
        <v>113</v>
      </c>
      <c r="R274" s="5" t="n">
        <v>0</v>
      </c>
      <c r="S274" s="5" t="n">
        <v>45</v>
      </c>
      <c r="T274" s="12" t="n">
        <f aca="false">(O274-M274)/M274</f>
        <v>0.0263</v>
      </c>
      <c r="U274" s="8" t="n">
        <f aca="false">IF(AND(K274&lt;=I274,R274=0),1,0)</f>
        <v>1</v>
      </c>
      <c r="V274" s="10" t="n">
        <f aca="false">IF(Q274="No",P274,0)</f>
        <v>0</v>
      </c>
    </row>
    <row r="275" customFormat="false" ht="15" hidden="false" customHeight="false" outlineLevel="0" collapsed="false">
      <c r="A275" s="5" t="s">
        <v>409</v>
      </c>
      <c r="B275" s="5" t="s">
        <v>68</v>
      </c>
      <c r="C275" s="7" t="n">
        <v>45407</v>
      </c>
      <c r="D275" s="8" t="str">
        <f aca="false">INDEX(Dim_Supplier!$C$2:$C$21,MATCH(B275,Dim_Supplier!$A$2:$A$21,0))</f>
        <v>MRO</v>
      </c>
      <c r="E275" s="8" t="str">
        <f aca="false">INDEX(Dim_Supplier!$B$2:$B$21,MATCH(B275,Dim_Supplier!$A$2:$A$21,0))</f>
        <v>Precision Tool &amp; Supply</v>
      </c>
      <c r="F275" s="5" t="s">
        <v>132</v>
      </c>
      <c r="G275" s="5" t="s">
        <v>129</v>
      </c>
      <c r="H275" s="8" t="n">
        <f aca="false">INDEX(Lookup_Tables!$B$2:$B$5,MATCH(D275,Lookup_Tables!$A$2:$A$5,0))</f>
        <v>10</v>
      </c>
      <c r="I275" s="9" t="n">
        <f aca="false">C275+H275</f>
        <v>45417</v>
      </c>
      <c r="J275" s="5" t="n">
        <v>-3</v>
      </c>
      <c r="K275" s="9" t="n">
        <f aca="false">I275+J275</f>
        <v>45414</v>
      </c>
      <c r="L275" s="5" t="n">
        <v>98</v>
      </c>
      <c r="M275" s="10" t="n">
        <f aca="false">INDEX(Dim_Supplier!$F$2:$F$21,MATCH(B275,Dim_Supplier!$A$2:$A$21,0))</f>
        <v>22.4</v>
      </c>
      <c r="N275" s="11" t="n">
        <v>0.0349</v>
      </c>
      <c r="O275" s="10" t="n">
        <f aca="false">M275*(1+N275)</f>
        <v>23.18176</v>
      </c>
      <c r="P275" s="10" t="n">
        <f aca="false">O275*L275</f>
        <v>2271.81248</v>
      </c>
      <c r="Q275" s="5" t="s">
        <v>113</v>
      </c>
      <c r="R275" s="5" t="n">
        <v>0</v>
      </c>
      <c r="S275" s="5" t="n">
        <v>45</v>
      </c>
      <c r="T275" s="12" t="n">
        <f aca="false">(O275-M275)/M275</f>
        <v>0.0348999999999999</v>
      </c>
      <c r="U275" s="8" t="n">
        <f aca="false">IF(AND(K275&lt;=I275,R275=0),1,0)</f>
        <v>1</v>
      </c>
      <c r="V275" s="10" t="n">
        <f aca="false">IF(Q275="No",P275,0)</f>
        <v>0</v>
      </c>
    </row>
    <row r="276" customFormat="false" ht="15" hidden="false" customHeight="false" outlineLevel="0" collapsed="false">
      <c r="A276" s="5" t="s">
        <v>410</v>
      </c>
      <c r="B276" s="5" t="s">
        <v>62</v>
      </c>
      <c r="C276" s="7" t="n">
        <v>45515</v>
      </c>
      <c r="D276" s="8" t="str">
        <f aca="false">INDEX(Dim_Supplier!$C$2:$C$21,MATCH(B276,Dim_Supplier!$A$2:$A$21,0))</f>
        <v>Packaging</v>
      </c>
      <c r="E276" s="8" t="str">
        <f aca="false">INDEX(Dim_Supplier!$B$2:$B$21,MATCH(B276,Dim_Supplier!$A$2:$A$21,0))</f>
        <v>Trillium Packaging Solutions</v>
      </c>
      <c r="F276" s="5" t="s">
        <v>137</v>
      </c>
      <c r="G276" s="5" t="s">
        <v>129</v>
      </c>
      <c r="H276" s="8" t="n">
        <f aca="false">INDEX(Lookup_Tables!$B$2:$B$5,MATCH(D276,Lookup_Tables!$A$2:$A$5,0))</f>
        <v>14</v>
      </c>
      <c r="I276" s="9" t="n">
        <f aca="false">C276+H276</f>
        <v>45529</v>
      </c>
      <c r="J276" s="5" t="n">
        <v>-3</v>
      </c>
      <c r="K276" s="9" t="n">
        <f aca="false">I276+J276</f>
        <v>45526</v>
      </c>
      <c r="L276" s="5" t="n">
        <v>2527</v>
      </c>
      <c r="M276" s="10" t="n">
        <f aca="false">INDEX(Dim_Supplier!$F$2:$F$21,MATCH(B276,Dim_Supplier!$A$2:$A$21,0))</f>
        <v>5.6</v>
      </c>
      <c r="N276" s="11" t="n">
        <v>-0.009</v>
      </c>
      <c r="O276" s="10" t="n">
        <f aca="false">M276*(1+N276)</f>
        <v>5.5496</v>
      </c>
      <c r="P276" s="10" t="n">
        <f aca="false">O276*L276</f>
        <v>14023.8392</v>
      </c>
      <c r="Q276" s="5" t="s">
        <v>113</v>
      </c>
      <c r="R276" s="5" t="n">
        <v>0</v>
      </c>
      <c r="S276" s="5" t="n">
        <v>30</v>
      </c>
      <c r="T276" s="12" t="n">
        <f aca="false">(O276-M276)/M276</f>
        <v>-0.00899999999999996</v>
      </c>
      <c r="U276" s="8" t="n">
        <f aca="false">IF(AND(K276&lt;=I276,R276=0),1,0)</f>
        <v>1</v>
      </c>
      <c r="V276" s="10" t="n">
        <f aca="false">IF(Q276="No",P276,0)</f>
        <v>0</v>
      </c>
    </row>
    <row r="277" customFormat="false" ht="15" hidden="false" customHeight="false" outlineLevel="0" collapsed="false">
      <c r="A277" s="5" t="s">
        <v>411</v>
      </c>
      <c r="B277" s="5" t="s">
        <v>57</v>
      </c>
      <c r="C277" s="7" t="n">
        <v>46128</v>
      </c>
      <c r="D277" s="8" t="str">
        <f aca="false">INDEX(Dim_Supplier!$C$2:$C$21,MATCH(B277,Dim_Supplier!$A$2:$A$21,0))</f>
        <v>Packaging</v>
      </c>
      <c r="E277" s="8" t="str">
        <f aca="false">INDEX(Dim_Supplier!$B$2:$B$21,MATCH(B277,Dim_Supplier!$A$2:$A$21,0))</f>
        <v>Great Lakes Packaging Co.</v>
      </c>
      <c r="F277" s="5" t="s">
        <v>117</v>
      </c>
      <c r="G277" s="5" t="s">
        <v>125</v>
      </c>
      <c r="H277" s="8" t="n">
        <f aca="false">INDEX(Lookup_Tables!$B$2:$B$5,MATCH(D277,Lookup_Tables!$A$2:$A$5,0))</f>
        <v>14</v>
      </c>
      <c r="I277" s="9" t="n">
        <f aca="false">C277+H277</f>
        <v>46142</v>
      </c>
      <c r="J277" s="5" t="n">
        <v>-2</v>
      </c>
      <c r="K277" s="9" t="n">
        <f aca="false">I277+J277</f>
        <v>46140</v>
      </c>
      <c r="L277" s="5" t="n">
        <v>2441</v>
      </c>
      <c r="M277" s="10" t="n">
        <f aca="false">INDEX(Dim_Supplier!$F$2:$F$21,MATCH(B277,Dim_Supplier!$A$2:$A$21,0))</f>
        <v>4.35</v>
      </c>
      <c r="N277" s="11" t="n">
        <v>0.0025</v>
      </c>
      <c r="O277" s="10" t="n">
        <f aca="false">M277*(1+N277)</f>
        <v>4.360875</v>
      </c>
      <c r="P277" s="10" t="n">
        <f aca="false">O277*L277</f>
        <v>10644.895875</v>
      </c>
      <c r="Q277" s="5" t="s">
        <v>113</v>
      </c>
      <c r="R277" s="5" t="n">
        <v>0</v>
      </c>
      <c r="S277" s="5" t="n">
        <v>45</v>
      </c>
      <c r="T277" s="12" t="n">
        <f aca="false">(O277-M277)/M277</f>
        <v>0.00249999999999989</v>
      </c>
      <c r="U277" s="8" t="n">
        <f aca="false">IF(AND(K277&lt;=I277,R277=0),1,0)</f>
        <v>1</v>
      </c>
      <c r="V277" s="10" t="n">
        <f aca="false">IF(Q277="No",P277,0)</f>
        <v>0</v>
      </c>
    </row>
    <row r="278" customFormat="false" ht="15" hidden="false" customHeight="false" outlineLevel="0" collapsed="false">
      <c r="A278" s="5" t="s">
        <v>412</v>
      </c>
      <c r="B278" s="5" t="s">
        <v>82</v>
      </c>
      <c r="C278" s="7" t="n">
        <v>45916</v>
      </c>
      <c r="D278" s="8" t="str">
        <f aca="false">INDEX(Dim_Supplier!$C$2:$C$21,MATCH(B278,Dim_Supplier!$A$2:$A$21,0))</f>
        <v>Logistics</v>
      </c>
      <c r="E278" s="8" t="str">
        <f aca="false">INDEX(Dim_Supplier!$B$2:$B$21,MATCH(B278,Dim_Supplier!$A$2:$A$21,0))</f>
        <v>Maple Route Logistics</v>
      </c>
      <c r="F278" s="5" t="s">
        <v>237</v>
      </c>
      <c r="G278" s="5" t="s">
        <v>112</v>
      </c>
      <c r="H278" s="8" t="n">
        <f aca="false">INDEX(Lookup_Tables!$B$2:$B$5,MATCH(D278,Lookup_Tables!$A$2:$A$5,0))</f>
        <v>5</v>
      </c>
      <c r="I278" s="9" t="n">
        <f aca="false">C278+H278</f>
        <v>45921</v>
      </c>
      <c r="J278" s="5" t="n">
        <v>-4</v>
      </c>
      <c r="K278" s="9" t="n">
        <f aca="false">I278+J278</f>
        <v>45917</v>
      </c>
      <c r="L278" s="5" t="n">
        <v>14</v>
      </c>
      <c r="M278" s="10" t="n">
        <f aca="false">INDEX(Dim_Supplier!$F$2:$F$21,MATCH(B278,Dim_Supplier!$A$2:$A$21,0))</f>
        <v>285</v>
      </c>
      <c r="N278" s="11" t="n">
        <v>0.0066</v>
      </c>
      <c r="O278" s="10" t="n">
        <f aca="false">M278*(1+N278)</f>
        <v>286.881</v>
      </c>
      <c r="P278" s="10" t="n">
        <f aca="false">O278*L278</f>
        <v>4016.334</v>
      </c>
      <c r="Q278" s="5" t="s">
        <v>113</v>
      </c>
      <c r="R278" s="5" t="n">
        <v>0</v>
      </c>
      <c r="S278" s="5" t="n">
        <v>45</v>
      </c>
      <c r="T278" s="12" t="n">
        <f aca="false">(O278-M278)/M278</f>
        <v>0.0065999999999999</v>
      </c>
      <c r="U278" s="8" t="n">
        <f aca="false">IF(AND(K278&lt;=I278,R278=0),1,0)</f>
        <v>1</v>
      </c>
      <c r="V278" s="10" t="n">
        <f aca="false">IF(Q278="No",P278,0)</f>
        <v>0</v>
      </c>
    </row>
    <row r="279" customFormat="false" ht="15" hidden="false" customHeight="false" outlineLevel="0" collapsed="false">
      <c r="A279" s="5" t="s">
        <v>413</v>
      </c>
      <c r="B279" s="5" t="s">
        <v>71</v>
      </c>
      <c r="C279" s="7" t="n">
        <v>45464</v>
      </c>
      <c r="D279" s="8" t="str">
        <f aca="false">INDEX(Dim_Supplier!$C$2:$C$21,MATCH(B279,Dim_Supplier!$A$2:$A$21,0))</f>
        <v>MRO</v>
      </c>
      <c r="E279" s="8" t="str">
        <f aca="false">INDEX(Dim_Supplier!$B$2:$B$21,MATCH(B279,Dim_Supplier!$A$2:$A$21,0))</f>
        <v>CanSafe Equipment Ltd.</v>
      </c>
      <c r="F279" s="5" t="s">
        <v>111</v>
      </c>
      <c r="G279" s="5" t="s">
        <v>120</v>
      </c>
      <c r="H279" s="8" t="n">
        <f aca="false">INDEX(Lookup_Tables!$B$2:$B$5,MATCH(D279,Lookup_Tables!$A$2:$A$5,0))</f>
        <v>10</v>
      </c>
      <c r="I279" s="9" t="n">
        <f aca="false">C279+H279</f>
        <v>45474</v>
      </c>
      <c r="J279" s="5" t="n">
        <v>-1</v>
      </c>
      <c r="K279" s="9" t="n">
        <f aca="false">I279+J279</f>
        <v>45473</v>
      </c>
      <c r="L279" s="5" t="n">
        <v>136</v>
      </c>
      <c r="M279" s="10" t="n">
        <f aca="false">INDEX(Dim_Supplier!$F$2:$F$21,MATCH(B279,Dim_Supplier!$A$2:$A$21,0))</f>
        <v>18.75</v>
      </c>
      <c r="N279" s="11" t="n">
        <v>0.0453</v>
      </c>
      <c r="O279" s="10" t="n">
        <f aca="false">M279*(1+N279)</f>
        <v>19.599375</v>
      </c>
      <c r="P279" s="10" t="n">
        <f aca="false">O279*L279</f>
        <v>2665.515</v>
      </c>
      <c r="Q279" s="5" t="s">
        <v>133</v>
      </c>
      <c r="R279" s="5" t="n">
        <v>0</v>
      </c>
      <c r="S279" s="5" t="n">
        <v>30</v>
      </c>
      <c r="T279" s="12" t="n">
        <f aca="false">(O279-M279)/M279</f>
        <v>0.0452999999999999</v>
      </c>
      <c r="U279" s="8" t="n">
        <f aca="false">IF(AND(K279&lt;=I279,R279=0),1,0)</f>
        <v>1</v>
      </c>
      <c r="V279" s="10" t="n">
        <f aca="false">IF(Q279="No",P279,0)</f>
        <v>2665.515</v>
      </c>
    </row>
    <row r="280" customFormat="false" ht="15" hidden="false" customHeight="false" outlineLevel="0" collapsed="false">
      <c r="A280" s="5" t="s">
        <v>414</v>
      </c>
      <c r="B280" s="5" t="s">
        <v>88</v>
      </c>
      <c r="C280" s="7" t="n">
        <v>46096</v>
      </c>
      <c r="D280" s="8" t="str">
        <f aca="false">INDEX(Dim_Supplier!$C$2:$C$21,MATCH(B280,Dim_Supplier!$A$2:$A$21,0))</f>
        <v>Logistics</v>
      </c>
      <c r="E280" s="8" t="str">
        <f aca="false">INDEX(Dim_Supplier!$B$2:$B$21,MATCH(B280,Dim_Supplier!$A$2:$A$21,0))</f>
        <v>Summit Last-Mile Delivery</v>
      </c>
      <c r="F280" s="5" t="s">
        <v>237</v>
      </c>
      <c r="G280" s="5" t="s">
        <v>129</v>
      </c>
      <c r="H280" s="8" t="n">
        <f aca="false">INDEX(Lookup_Tables!$B$2:$B$5,MATCH(D280,Lookup_Tables!$A$2:$A$5,0))</f>
        <v>5</v>
      </c>
      <c r="I280" s="9" t="n">
        <f aca="false">C280+H280</f>
        <v>46101</v>
      </c>
      <c r="J280" s="5" t="n">
        <v>3</v>
      </c>
      <c r="K280" s="9" t="n">
        <f aca="false">I280+J280</f>
        <v>46104</v>
      </c>
      <c r="L280" s="5" t="n">
        <v>9</v>
      </c>
      <c r="M280" s="10" t="n">
        <f aca="false">INDEX(Dim_Supplier!$F$2:$F$21,MATCH(B280,Dim_Supplier!$A$2:$A$21,0))</f>
        <v>95</v>
      </c>
      <c r="N280" s="11" t="n">
        <v>0.0381</v>
      </c>
      <c r="O280" s="10" t="n">
        <f aca="false">M280*(1+N280)</f>
        <v>98.6195</v>
      </c>
      <c r="P280" s="10" t="n">
        <f aca="false">O280*L280</f>
        <v>887.5755</v>
      </c>
      <c r="Q280" s="5" t="s">
        <v>113</v>
      </c>
      <c r="R280" s="5" t="n">
        <v>0</v>
      </c>
      <c r="S280" s="5" t="n">
        <v>30</v>
      </c>
      <c r="T280" s="12" t="n">
        <f aca="false">(O280-M280)/M280</f>
        <v>0.0381</v>
      </c>
      <c r="U280" s="8" t="n">
        <f aca="false">IF(AND(K280&lt;=I280,R280=0),1,0)</f>
        <v>0</v>
      </c>
      <c r="V280" s="10" t="n">
        <f aca="false">IF(Q280="No",P280,0)</f>
        <v>0</v>
      </c>
    </row>
    <row r="281" customFormat="false" ht="15" hidden="false" customHeight="false" outlineLevel="0" collapsed="false">
      <c r="A281" s="5" t="s">
        <v>415</v>
      </c>
      <c r="B281" s="5" t="s">
        <v>57</v>
      </c>
      <c r="C281" s="7" t="n">
        <v>45545</v>
      </c>
      <c r="D281" s="8" t="str">
        <f aca="false">INDEX(Dim_Supplier!$C$2:$C$21,MATCH(B281,Dim_Supplier!$A$2:$A$21,0))</f>
        <v>Packaging</v>
      </c>
      <c r="E281" s="8" t="str">
        <f aca="false">INDEX(Dim_Supplier!$B$2:$B$21,MATCH(B281,Dim_Supplier!$A$2:$A$21,0))</f>
        <v>Great Lakes Packaging Co.</v>
      </c>
      <c r="F281" s="5" t="s">
        <v>137</v>
      </c>
      <c r="G281" s="5" t="s">
        <v>125</v>
      </c>
      <c r="H281" s="8" t="n">
        <f aca="false">INDEX(Lookup_Tables!$B$2:$B$5,MATCH(D281,Lookup_Tables!$A$2:$A$5,0))</f>
        <v>14</v>
      </c>
      <c r="I281" s="9" t="n">
        <f aca="false">C281+H281</f>
        <v>45559</v>
      </c>
      <c r="J281" s="5" t="n">
        <v>-1</v>
      </c>
      <c r="K281" s="9" t="n">
        <f aca="false">I281+J281</f>
        <v>45558</v>
      </c>
      <c r="L281" s="5" t="n">
        <v>3893</v>
      </c>
      <c r="M281" s="10" t="n">
        <f aca="false">INDEX(Dim_Supplier!$F$2:$F$21,MATCH(B281,Dim_Supplier!$A$2:$A$21,0))</f>
        <v>4.35</v>
      </c>
      <c r="N281" s="11" t="n">
        <v>0.032</v>
      </c>
      <c r="O281" s="10" t="n">
        <f aca="false">M281*(1+N281)</f>
        <v>4.4892</v>
      </c>
      <c r="P281" s="10" t="n">
        <f aca="false">O281*L281</f>
        <v>17476.4556</v>
      </c>
      <c r="Q281" s="5" t="s">
        <v>113</v>
      </c>
      <c r="R281" s="5" t="n">
        <v>0</v>
      </c>
      <c r="S281" s="5" t="n">
        <v>45</v>
      </c>
      <c r="T281" s="12" t="n">
        <f aca="false">(O281-M281)/M281</f>
        <v>0.032</v>
      </c>
      <c r="U281" s="8" t="n">
        <f aca="false">IF(AND(K281&lt;=I281,R281=0),1,0)</f>
        <v>1</v>
      </c>
      <c r="V281" s="10" t="n">
        <f aca="false">IF(Q281="No",P281,0)</f>
        <v>0</v>
      </c>
    </row>
    <row r="282" customFormat="false" ht="15" hidden="false" customHeight="false" outlineLevel="0" collapsed="false">
      <c r="A282" s="5" t="s">
        <v>416</v>
      </c>
      <c r="B282" s="5" t="s">
        <v>79</v>
      </c>
      <c r="C282" s="7" t="n">
        <v>45704</v>
      </c>
      <c r="D282" s="8" t="str">
        <f aca="false">INDEX(Dim_Supplier!$C$2:$C$21,MATCH(B282,Dim_Supplier!$A$2:$A$21,0))</f>
        <v>Logistics</v>
      </c>
      <c r="E282" s="8" t="str">
        <f aca="false">INDEX(Dim_Supplier!$B$2:$B$21,MATCH(B282,Dim_Supplier!$A$2:$A$21,0))</f>
        <v>Niagara Freight Solutions</v>
      </c>
      <c r="F282" s="5" t="s">
        <v>185</v>
      </c>
      <c r="G282" s="5" t="s">
        <v>120</v>
      </c>
      <c r="H282" s="8" t="n">
        <f aca="false">INDEX(Lookup_Tables!$B$2:$B$5,MATCH(D282,Lookup_Tables!$A$2:$A$5,0))</f>
        <v>5</v>
      </c>
      <c r="I282" s="9" t="n">
        <f aca="false">C282+H282</f>
        <v>45709</v>
      </c>
      <c r="J282" s="5" t="n">
        <v>-3</v>
      </c>
      <c r="K282" s="9" t="n">
        <f aca="false">I282+J282</f>
        <v>45706</v>
      </c>
      <c r="L282" s="5" t="n">
        <v>30</v>
      </c>
      <c r="M282" s="10" t="n">
        <f aca="false">INDEX(Dim_Supplier!$F$2:$F$21,MATCH(B282,Dim_Supplier!$A$2:$A$21,0))</f>
        <v>340</v>
      </c>
      <c r="N282" s="11" t="n">
        <v>-0.0285</v>
      </c>
      <c r="O282" s="10" t="n">
        <f aca="false">M282*(1+N282)</f>
        <v>330.31</v>
      </c>
      <c r="P282" s="10" t="n">
        <f aca="false">O282*L282</f>
        <v>9909.3</v>
      </c>
      <c r="Q282" s="5" t="s">
        <v>133</v>
      </c>
      <c r="R282" s="5" t="n">
        <v>0</v>
      </c>
      <c r="S282" s="5" t="n">
        <v>30</v>
      </c>
      <c r="T282" s="12" t="n">
        <f aca="false">(O282-M282)/M282</f>
        <v>-0.0285</v>
      </c>
      <c r="U282" s="8" t="n">
        <f aca="false">IF(AND(K282&lt;=I282,R282=0),1,0)</f>
        <v>1</v>
      </c>
      <c r="V282" s="10" t="n">
        <f aca="false">IF(Q282="No",P282,0)</f>
        <v>9909.3</v>
      </c>
    </row>
    <row r="283" customFormat="false" ht="15" hidden="false" customHeight="false" outlineLevel="0" collapsed="false">
      <c r="A283" s="5" t="s">
        <v>417</v>
      </c>
      <c r="B283" s="5" t="s">
        <v>79</v>
      </c>
      <c r="C283" s="7" t="n">
        <v>46042</v>
      </c>
      <c r="D283" s="8" t="str">
        <f aca="false">INDEX(Dim_Supplier!$C$2:$C$21,MATCH(B283,Dim_Supplier!$A$2:$A$21,0))</f>
        <v>Logistics</v>
      </c>
      <c r="E283" s="8" t="str">
        <f aca="false">INDEX(Dim_Supplier!$B$2:$B$21,MATCH(B283,Dim_Supplier!$A$2:$A$21,0))</f>
        <v>Niagara Freight Solutions</v>
      </c>
      <c r="F283" s="5" t="s">
        <v>124</v>
      </c>
      <c r="G283" s="5" t="s">
        <v>125</v>
      </c>
      <c r="H283" s="8" t="n">
        <f aca="false">INDEX(Lookup_Tables!$B$2:$B$5,MATCH(D283,Lookup_Tables!$A$2:$A$5,0))</f>
        <v>5</v>
      </c>
      <c r="I283" s="9" t="n">
        <f aca="false">C283+H283</f>
        <v>46047</v>
      </c>
      <c r="J283" s="5" t="n">
        <v>-4</v>
      </c>
      <c r="K283" s="9" t="n">
        <f aca="false">I283+J283</f>
        <v>46043</v>
      </c>
      <c r="L283" s="5" t="n">
        <v>5</v>
      </c>
      <c r="M283" s="10" t="n">
        <f aca="false">INDEX(Dim_Supplier!$F$2:$F$21,MATCH(B283,Dim_Supplier!$A$2:$A$21,0))</f>
        <v>340</v>
      </c>
      <c r="N283" s="11" t="n">
        <v>-0.0132</v>
      </c>
      <c r="O283" s="10" t="n">
        <f aca="false">M283*(1+N283)</f>
        <v>335.512</v>
      </c>
      <c r="P283" s="10" t="n">
        <f aca="false">O283*L283</f>
        <v>1677.56</v>
      </c>
      <c r="Q283" s="5" t="s">
        <v>113</v>
      </c>
      <c r="R283" s="5" t="n">
        <v>0</v>
      </c>
      <c r="S283" s="5" t="n">
        <v>60</v>
      </c>
      <c r="T283" s="12" t="n">
        <f aca="false">(O283-M283)/M283</f>
        <v>-0.0132</v>
      </c>
      <c r="U283" s="8" t="n">
        <f aca="false">IF(AND(K283&lt;=I283,R283=0),1,0)</f>
        <v>1</v>
      </c>
      <c r="V283" s="10" t="n">
        <f aca="false">IF(Q283="No",P283,0)</f>
        <v>0</v>
      </c>
    </row>
    <row r="284" customFormat="false" ht="15" hidden="false" customHeight="false" outlineLevel="0" collapsed="false">
      <c r="A284" s="5" t="s">
        <v>418</v>
      </c>
      <c r="B284" s="5" t="s">
        <v>79</v>
      </c>
      <c r="C284" s="7" t="n">
        <v>45798</v>
      </c>
      <c r="D284" s="8" t="str">
        <f aca="false">INDEX(Dim_Supplier!$C$2:$C$21,MATCH(B284,Dim_Supplier!$A$2:$A$21,0))</f>
        <v>Logistics</v>
      </c>
      <c r="E284" s="8" t="str">
        <f aca="false">INDEX(Dim_Supplier!$B$2:$B$21,MATCH(B284,Dim_Supplier!$A$2:$A$21,0))</f>
        <v>Niagara Freight Solutions</v>
      </c>
      <c r="F284" s="5" t="s">
        <v>146</v>
      </c>
      <c r="G284" s="5" t="s">
        <v>120</v>
      </c>
      <c r="H284" s="8" t="n">
        <f aca="false">INDEX(Lookup_Tables!$B$2:$B$5,MATCH(D284,Lookup_Tables!$A$2:$A$5,0))</f>
        <v>5</v>
      </c>
      <c r="I284" s="9" t="n">
        <f aca="false">C284+H284</f>
        <v>45803</v>
      </c>
      <c r="J284" s="5" t="n">
        <v>-1</v>
      </c>
      <c r="K284" s="9" t="n">
        <f aca="false">I284+J284</f>
        <v>45802</v>
      </c>
      <c r="L284" s="5" t="n">
        <v>37</v>
      </c>
      <c r="M284" s="10" t="n">
        <f aca="false">INDEX(Dim_Supplier!$F$2:$F$21,MATCH(B284,Dim_Supplier!$A$2:$A$21,0))</f>
        <v>340</v>
      </c>
      <c r="N284" s="11" t="n">
        <v>-0.006</v>
      </c>
      <c r="O284" s="10" t="n">
        <f aca="false">M284*(1+N284)</f>
        <v>337.96</v>
      </c>
      <c r="P284" s="10" t="n">
        <f aca="false">O284*L284</f>
        <v>12504.52</v>
      </c>
      <c r="Q284" s="5" t="s">
        <v>113</v>
      </c>
      <c r="R284" s="5" t="n">
        <v>0</v>
      </c>
      <c r="S284" s="5" t="n">
        <v>45</v>
      </c>
      <c r="T284" s="12" t="n">
        <f aca="false">(O284-M284)/M284</f>
        <v>-0.00600000000000006</v>
      </c>
      <c r="U284" s="8" t="n">
        <f aca="false">IF(AND(K284&lt;=I284,R284=0),1,0)</f>
        <v>1</v>
      </c>
      <c r="V284" s="10" t="n">
        <f aca="false">IF(Q284="No",P284,0)</f>
        <v>0</v>
      </c>
    </row>
    <row r="285" customFormat="false" ht="15" hidden="false" customHeight="false" outlineLevel="0" collapsed="false">
      <c r="A285" s="5" t="s">
        <v>419</v>
      </c>
      <c r="B285" s="5" t="s">
        <v>84</v>
      </c>
      <c r="C285" s="7" t="n">
        <v>46072</v>
      </c>
      <c r="D285" s="8" t="str">
        <f aca="false">INDEX(Dim_Supplier!$C$2:$C$21,MATCH(B285,Dim_Supplier!$A$2:$A$21,0))</f>
        <v>Logistics</v>
      </c>
      <c r="E285" s="8" t="str">
        <f aca="false">INDEX(Dim_Supplier!$B$2:$B$21,MATCH(B285,Dim_Supplier!$A$2:$A$21,0))</f>
        <v>Trans-Canada Carriers</v>
      </c>
      <c r="F285" s="5" t="s">
        <v>124</v>
      </c>
      <c r="G285" s="5" t="s">
        <v>129</v>
      </c>
      <c r="H285" s="8" t="n">
        <f aca="false">INDEX(Lookup_Tables!$B$2:$B$5,MATCH(D285,Lookup_Tables!$A$2:$A$5,0))</f>
        <v>5</v>
      </c>
      <c r="I285" s="9" t="n">
        <f aca="false">C285+H285</f>
        <v>46077</v>
      </c>
      <c r="J285" s="5" t="n">
        <v>7</v>
      </c>
      <c r="K285" s="9" t="n">
        <f aca="false">I285+J285</f>
        <v>46084</v>
      </c>
      <c r="L285" s="5" t="n">
        <v>30</v>
      </c>
      <c r="M285" s="10" t="n">
        <f aca="false">INDEX(Dim_Supplier!$F$2:$F$21,MATCH(B285,Dim_Supplier!$A$2:$A$21,0))</f>
        <v>210</v>
      </c>
      <c r="N285" s="11" t="n">
        <v>0.1505</v>
      </c>
      <c r="O285" s="10" t="n">
        <f aca="false">M285*(1+N285)</f>
        <v>241.605</v>
      </c>
      <c r="P285" s="10" t="n">
        <f aca="false">O285*L285</f>
        <v>7248.15</v>
      </c>
      <c r="Q285" s="5" t="s">
        <v>113</v>
      </c>
      <c r="R285" s="5" t="n">
        <v>0</v>
      </c>
      <c r="S285" s="5" t="n">
        <v>30</v>
      </c>
      <c r="T285" s="12" t="n">
        <f aca="false">(O285-M285)/M285</f>
        <v>0.1505</v>
      </c>
      <c r="U285" s="8" t="n">
        <f aca="false">IF(AND(K285&lt;=I285,R285=0),1,0)</f>
        <v>0</v>
      </c>
      <c r="V285" s="10" t="n">
        <f aca="false">IF(Q285="No",P285,0)</f>
        <v>0</v>
      </c>
    </row>
    <row r="286" customFormat="false" ht="15" hidden="false" customHeight="false" outlineLevel="0" collapsed="false">
      <c r="A286" s="5" t="s">
        <v>420</v>
      </c>
      <c r="B286" s="5" t="s">
        <v>62</v>
      </c>
      <c r="C286" s="7" t="n">
        <v>45730</v>
      </c>
      <c r="D286" s="8" t="str">
        <f aca="false">INDEX(Dim_Supplier!$C$2:$C$21,MATCH(B286,Dim_Supplier!$A$2:$A$21,0))</f>
        <v>Packaging</v>
      </c>
      <c r="E286" s="8" t="str">
        <f aca="false">INDEX(Dim_Supplier!$B$2:$B$21,MATCH(B286,Dim_Supplier!$A$2:$A$21,0))</f>
        <v>Trillium Packaging Solutions</v>
      </c>
      <c r="F286" s="5" t="s">
        <v>158</v>
      </c>
      <c r="G286" s="5" t="s">
        <v>112</v>
      </c>
      <c r="H286" s="8" t="n">
        <f aca="false">INDEX(Lookup_Tables!$B$2:$B$5,MATCH(D286,Lookup_Tables!$A$2:$A$5,0))</f>
        <v>14</v>
      </c>
      <c r="I286" s="9" t="n">
        <f aca="false">C286+H286</f>
        <v>45744</v>
      </c>
      <c r="J286" s="5" t="n">
        <v>-2</v>
      </c>
      <c r="K286" s="9" t="n">
        <f aca="false">I286+J286</f>
        <v>45742</v>
      </c>
      <c r="L286" s="5" t="n">
        <v>2744</v>
      </c>
      <c r="M286" s="10" t="n">
        <f aca="false">INDEX(Dim_Supplier!$F$2:$F$21,MATCH(B286,Dim_Supplier!$A$2:$A$21,0))</f>
        <v>5.6</v>
      </c>
      <c r="N286" s="11" t="n">
        <v>0.0086</v>
      </c>
      <c r="O286" s="10" t="n">
        <f aca="false">M286*(1+N286)</f>
        <v>5.64816</v>
      </c>
      <c r="P286" s="10" t="n">
        <f aca="false">O286*L286</f>
        <v>15498.55104</v>
      </c>
      <c r="Q286" s="5" t="s">
        <v>113</v>
      </c>
      <c r="R286" s="5" t="n">
        <v>0</v>
      </c>
      <c r="S286" s="5" t="n">
        <v>30</v>
      </c>
      <c r="T286" s="12" t="n">
        <f aca="false">(O286-M286)/M286</f>
        <v>0.00859999999999988</v>
      </c>
      <c r="U286" s="8" t="n">
        <f aca="false">IF(AND(K286&lt;=I286,R286=0),1,0)</f>
        <v>1</v>
      </c>
      <c r="V286" s="10" t="n">
        <f aca="false">IF(Q286="No",P286,0)</f>
        <v>0</v>
      </c>
    </row>
    <row r="287" customFormat="false" ht="15" hidden="false" customHeight="false" outlineLevel="0" collapsed="false">
      <c r="A287" s="5" t="s">
        <v>421</v>
      </c>
      <c r="B287" s="5" t="s">
        <v>75</v>
      </c>
      <c r="C287" s="7" t="n">
        <v>45956</v>
      </c>
      <c r="D287" s="8" t="str">
        <f aca="false">INDEX(Dim_Supplier!$C$2:$C$21,MATCH(B287,Dim_Supplier!$A$2:$A$21,0))</f>
        <v>MRO</v>
      </c>
      <c r="E287" s="8" t="str">
        <f aca="false">INDEX(Dim_Supplier!$B$2:$B$21,MATCH(B287,Dim_Supplier!$A$2:$A$21,0))</f>
        <v>Sterling Lubricants Inc.</v>
      </c>
      <c r="F287" s="5" t="s">
        <v>164</v>
      </c>
      <c r="G287" s="5" t="s">
        <v>129</v>
      </c>
      <c r="H287" s="8" t="n">
        <f aca="false">INDEX(Lookup_Tables!$B$2:$B$5,MATCH(D287,Lookup_Tables!$A$2:$A$5,0))</f>
        <v>10</v>
      </c>
      <c r="I287" s="9" t="n">
        <f aca="false">C287+H287</f>
        <v>45966</v>
      </c>
      <c r="J287" s="5" t="n">
        <v>-4</v>
      </c>
      <c r="K287" s="9" t="n">
        <f aca="false">I287+J287</f>
        <v>45962</v>
      </c>
      <c r="L287" s="5" t="n">
        <v>184</v>
      </c>
      <c r="M287" s="10" t="n">
        <f aca="false">INDEX(Dim_Supplier!$F$2:$F$21,MATCH(B287,Dim_Supplier!$A$2:$A$21,0))</f>
        <v>27.1</v>
      </c>
      <c r="N287" s="11" t="n">
        <v>0.0304</v>
      </c>
      <c r="O287" s="10" t="n">
        <f aca="false">M287*(1+N287)</f>
        <v>27.92384</v>
      </c>
      <c r="P287" s="10" t="n">
        <f aca="false">O287*L287</f>
        <v>5137.98656</v>
      </c>
      <c r="Q287" s="5" t="s">
        <v>113</v>
      </c>
      <c r="R287" s="5" t="n">
        <v>0</v>
      </c>
      <c r="S287" s="5" t="n">
        <v>30</v>
      </c>
      <c r="T287" s="12" t="n">
        <f aca="false">(O287-M287)/M287</f>
        <v>0.0304</v>
      </c>
      <c r="U287" s="8" t="n">
        <f aca="false">IF(AND(K287&lt;=I287,R287=0),1,0)</f>
        <v>1</v>
      </c>
      <c r="V287" s="10" t="n">
        <f aca="false">IF(Q287="No",P287,0)</f>
        <v>0</v>
      </c>
    </row>
    <row r="288" customFormat="false" ht="15" hidden="false" customHeight="false" outlineLevel="0" collapsed="false">
      <c r="A288" s="5" t="s">
        <v>422</v>
      </c>
      <c r="B288" s="5" t="s">
        <v>46</v>
      </c>
      <c r="C288" s="7" t="n">
        <v>45510</v>
      </c>
      <c r="D288" s="8" t="str">
        <f aca="false">INDEX(Dim_Supplier!$C$2:$C$21,MATCH(B288,Dim_Supplier!$A$2:$A$21,0))</f>
        <v>Raw Materials</v>
      </c>
      <c r="E288" s="8" t="str">
        <f aca="false">INDEX(Dim_Supplier!$B$2:$B$21,MATCH(B288,Dim_Supplier!$A$2:$A$21,0))</f>
        <v>Niagara Alloy Supply</v>
      </c>
      <c r="F288" s="5" t="s">
        <v>142</v>
      </c>
      <c r="G288" s="5" t="s">
        <v>129</v>
      </c>
      <c r="H288" s="8" t="n">
        <f aca="false">INDEX(Lookup_Tables!$B$2:$B$5,MATCH(D288,Lookup_Tables!$A$2:$A$5,0))</f>
        <v>21</v>
      </c>
      <c r="I288" s="9" t="n">
        <f aca="false">C288+H288</f>
        <v>45531</v>
      </c>
      <c r="J288" s="5" t="n">
        <v>0</v>
      </c>
      <c r="K288" s="9" t="n">
        <f aca="false">I288+J288</f>
        <v>45531</v>
      </c>
      <c r="L288" s="5" t="n">
        <v>1492</v>
      </c>
      <c r="M288" s="10" t="n">
        <f aca="false">INDEX(Dim_Supplier!$F$2:$F$21,MATCH(B288,Dim_Supplier!$A$2:$A$21,0))</f>
        <v>46.5</v>
      </c>
      <c r="N288" s="11" t="n">
        <v>0.0406</v>
      </c>
      <c r="O288" s="10" t="n">
        <f aca="false">M288*(1+N288)</f>
        <v>48.3879</v>
      </c>
      <c r="P288" s="10" t="n">
        <f aca="false">O288*L288</f>
        <v>72194.7468</v>
      </c>
      <c r="Q288" s="5" t="s">
        <v>113</v>
      </c>
      <c r="R288" s="5" t="n">
        <v>44</v>
      </c>
      <c r="S288" s="5" t="n">
        <v>60</v>
      </c>
      <c r="T288" s="12" t="n">
        <f aca="false">(O288-M288)/M288</f>
        <v>0.0406</v>
      </c>
      <c r="U288" s="8" t="n">
        <f aca="false">IF(AND(K288&lt;=I288,R288=0),1,0)</f>
        <v>0</v>
      </c>
      <c r="V288" s="10" t="n">
        <f aca="false">IF(Q288="No",P288,0)</f>
        <v>0</v>
      </c>
    </row>
    <row r="289" customFormat="false" ht="15" hidden="false" customHeight="false" outlineLevel="0" collapsed="false">
      <c r="A289" s="5" t="s">
        <v>423</v>
      </c>
      <c r="B289" s="5" t="s">
        <v>88</v>
      </c>
      <c r="C289" s="7" t="n">
        <v>45724</v>
      </c>
      <c r="D289" s="8" t="str">
        <f aca="false">INDEX(Dim_Supplier!$C$2:$C$21,MATCH(B289,Dim_Supplier!$A$2:$A$21,0))</f>
        <v>Logistics</v>
      </c>
      <c r="E289" s="8" t="str">
        <f aca="false">INDEX(Dim_Supplier!$B$2:$B$21,MATCH(B289,Dim_Supplier!$A$2:$A$21,0))</f>
        <v>Summit Last-Mile Delivery</v>
      </c>
      <c r="F289" s="5" t="s">
        <v>154</v>
      </c>
      <c r="G289" s="5" t="s">
        <v>125</v>
      </c>
      <c r="H289" s="8" t="n">
        <f aca="false">INDEX(Lookup_Tables!$B$2:$B$5,MATCH(D289,Lookup_Tables!$A$2:$A$5,0))</f>
        <v>5</v>
      </c>
      <c r="I289" s="9" t="n">
        <f aca="false">C289+H289</f>
        <v>45729</v>
      </c>
      <c r="J289" s="5" t="n">
        <v>1</v>
      </c>
      <c r="K289" s="9" t="n">
        <f aca="false">I289+J289</f>
        <v>45730</v>
      </c>
      <c r="L289" s="5" t="n">
        <v>47</v>
      </c>
      <c r="M289" s="10" t="n">
        <f aca="false">INDEX(Dim_Supplier!$F$2:$F$21,MATCH(B289,Dim_Supplier!$A$2:$A$21,0))</f>
        <v>95</v>
      </c>
      <c r="N289" s="11" t="n">
        <v>0.0485</v>
      </c>
      <c r="O289" s="10" t="n">
        <f aca="false">M289*(1+N289)</f>
        <v>99.6075</v>
      </c>
      <c r="P289" s="10" t="n">
        <f aca="false">O289*L289</f>
        <v>4681.5525</v>
      </c>
      <c r="Q289" s="5" t="s">
        <v>113</v>
      </c>
      <c r="R289" s="5" t="n">
        <v>0</v>
      </c>
      <c r="S289" s="5" t="n">
        <v>30</v>
      </c>
      <c r="T289" s="12" t="n">
        <f aca="false">(O289-M289)/M289</f>
        <v>0.0485</v>
      </c>
      <c r="U289" s="8" t="n">
        <f aca="false">IF(AND(K289&lt;=I289,R289=0),1,0)</f>
        <v>0</v>
      </c>
      <c r="V289" s="10" t="n">
        <f aca="false">IF(Q289="No",P289,0)</f>
        <v>0</v>
      </c>
    </row>
    <row r="290" customFormat="false" ht="15" hidden="false" customHeight="false" outlineLevel="0" collapsed="false">
      <c r="A290" s="5" t="s">
        <v>424</v>
      </c>
      <c r="B290" s="5" t="s">
        <v>57</v>
      </c>
      <c r="C290" s="7" t="n">
        <v>45683</v>
      </c>
      <c r="D290" s="8" t="str">
        <f aca="false">INDEX(Dim_Supplier!$C$2:$C$21,MATCH(B290,Dim_Supplier!$A$2:$A$21,0))</f>
        <v>Packaging</v>
      </c>
      <c r="E290" s="8" t="str">
        <f aca="false">INDEX(Dim_Supplier!$B$2:$B$21,MATCH(B290,Dim_Supplier!$A$2:$A$21,0))</f>
        <v>Great Lakes Packaging Co.</v>
      </c>
      <c r="F290" s="5" t="s">
        <v>158</v>
      </c>
      <c r="G290" s="5" t="s">
        <v>112</v>
      </c>
      <c r="H290" s="8" t="n">
        <f aca="false">INDEX(Lookup_Tables!$B$2:$B$5,MATCH(D290,Lookup_Tables!$A$2:$A$5,0))</f>
        <v>14</v>
      </c>
      <c r="I290" s="9" t="n">
        <f aca="false">C290+H290</f>
        <v>45697</v>
      </c>
      <c r="J290" s="5" t="n">
        <v>-1</v>
      </c>
      <c r="K290" s="9" t="n">
        <f aca="false">I290+J290</f>
        <v>45696</v>
      </c>
      <c r="L290" s="5" t="n">
        <v>1844</v>
      </c>
      <c r="M290" s="10" t="n">
        <f aca="false">INDEX(Dim_Supplier!$F$2:$F$21,MATCH(B290,Dim_Supplier!$A$2:$A$21,0))</f>
        <v>4.35</v>
      </c>
      <c r="N290" s="11" t="n">
        <v>0.0207</v>
      </c>
      <c r="O290" s="10" t="n">
        <f aca="false">M290*(1+N290)</f>
        <v>4.440045</v>
      </c>
      <c r="P290" s="10" t="n">
        <f aca="false">O290*L290</f>
        <v>8187.44298</v>
      </c>
      <c r="Q290" s="5" t="s">
        <v>113</v>
      </c>
      <c r="R290" s="5" t="n">
        <v>0</v>
      </c>
      <c r="S290" s="5" t="n">
        <v>45</v>
      </c>
      <c r="T290" s="12" t="n">
        <f aca="false">(O290-M290)/M290</f>
        <v>0.0207</v>
      </c>
      <c r="U290" s="8" t="n">
        <f aca="false">IF(AND(K290&lt;=I290,R290=0),1,0)</f>
        <v>1</v>
      </c>
      <c r="V290" s="10" t="n">
        <f aca="false">IF(Q290="No",P290,0)</f>
        <v>0</v>
      </c>
    </row>
    <row r="291" customFormat="false" ht="15" hidden="false" customHeight="false" outlineLevel="0" collapsed="false">
      <c r="A291" s="5" t="s">
        <v>425</v>
      </c>
      <c r="B291" s="5" t="s">
        <v>46</v>
      </c>
      <c r="C291" s="7" t="n">
        <v>45713</v>
      </c>
      <c r="D291" s="8" t="str">
        <f aca="false">INDEX(Dim_Supplier!$C$2:$C$21,MATCH(B291,Dim_Supplier!$A$2:$A$21,0))</f>
        <v>Raw Materials</v>
      </c>
      <c r="E291" s="8" t="str">
        <f aca="false">INDEX(Dim_Supplier!$B$2:$B$21,MATCH(B291,Dim_Supplier!$A$2:$A$21,0))</f>
        <v>Niagara Alloy Supply</v>
      </c>
      <c r="F291" s="5" t="s">
        <v>144</v>
      </c>
      <c r="G291" s="5" t="s">
        <v>125</v>
      </c>
      <c r="H291" s="8" t="n">
        <f aca="false">INDEX(Lookup_Tables!$B$2:$B$5,MATCH(D291,Lookup_Tables!$A$2:$A$5,0))</f>
        <v>21</v>
      </c>
      <c r="I291" s="9" t="n">
        <f aca="false">C291+H291</f>
        <v>45734</v>
      </c>
      <c r="J291" s="5" t="n">
        <v>0</v>
      </c>
      <c r="K291" s="9" t="n">
        <f aca="false">I291+J291</f>
        <v>45734</v>
      </c>
      <c r="L291" s="5" t="n">
        <v>305</v>
      </c>
      <c r="M291" s="10" t="n">
        <f aca="false">INDEX(Dim_Supplier!$F$2:$F$21,MATCH(B291,Dim_Supplier!$A$2:$A$21,0))</f>
        <v>46.5</v>
      </c>
      <c r="N291" s="11" t="n">
        <v>0.0234</v>
      </c>
      <c r="O291" s="10" t="n">
        <f aca="false">M291*(1+N291)</f>
        <v>47.5881</v>
      </c>
      <c r="P291" s="10" t="n">
        <f aca="false">O291*L291</f>
        <v>14514.3705</v>
      </c>
      <c r="Q291" s="5" t="s">
        <v>113</v>
      </c>
      <c r="R291" s="5" t="n">
        <v>0</v>
      </c>
      <c r="S291" s="5" t="n">
        <v>45</v>
      </c>
      <c r="T291" s="12" t="n">
        <f aca="false">(O291-M291)/M291</f>
        <v>0.0234000000000001</v>
      </c>
      <c r="U291" s="8" t="n">
        <f aca="false">IF(AND(K291&lt;=I291,R291=0),1,0)</f>
        <v>1</v>
      </c>
      <c r="V291" s="10" t="n">
        <f aca="false">IF(Q291="No",P291,0)</f>
        <v>0</v>
      </c>
    </row>
    <row r="292" customFormat="false" ht="15" hidden="false" customHeight="false" outlineLevel="0" collapsed="false">
      <c r="A292" s="5" t="s">
        <v>426</v>
      </c>
      <c r="B292" s="5" t="s">
        <v>57</v>
      </c>
      <c r="C292" s="7" t="n">
        <v>45731</v>
      </c>
      <c r="D292" s="8" t="str">
        <f aca="false">INDEX(Dim_Supplier!$C$2:$C$21,MATCH(B292,Dim_Supplier!$A$2:$A$21,0))</f>
        <v>Packaging</v>
      </c>
      <c r="E292" s="8" t="str">
        <f aca="false">INDEX(Dim_Supplier!$B$2:$B$21,MATCH(B292,Dim_Supplier!$A$2:$A$21,0))</f>
        <v>Great Lakes Packaging Co.</v>
      </c>
      <c r="F292" s="5" t="s">
        <v>119</v>
      </c>
      <c r="G292" s="5" t="s">
        <v>112</v>
      </c>
      <c r="H292" s="8" t="n">
        <f aca="false">INDEX(Lookup_Tables!$B$2:$B$5,MATCH(D292,Lookup_Tables!$A$2:$A$5,0))</f>
        <v>14</v>
      </c>
      <c r="I292" s="9" t="n">
        <f aca="false">C292+H292</f>
        <v>45745</v>
      </c>
      <c r="J292" s="5" t="n">
        <v>-3</v>
      </c>
      <c r="K292" s="9" t="n">
        <f aca="false">I292+J292</f>
        <v>45742</v>
      </c>
      <c r="L292" s="5" t="n">
        <v>2532</v>
      </c>
      <c r="M292" s="10" t="n">
        <f aca="false">INDEX(Dim_Supplier!$F$2:$F$21,MATCH(B292,Dim_Supplier!$A$2:$A$21,0))</f>
        <v>4.35</v>
      </c>
      <c r="N292" s="11" t="n">
        <v>0.0388</v>
      </c>
      <c r="O292" s="10" t="n">
        <f aca="false">M292*(1+N292)</f>
        <v>4.51878</v>
      </c>
      <c r="P292" s="10" t="n">
        <f aca="false">O292*L292</f>
        <v>11441.55096</v>
      </c>
      <c r="Q292" s="5" t="s">
        <v>113</v>
      </c>
      <c r="R292" s="5" t="n">
        <v>0</v>
      </c>
      <c r="S292" s="5" t="n">
        <v>45</v>
      </c>
      <c r="T292" s="12" t="n">
        <f aca="false">(O292-M292)/M292</f>
        <v>0.0388</v>
      </c>
      <c r="U292" s="8" t="n">
        <f aca="false">IF(AND(K292&lt;=I292,R292=0),1,0)</f>
        <v>1</v>
      </c>
      <c r="V292" s="10" t="n">
        <f aca="false">IF(Q292="No",P292,0)</f>
        <v>0</v>
      </c>
    </row>
    <row r="293" customFormat="false" ht="15" hidden="false" customHeight="false" outlineLevel="0" collapsed="false">
      <c r="A293" s="5" t="s">
        <v>427</v>
      </c>
      <c r="B293" s="5" t="s">
        <v>79</v>
      </c>
      <c r="C293" s="7" t="n">
        <v>45999</v>
      </c>
      <c r="D293" s="8" t="str">
        <f aca="false">INDEX(Dim_Supplier!$C$2:$C$21,MATCH(B293,Dim_Supplier!$A$2:$A$21,0))</f>
        <v>Logistics</v>
      </c>
      <c r="E293" s="8" t="str">
        <f aca="false">INDEX(Dim_Supplier!$B$2:$B$21,MATCH(B293,Dim_Supplier!$A$2:$A$21,0))</f>
        <v>Niagara Freight Solutions</v>
      </c>
      <c r="F293" s="5" t="s">
        <v>124</v>
      </c>
      <c r="G293" s="5" t="s">
        <v>120</v>
      </c>
      <c r="H293" s="8" t="n">
        <f aca="false">INDEX(Lookup_Tables!$B$2:$B$5,MATCH(D293,Lookup_Tables!$A$2:$A$5,0))</f>
        <v>5</v>
      </c>
      <c r="I293" s="9" t="n">
        <f aca="false">C293+H293</f>
        <v>46004</v>
      </c>
      <c r="J293" s="5" t="n">
        <v>-1</v>
      </c>
      <c r="K293" s="9" t="n">
        <f aca="false">I293+J293</f>
        <v>46003</v>
      </c>
      <c r="L293" s="5" t="n">
        <v>13</v>
      </c>
      <c r="M293" s="10" t="n">
        <f aca="false">INDEX(Dim_Supplier!$F$2:$F$21,MATCH(B293,Dim_Supplier!$A$2:$A$21,0))</f>
        <v>340</v>
      </c>
      <c r="N293" s="11" t="n">
        <v>0.0363</v>
      </c>
      <c r="O293" s="10" t="n">
        <f aca="false">M293*(1+N293)</f>
        <v>352.342</v>
      </c>
      <c r="P293" s="10" t="n">
        <f aca="false">O293*L293</f>
        <v>4580.446</v>
      </c>
      <c r="Q293" s="5" t="s">
        <v>113</v>
      </c>
      <c r="R293" s="5" t="n">
        <v>0</v>
      </c>
      <c r="S293" s="5" t="n">
        <v>30</v>
      </c>
      <c r="T293" s="12" t="n">
        <f aca="false">(O293-M293)/M293</f>
        <v>0.0363</v>
      </c>
      <c r="U293" s="8" t="n">
        <f aca="false">IF(AND(K293&lt;=I293,R293=0),1,0)</f>
        <v>1</v>
      </c>
      <c r="V293" s="10" t="n">
        <f aca="false">IF(Q293="No",P293,0)</f>
        <v>0</v>
      </c>
    </row>
    <row r="294" customFormat="false" ht="15" hidden="false" customHeight="false" outlineLevel="0" collapsed="false">
      <c r="A294" s="5" t="s">
        <v>428</v>
      </c>
      <c r="B294" s="5" t="s">
        <v>86</v>
      </c>
      <c r="C294" s="7" t="n">
        <v>45537</v>
      </c>
      <c r="D294" s="8" t="str">
        <f aca="false">INDEX(Dim_Supplier!$C$2:$C$21,MATCH(B294,Dim_Supplier!$A$2:$A$21,0))</f>
        <v>Logistics</v>
      </c>
      <c r="E294" s="8" t="str">
        <f aca="false">INDEX(Dim_Supplier!$B$2:$B$21,MATCH(B294,Dim_Supplier!$A$2:$A$21,0))</f>
        <v>Blue Water Customs Brokerage</v>
      </c>
      <c r="F294" s="5" t="s">
        <v>237</v>
      </c>
      <c r="G294" s="5" t="s">
        <v>125</v>
      </c>
      <c r="H294" s="8" t="n">
        <f aca="false">INDEX(Lookup_Tables!$B$2:$B$5,MATCH(D294,Lookup_Tables!$A$2:$A$5,0))</f>
        <v>5</v>
      </c>
      <c r="I294" s="9" t="n">
        <f aca="false">C294+H294</f>
        <v>45542</v>
      </c>
      <c r="J294" s="5" t="n">
        <v>0</v>
      </c>
      <c r="K294" s="9" t="n">
        <f aca="false">I294+J294</f>
        <v>45542</v>
      </c>
      <c r="L294" s="5" t="n">
        <v>39</v>
      </c>
      <c r="M294" s="10" t="n">
        <f aca="false">INDEX(Dim_Supplier!$F$2:$F$21,MATCH(B294,Dim_Supplier!$A$2:$A$21,0))</f>
        <v>175</v>
      </c>
      <c r="N294" s="11" t="n">
        <v>0.0253</v>
      </c>
      <c r="O294" s="10" t="n">
        <f aca="false">M294*(1+N294)</f>
        <v>179.4275</v>
      </c>
      <c r="P294" s="10" t="n">
        <f aca="false">O294*L294</f>
        <v>6997.6725</v>
      </c>
      <c r="Q294" s="5" t="s">
        <v>113</v>
      </c>
      <c r="R294" s="5" t="n">
        <v>0</v>
      </c>
      <c r="S294" s="5" t="n">
        <v>30</v>
      </c>
      <c r="T294" s="12" t="n">
        <f aca="false">(O294-M294)/M294</f>
        <v>0.0253000000000001</v>
      </c>
      <c r="U294" s="8" t="n">
        <f aca="false">IF(AND(K294&lt;=I294,R294=0),1,0)</f>
        <v>1</v>
      </c>
      <c r="V294" s="10" t="n">
        <f aca="false">IF(Q294="No",P294,0)</f>
        <v>0</v>
      </c>
    </row>
    <row r="295" customFormat="false" ht="15" hidden="false" customHeight="false" outlineLevel="0" collapsed="false">
      <c r="A295" s="5" t="s">
        <v>429</v>
      </c>
      <c r="B295" s="5" t="s">
        <v>57</v>
      </c>
      <c r="C295" s="7" t="n">
        <v>45616</v>
      </c>
      <c r="D295" s="8" t="str">
        <f aca="false">INDEX(Dim_Supplier!$C$2:$C$21,MATCH(B295,Dim_Supplier!$A$2:$A$21,0))</f>
        <v>Packaging</v>
      </c>
      <c r="E295" s="8" t="str">
        <f aca="false">INDEX(Dim_Supplier!$B$2:$B$21,MATCH(B295,Dim_Supplier!$A$2:$A$21,0))</f>
        <v>Great Lakes Packaging Co.</v>
      </c>
      <c r="F295" s="5" t="s">
        <v>158</v>
      </c>
      <c r="G295" s="5" t="s">
        <v>125</v>
      </c>
      <c r="H295" s="8" t="n">
        <f aca="false">INDEX(Lookup_Tables!$B$2:$B$5,MATCH(D295,Lookup_Tables!$A$2:$A$5,0))</f>
        <v>14</v>
      </c>
      <c r="I295" s="9" t="n">
        <f aca="false">C295+H295</f>
        <v>45630</v>
      </c>
      <c r="J295" s="5" t="n">
        <v>-1</v>
      </c>
      <c r="K295" s="9" t="n">
        <f aca="false">I295+J295</f>
        <v>45629</v>
      </c>
      <c r="L295" s="5" t="n">
        <v>3493</v>
      </c>
      <c r="M295" s="10" t="n">
        <f aca="false">INDEX(Dim_Supplier!$F$2:$F$21,MATCH(B295,Dim_Supplier!$A$2:$A$21,0))</f>
        <v>4.35</v>
      </c>
      <c r="N295" s="11" t="n">
        <v>-0.0099</v>
      </c>
      <c r="O295" s="10" t="n">
        <f aca="false">M295*(1+N295)</f>
        <v>4.306935</v>
      </c>
      <c r="P295" s="10" t="n">
        <f aca="false">O295*L295</f>
        <v>15044.123955</v>
      </c>
      <c r="Q295" s="5" t="s">
        <v>113</v>
      </c>
      <c r="R295" s="5" t="n">
        <v>0</v>
      </c>
      <c r="S295" s="5" t="n">
        <v>30</v>
      </c>
      <c r="T295" s="12" t="n">
        <f aca="false">(O295-M295)/M295</f>
        <v>-0.00990000000000008</v>
      </c>
      <c r="U295" s="8" t="n">
        <f aca="false">IF(AND(K295&lt;=I295,R295=0),1,0)</f>
        <v>1</v>
      </c>
      <c r="V295" s="10" t="n">
        <f aca="false">IF(Q295="No",P295,0)</f>
        <v>0</v>
      </c>
    </row>
    <row r="296" customFormat="false" ht="15" hidden="false" customHeight="false" outlineLevel="0" collapsed="false">
      <c r="A296" s="5" t="s">
        <v>430</v>
      </c>
      <c r="B296" s="5" t="s">
        <v>88</v>
      </c>
      <c r="C296" s="7" t="n">
        <v>45366</v>
      </c>
      <c r="D296" s="8" t="str">
        <f aca="false">INDEX(Dim_Supplier!$C$2:$C$21,MATCH(B296,Dim_Supplier!$A$2:$A$21,0))</f>
        <v>Logistics</v>
      </c>
      <c r="E296" s="8" t="str">
        <f aca="false">INDEX(Dim_Supplier!$B$2:$B$21,MATCH(B296,Dim_Supplier!$A$2:$A$21,0))</f>
        <v>Summit Last-Mile Delivery</v>
      </c>
      <c r="F296" s="5" t="s">
        <v>124</v>
      </c>
      <c r="G296" s="5" t="s">
        <v>129</v>
      </c>
      <c r="H296" s="8" t="n">
        <f aca="false">INDEX(Lookup_Tables!$B$2:$B$5,MATCH(D296,Lookup_Tables!$A$2:$A$5,0))</f>
        <v>5</v>
      </c>
      <c r="I296" s="9" t="n">
        <f aca="false">C296+H296</f>
        <v>45371</v>
      </c>
      <c r="J296" s="5" t="n">
        <v>0</v>
      </c>
      <c r="K296" s="9" t="n">
        <f aca="false">I296+J296</f>
        <v>45371</v>
      </c>
      <c r="L296" s="5" t="n">
        <v>4</v>
      </c>
      <c r="M296" s="10" t="n">
        <f aca="false">INDEX(Dim_Supplier!$F$2:$F$21,MATCH(B296,Dim_Supplier!$A$2:$A$21,0))</f>
        <v>95</v>
      </c>
      <c r="N296" s="11" t="n">
        <v>0.0412</v>
      </c>
      <c r="O296" s="10" t="n">
        <f aca="false">M296*(1+N296)</f>
        <v>98.914</v>
      </c>
      <c r="P296" s="10" t="n">
        <f aca="false">O296*L296</f>
        <v>395.656</v>
      </c>
      <c r="Q296" s="5" t="s">
        <v>133</v>
      </c>
      <c r="R296" s="5" t="n">
        <v>0</v>
      </c>
      <c r="S296" s="5" t="n">
        <v>30</v>
      </c>
      <c r="T296" s="12" t="n">
        <f aca="false">(O296-M296)/M296</f>
        <v>0.0411999999999999</v>
      </c>
      <c r="U296" s="8" t="n">
        <f aca="false">IF(AND(K296&lt;=I296,R296=0),1,0)</f>
        <v>1</v>
      </c>
      <c r="V296" s="10" t="n">
        <f aca="false">IF(Q296="No",P296,0)</f>
        <v>395.656</v>
      </c>
    </row>
    <row r="297" customFormat="false" ht="15" hidden="false" customHeight="false" outlineLevel="0" collapsed="false">
      <c r="A297" s="5" t="s">
        <v>431</v>
      </c>
      <c r="B297" s="5" t="s">
        <v>75</v>
      </c>
      <c r="C297" s="7" t="n">
        <v>46077</v>
      </c>
      <c r="D297" s="8" t="str">
        <f aca="false">INDEX(Dim_Supplier!$C$2:$C$21,MATCH(B297,Dim_Supplier!$A$2:$A$21,0))</f>
        <v>MRO</v>
      </c>
      <c r="E297" s="8" t="str">
        <f aca="false">INDEX(Dim_Supplier!$B$2:$B$21,MATCH(B297,Dim_Supplier!$A$2:$A$21,0))</f>
        <v>Sterling Lubricants Inc.</v>
      </c>
      <c r="F297" s="5" t="s">
        <v>179</v>
      </c>
      <c r="G297" s="5" t="s">
        <v>125</v>
      </c>
      <c r="H297" s="8" t="n">
        <f aca="false">INDEX(Lookup_Tables!$B$2:$B$5,MATCH(D297,Lookup_Tables!$A$2:$A$5,0))</f>
        <v>10</v>
      </c>
      <c r="I297" s="9" t="n">
        <f aca="false">C297+H297</f>
        <v>46087</v>
      </c>
      <c r="J297" s="5" t="n">
        <v>-3</v>
      </c>
      <c r="K297" s="9" t="n">
        <f aca="false">I297+J297</f>
        <v>46084</v>
      </c>
      <c r="L297" s="5" t="n">
        <v>142</v>
      </c>
      <c r="M297" s="10" t="n">
        <f aca="false">INDEX(Dim_Supplier!$F$2:$F$21,MATCH(B297,Dim_Supplier!$A$2:$A$21,0))</f>
        <v>27.1</v>
      </c>
      <c r="N297" s="11" t="n">
        <v>0.0121</v>
      </c>
      <c r="O297" s="10" t="n">
        <f aca="false">M297*(1+N297)</f>
        <v>27.42791</v>
      </c>
      <c r="P297" s="10" t="n">
        <f aca="false">O297*L297</f>
        <v>3894.76322</v>
      </c>
      <c r="Q297" s="5" t="s">
        <v>113</v>
      </c>
      <c r="R297" s="5" t="n">
        <v>0</v>
      </c>
      <c r="S297" s="5" t="n">
        <v>30</v>
      </c>
      <c r="T297" s="12" t="n">
        <f aca="false">(O297-M297)/M297</f>
        <v>0.0121</v>
      </c>
      <c r="U297" s="8" t="n">
        <f aca="false">IF(AND(K297&lt;=I297,R297=0),1,0)</f>
        <v>1</v>
      </c>
      <c r="V297" s="10" t="n">
        <f aca="false">IF(Q297="No",P297,0)</f>
        <v>0</v>
      </c>
    </row>
    <row r="298" customFormat="false" ht="15" hidden="false" customHeight="false" outlineLevel="0" collapsed="false">
      <c r="A298" s="5" t="s">
        <v>432</v>
      </c>
      <c r="B298" s="5" t="s">
        <v>41</v>
      </c>
      <c r="C298" s="7" t="n">
        <v>45500</v>
      </c>
      <c r="D298" s="8" t="str">
        <f aca="false">INDEX(Dim_Supplier!$C$2:$C$21,MATCH(B298,Dim_Supplier!$A$2:$A$21,0))</f>
        <v>Raw Materials</v>
      </c>
      <c r="E298" s="8" t="str">
        <f aca="false">INDEX(Dim_Supplier!$B$2:$B$21,MATCH(B298,Dim_Supplier!$A$2:$A$21,0))</f>
        <v>Ontario Steel Partners</v>
      </c>
      <c r="F298" s="5" t="s">
        <v>115</v>
      </c>
      <c r="G298" s="5" t="s">
        <v>120</v>
      </c>
      <c r="H298" s="8" t="n">
        <f aca="false">INDEX(Lookup_Tables!$B$2:$B$5,MATCH(D298,Lookup_Tables!$A$2:$A$5,0))</f>
        <v>21</v>
      </c>
      <c r="I298" s="9" t="n">
        <f aca="false">C298+H298</f>
        <v>45521</v>
      </c>
      <c r="J298" s="5" t="n">
        <v>-4</v>
      </c>
      <c r="K298" s="9" t="n">
        <f aca="false">I298+J298</f>
        <v>45517</v>
      </c>
      <c r="L298" s="5" t="n">
        <v>1809</v>
      </c>
      <c r="M298" s="10" t="n">
        <f aca="false">INDEX(Dim_Supplier!$F$2:$F$21,MATCH(B298,Dim_Supplier!$A$2:$A$21,0))</f>
        <v>58</v>
      </c>
      <c r="N298" s="11" t="n">
        <v>0.028</v>
      </c>
      <c r="O298" s="10" t="n">
        <f aca="false">M298*(1+N298)</f>
        <v>59.624</v>
      </c>
      <c r="P298" s="10" t="n">
        <f aca="false">O298*L298</f>
        <v>107859.816</v>
      </c>
      <c r="Q298" s="5" t="s">
        <v>113</v>
      </c>
      <c r="R298" s="5" t="n">
        <v>0</v>
      </c>
      <c r="S298" s="5" t="n">
        <v>30</v>
      </c>
      <c r="T298" s="12" t="n">
        <f aca="false">(O298-M298)/M298</f>
        <v>0.028</v>
      </c>
      <c r="U298" s="8" t="n">
        <f aca="false">IF(AND(K298&lt;=I298,R298=0),1,0)</f>
        <v>1</v>
      </c>
      <c r="V298" s="10" t="n">
        <f aca="false">IF(Q298="No",P298,0)</f>
        <v>0</v>
      </c>
    </row>
    <row r="299" customFormat="false" ht="15" hidden="false" customHeight="false" outlineLevel="0" collapsed="false">
      <c r="A299" s="5" t="s">
        <v>433</v>
      </c>
      <c r="B299" s="5" t="s">
        <v>62</v>
      </c>
      <c r="C299" s="7" t="n">
        <v>46158</v>
      </c>
      <c r="D299" s="8" t="str">
        <f aca="false">INDEX(Dim_Supplier!$C$2:$C$21,MATCH(B299,Dim_Supplier!$A$2:$A$21,0))</f>
        <v>Packaging</v>
      </c>
      <c r="E299" s="8" t="str">
        <f aca="false">INDEX(Dim_Supplier!$B$2:$B$21,MATCH(B299,Dim_Supplier!$A$2:$A$21,0))</f>
        <v>Trillium Packaging Solutions</v>
      </c>
      <c r="F299" s="5" t="s">
        <v>158</v>
      </c>
      <c r="G299" s="5" t="s">
        <v>129</v>
      </c>
      <c r="H299" s="8" t="n">
        <f aca="false">INDEX(Lookup_Tables!$B$2:$B$5,MATCH(D299,Lookup_Tables!$A$2:$A$5,0))</f>
        <v>14</v>
      </c>
      <c r="I299" s="9" t="n">
        <f aca="false">C299+H299</f>
        <v>46172</v>
      </c>
      <c r="J299" s="5" t="n">
        <v>-3</v>
      </c>
      <c r="K299" s="9" t="n">
        <f aca="false">I299+J299</f>
        <v>46169</v>
      </c>
      <c r="L299" s="5" t="n">
        <v>1450</v>
      </c>
      <c r="M299" s="10" t="n">
        <f aca="false">INDEX(Dim_Supplier!$F$2:$F$21,MATCH(B299,Dim_Supplier!$A$2:$A$21,0))</f>
        <v>5.6</v>
      </c>
      <c r="N299" s="11" t="n">
        <v>0.0655</v>
      </c>
      <c r="O299" s="10" t="n">
        <f aca="false">M299*(1+N299)</f>
        <v>5.9668</v>
      </c>
      <c r="P299" s="10" t="n">
        <f aca="false">O299*L299</f>
        <v>8651.86</v>
      </c>
      <c r="Q299" s="5" t="s">
        <v>113</v>
      </c>
      <c r="R299" s="5" t="n">
        <v>0</v>
      </c>
      <c r="S299" s="5" t="n">
        <v>30</v>
      </c>
      <c r="T299" s="12" t="n">
        <f aca="false">(O299-M299)/M299</f>
        <v>0.0655000000000001</v>
      </c>
      <c r="U299" s="8" t="n">
        <f aca="false">IF(AND(K299&lt;=I299,R299=0),1,0)</f>
        <v>1</v>
      </c>
      <c r="V299" s="10" t="n">
        <f aca="false">IF(Q299="No",P299,0)</f>
        <v>0</v>
      </c>
    </row>
    <row r="300" customFormat="false" ht="15" hidden="false" customHeight="false" outlineLevel="0" collapsed="false">
      <c r="A300" s="5" t="s">
        <v>434</v>
      </c>
      <c r="B300" s="5" t="s">
        <v>77</v>
      </c>
      <c r="C300" s="7" t="n">
        <v>46050</v>
      </c>
      <c r="D300" s="8" t="str">
        <f aca="false">INDEX(Dim_Supplier!$C$2:$C$21,MATCH(B300,Dim_Supplier!$A$2:$A$21,0))</f>
        <v>MRO</v>
      </c>
      <c r="E300" s="8" t="str">
        <f aca="false">INDEX(Dim_Supplier!$B$2:$B$21,MATCH(B300,Dim_Supplier!$A$2:$A$21,0))</f>
        <v>Apex Industrial Supply</v>
      </c>
      <c r="F300" s="5" t="s">
        <v>164</v>
      </c>
      <c r="G300" s="5" t="s">
        <v>129</v>
      </c>
      <c r="H300" s="8" t="n">
        <f aca="false">INDEX(Lookup_Tables!$B$2:$B$5,MATCH(D300,Lookup_Tables!$A$2:$A$5,0))</f>
        <v>10</v>
      </c>
      <c r="I300" s="9" t="n">
        <f aca="false">C300+H300</f>
        <v>46060</v>
      </c>
      <c r="J300" s="5" t="n">
        <v>0</v>
      </c>
      <c r="K300" s="9" t="n">
        <f aca="false">I300+J300</f>
        <v>46060</v>
      </c>
      <c r="L300" s="5" t="n">
        <v>7</v>
      </c>
      <c r="M300" s="10" t="n">
        <f aca="false">INDEX(Dim_Supplier!$F$2:$F$21,MATCH(B300,Dim_Supplier!$A$2:$A$21,0))</f>
        <v>24.6</v>
      </c>
      <c r="N300" s="11" t="n">
        <v>0.0509</v>
      </c>
      <c r="O300" s="10" t="n">
        <f aca="false">M300*(1+N300)</f>
        <v>25.85214</v>
      </c>
      <c r="P300" s="10" t="n">
        <f aca="false">O300*L300</f>
        <v>180.96498</v>
      </c>
      <c r="Q300" s="5" t="s">
        <v>113</v>
      </c>
      <c r="R300" s="5" t="n">
        <v>0</v>
      </c>
      <c r="S300" s="5" t="n">
        <v>45</v>
      </c>
      <c r="T300" s="12" t="n">
        <f aca="false">(O300-M300)/M300</f>
        <v>0.0508999999999999</v>
      </c>
      <c r="U300" s="8" t="n">
        <f aca="false">IF(AND(K300&lt;=I300,R300=0),1,0)</f>
        <v>1</v>
      </c>
      <c r="V300" s="10" t="n">
        <f aca="false">IF(Q300="No",P300,0)</f>
        <v>0</v>
      </c>
    </row>
    <row r="301" customFormat="false" ht="15" hidden="false" customHeight="false" outlineLevel="0" collapsed="false">
      <c r="A301" s="5" t="s">
        <v>435</v>
      </c>
      <c r="B301" s="5" t="s">
        <v>79</v>
      </c>
      <c r="C301" s="7" t="n">
        <v>46030</v>
      </c>
      <c r="D301" s="8" t="str">
        <f aca="false">INDEX(Dim_Supplier!$C$2:$C$21,MATCH(B301,Dim_Supplier!$A$2:$A$21,0))</f>
        <v>Logistics</v>
      </c>
      <c r="E301" s="8" t="str">
        <f aca="false">INDEX(Dim_Supplier!$B$2:$B$21,MATCH(B301,Dim_Supplier!$A$2:$A$21,0))</f>
        <v>Niagara Freight Solutions</v>
      </c>
      <c r="F301" s="5" t="s">
        <v>146</v>
      </c>
      <c r="G301" s="5" t="s">
        <v>112</v>
      </c>
      <c r="H301" s="8" t="n">
        <f aca="false">INDEX(Lookup_Tables!$B$2:$B$5,MATCH(D301,Lookup_Tables!$A$2:$A$5,0))</f>
        <v>5</v>
      </c>
      <c r="I301" s="9" t="n">
        <f aca="false">C301+H301</f>
        <v>46035</v>
      </c>
      <c r="J301" s="5" t="n">
        <v>-4</v>
      </c>
      <c r="K301" s="9" t="n">
        <f aca="false">I301+J301</f>
        <v>46031</v>
      </c>
      <c r="L301" s="5" t="n">
        <v>18</v>
      </c>
      <c r="M301" s="10" t="n">
        <f aca="false">INDEX(Dim_Supplier!$F$2:$F$21,MATCH(B301,Dim_Supplier!$A$2:$A$21,0))</f>
        <v>340</v>
      </c>
      <c r="N301" s="11" t="n">
        <v>0.034</v>
      </c>
      <c r="O301" s="10" t="n">
        <f aca="false">M301*(1+N301)</f>
        <v>351.56</v>
      </c>
      <c r="P301" s="10" t="n">
        <f aca="false">O301*L301</f>
        <v>6328.08</v>
      </c>
      <c r="Q301" s="5" t="s">
        <v>113</v>
      </c>
      <c r="R301" s="5" t="n">
        <v>0</v>
      </c>
      <c r="S301" s="5" t="n">
        <v>60</v>
      </c>
      <c r="T301" s="12" t="n">
        <f aca="false">(O301-M301)/M301</f>
        <v>0.034</v>
      </c>
      <c r="U301" s="8" t="n">
        <f aca="false">IF(AND(K301&lt;=I301,R301=0),1,0)</f>
        <v>1</v>
      </c>
      <c r="V301" s="10" t="n">
        <f aca="false">IF(Q301="No",P301,0)</f>
        <v>0</v>
      </c>
    </row>
    <row r="302" customFormat="false" ht="15" hidden="false" customHeight="false" outlineLevel="0" collapsed="false">
      <c r="A302" s="5" t="s">
        <v>436</v>
      </c>
      <c r="B302" s="5" t="s">
        <v>57</v>
      </c>
      <c r="C302" s="7" t="n">
        <v>45731</v>
      </c>
      <c r="D302" s="8" t="str">
        <f aca="false">INDEX(Dim_Supplier!$C$2:$C$21,MATCH(B302,Dim_Supplier!$A$2:$A$21,0))</f>
        <v>Packaging</v>
      </c>
      <c r="E302" s="8" t="str">
        <f aca="false">INDEX(Dim_Supplier!$B$2:$B$21,MATCH(B302,Dim_Supplier!$A$2:$A$21,0))</f>
        <v>Great Lakes Packaging Co.</v>
      </c>
      <c r="F302" s="5" t="s">
        <v>119</v>
      </c>
      <c r="G302" s="5" t="s">
        <v>129</v>
      </c>
      <c r="H302" s="8" t="n">
        <f aca="false">INDEX(Lookup_Tables!$B$2:$B$5,MATCH(D302,Lookup_Tables!$A$2:$A$5,0))</f>
        <v>14</v>
      </c>
      <c r="I302" s="9" t="n">
        <f aca="false">C302+H302</f>
        <v>45745</v>
      </c>
      <c r="J302" s="5" t="n">
        <v>-3</v>
      </c>
      <c r="K302" s="9" t="n">
        <f aca="false">I302+J302</f>
        <v>45742</v>
      </c>
      <c r="L302" s="5" t="n">
        <v>1131</v>
      </c>
      <c r="M302" s="10" t="n">
        <f aca="false">INDEX(Dim_Supplier!$F$2:$F$21,MATCH(B302,Dim_Supplier!$A$2:$A$21,0))</f>
        <v>4.35</v>
      </c>
      <c r="N302" s="11" t="n">
        <v>0.0642</v>
      </c>
      <c r="O302" s="10" t="n">
        <f aca="false">M302*(1+N302)</f>
        <v>4.62927</v>
      </c>
      <c r="P302" s="10" t="n">
        <f aca="false">O302*L302</f>
        <v>5235.70437</v>
      </c>
      <c r="Q302" s="5" t="s">
        <v>113</v>
      </c>
      <c r="R302" s="5" t="n">
        <v>0</v>
      </c>
      <c r="S302" s="5" t="n">
        <v>30</v>
      </c>
      <c r="T302" s="12" t="n">
        <f aca="false">(O302-M302)/M302</f>
        <v>0.0642000000000001</v>
      </c>
      <c r="U302" s="8" t="n">
        <f aca="false">IF(AND(K302&lt;=I302,R302=0),1,0)</f>
        <v>1</v>
      </c>
      <c r="V302" s="10" t="n">
        <f aca="false">IF(Q302="No",P302,0)</f>
        <v>0</v>
      </c>
    </row>
    <row r="303" customFormat="false" ht="15" hidden="false" customHeight="false" outlineLevel="0" collapsed="false">
      <c r="A303" s="5" t="s">
        <v>437</v>
      </c>
      <c r="B303" s="5" t="s">
        <v>82</v>
      </c>
      <c r="C303" s="7" t="n">
        <v>45462</v>
      </c>
      <c r="D303" s="8" t="str">
        <f aca="false">INDEX(Dim_Supplier!$C$2:$C$21,MATCH(B303,Dim_Supplier!$A$2:$A$21,0))</f>
        <v>Logistics</v>
      </c>
      <c r="E303" s="8" t="str">
        <f aca="false">INDEX(Dim_Supplier!$B$2:$B$21,MATCH(B303,Dim_Supplier!$A$2:$A$21,0))</f>
        <v>Maple Route Logistics</v>
      </c>
      <c r="F303" s="5" t="s">
        <v>146</v>
      </c>
      <c r="G303" s="5" t="s">
        <v>112</v>
      </c>
      <c r="H303" s="8" t="n">
        <f aca="false">INDEX(Lookup_Tables!$B$2:$B$5,MATCH(D303,Lookup_Tables!$A$2:$A$5,0))</f>
        <v>5</v>
      </c>
      <c r="I303" s="9" t="n">
        <f aca="false">C303+H303</f>
        <v>45467</v>
      </c>
      <c r="J303" s="5" t="n">
        <v>-1</v>
      </c>
      <c r="K303" s="9" t="n">
        <f aca="false">I303+J303</f>
        <v>45466</v>
      </c>
      <c r="L303" s="5" t="n">
        <v>37</v>
      </c>
      <c r="M303" s="10" t="n">
        <f aca="false">INDEX(Dim_Supplier!$F$2:$F$21,MATCH(B303,Dim_Supplier!$A$2:$A$21,0))</f>
        <v>285</v>
      </c>
      <c r="N303" s="11" t="n">
        <v>0.0393</v>
      </c>
      <c r="O303" s="10" t="n">
        <f aca="false">M303*(1+N303)</f>
        <v>296.2005</v>
      </c>
      <c r="P303" s="10" t="n">
        <f aca="false">O303*L303</f>
        <v>10959.4185</v>
      </c>
      <c r="Q303" s="5" t="s">
        <v>113</v>
      </c>
      <c r="R303" s="5" t="n">
        <v>0</v>
      </c>
      <c r="S303" s="5" t="n">
        <v>45</v>
      </c>
      <c r="T303" s="12" t="n">
        <f aca="false">(O303-M303)/M303</f>
        <v>0.0392999999999999</v>
      </c>
      <c r="U303" s="8" t="n">
        <f aca="false">IF(AND(K303&lt;=I303,R303=0),1,0)</f>
        <v>1</v>
      </c>
      <c r="V303" s="10" t="n">
        <f aca="false">IF(Q303="No",P303,0)</f>
        <v>0</v>
      </c>
    </row>
    <row r="304" customFormat="false" ht="15" hidden="false" customHeight="false" outlineLevel="0" collapsed="false">
      <c r="A304" s="5" t="s">
        <v>438</v>
      </c>
      <c r="B304" s="5" t="s">
        <v>41</v>
      </c>
      <c r="C304" s="7" t="n">
        <v>46171</v>
      </c>
      <c r="D304" s="8" t="str">
        <f aca="false">INDEX(Dim_Supplier!$C$2:$C$21,MATCH(B304,Dim_Supplier!$A$2:$A$21,0))</f>
        <v>Raw Materials</v>
      </c>
      <c r="E304" s="8" t="str">
        <f aca="false">INDEX(Dim_Supplier!$B$2:$B$21,MATCH(B304,Dim_Supplier!$A$2:$A$21,0))</f>
        <v>Ontario Steel Partners</v>
      </c>
      <c r="F304" s="5" t="s">
        <v>148</v>
      </c>
      <c r="G304" s="5" t="s">
        <v>112</v>
      </c>
      <c r="H304" s="8" t="n">
        <f aca="false">INDEX(Lookup_Tables!$B$2:$B$5,MATCH(D304,Lookup_Tables!$A$2:$A$5,0))</f>
        <v>21</v>
      </c>
      <c r="I304" s="9" t="n">
        <f aca="false">C304+H304</f>
        <v>46192</v>
      </c>
      <c r="J304" s="5" t="n">
        <v>-1</v>
      </c>
      <c r="K304" s="9" t="n">
        <f aca="false">I304+J304</f>
        <v>46191</v>
      </c>
      <c r="L304" s="5" t="n">
        <v>1984</v>
      </c>
      <c r="M304" s="10" t="n">
        <f aca="false">INDEX(Dim_Supplier!$F$2:$F$21,MATCH(B304,Dim_Supplier!$A$2:$A$21,0))</f>
        <v>58</v>
      </c>
      <c r="N304" s="11" t="n">
        <v>0.0154</v>
      </c>
      <c r="O304" s="10" t="n">
        <f aca="false">M304*(1+N304)</f>
        <v>58.8932</v>
      </c>
      <c r="P304" s="10" t="n">
        <f aca="false">O304*L304</f>
        <v>116844.1088</v>
      </c>
      <c r="Q304" s="5" t="s">
        <v>113</v>
      </c>
      <c r="R304" s="5" t="n">
        <v>0</v>
      </c>
      <c r="S304" s="5" t="n">
        <v>60</v>
      </c>
      <c r="T304" s="12" t="n">
        <f aca="false">(O304-M304)/M304</f>
        <v>0.0154000000000001</v>
      </c>
      <c r="U304" s="8" t="n">
        <f aca="false">IF(AND(K304&lt;=I304,R304=0),1,0)</f>
        <v>1</v>
      </c>
      <c r="V304" s="10" t="n">
        <f aca="false">IF(Q304="No",P304,0)</f>
        <v>0</v>
      </c>
    </row>
    <row r="305" customFormat="false" ht="15" hidden="false" customHeight="false" outlineLevel="0" collapsed="false">
      <c r="A305" s="5" t="s">
        <v>439</v>
      </c>
      <c r="B305" s="5" t="s">
        <v>68</v>
      </c>
      <c r="C305" s="7" t="n">
        <v>46023</v>
      </c>
      <c r="D305" s="8" t="str">
        <f aca="false">INDEX(Dim_Supplier!$C$2:$C$21,MATCH(B305,Dim_Supplier!$A$2:$A$21,0))</f>
        <v>MRO</v>
      </c>
      <c r="E305" s="8" t="str">
        <f aca="false">INDEX(Dim_Supplier!$B$2:$B$21,MATCH(B305,Dim_Supplier!$A$2:$A$21,0))</f>
        <v>Precision Tool &amp; Supply</v>
      </c>
      <c r="F305" s="5" t="s">
        <v>179</v>
      </c>
      <c r="G305" s="5" t="s">
        <v>112</v>
      </c>
      <c r="H305" s="8" t="n">
        <f aca="false">INDEX(Lookup_Tables!$B$2:$B$5,MATCH(D305,Lookup_Tables!$A$2:$A$5,0))</f>
        <v>10</v>
      </c>
      <c r="I305" s="9" t="n">
        <f aca="false">C305+H305</f>
        <v>46033</v>
      </c>
      <c r="J305" s="5" t="n">
        <v>-4</v>
      </c>
      <c r="K305" s="9" t="n">
        <f aca="false">I305+J305</f>
        <v>46029</v>
      </c>
      <c r="L305" s="5" t="n">
        <v>189</v>
      </c>
      <c r="M305" s="10" t="n">
        <f aca="false">INDEX(Dim_Supplier!$F$2:$F$21,MATCH(B305,Dim_Supplier!$A$2:$A$21,0))</f>
        <v>22.4</v>
      </c>
      <c r="N305" s="11" t="n">
        <v>0.0287</v>
      </c>
      <c r="O305" s="10" t="n">
        <f aca="false">M305*(1+N305)</f>
        <v>23.04288</v>
      </c>
      <c r="P305" s="10" t="n">
        <f aca="false">O305*L305</f>
        <v>4355.10432</v>
      </c>
      <c r="Q305" s="5" t="s">
        <v>113</v>
      </c>
      <c r="R305" s="5" t="n">
        <v>0</v>
      </c>
      <c r="S305" s="5" t="n">
        <v>45</v>
      </c>
      <c r="T305" s="12" t="n">
        <f aca="false">(O305-M305)/M305</f>
        <v>0.0286999999999999</v>
      </c>
      <c r="U305" s="8" t="n">
        <f aca="false">IF(AND(K305&lt;=I305,R305=0),1,0)</f>
        <v>1</v>
      </c>
      <c r="V305" s="10" t="n">
        <f aca="false">IF(Q305="No",P305,0)</f>
        <v>0</v>
      </c>
    </row>
    <row r="306" customFormat="false" ht="15" hidden="false" customHeight="false" outlineLevel="0" collapsed="false">
      <c r="A306" s="5" t="s">
        <v>440</v>
      </c>
      <c r="B306" s="5" t="s">
        <v>46</v>
      </c>
      <c r="C306" s="7" t="n">
        <v>45981</v>
      </c>
      <c r="D306" s="8" t="str">
        <f aca="false">INDEX(Dim_Supplier!$C$2:$C$21,MATCH(B306,Dim_Supplier!$A$2:$A$21,0))</f>
        <v>Raw Materials</v>
      </c>
      <c r="E306" s="8" t="str">
        <f aca="false">INDEX(Dim_Supplier!$B$2:$B$21,MATCH(B306,Dim_Supplier!$A$2:$A$21,0))</f>
        <v>Niagara Alloy Supply</v>
      </c>
      <c r="F306" s="5" t="s">
        <v>148</v>
      </c>
      <c r="G306" s="5" t="s">
        <v>112</v>
      </c>
      <c r="H306" s="8" t="n">
        <f aca="false">INDEX(Lookup_Tables!$B$2:$B$5,MATCH(D306,Lookup_Tables!$A$2:$A$5,0))</f>
        <v>21</v>
      </c>
      <c r="I306" s="9" t="n">
        <f aca="false">C306+H306</f>
        <v>46002</v>
      </c>
      <c r="J306" s="5" t="n">
        <v>-1</v>
      </c>
      <c r="K306" s="9" t="n">
        <f aca="false">I306+J306</f>
        <v>46001</v>
      </c>
      <c r="L306" s="5" t="n">
        <v>194</v>
      </c>
      <c r="M306" s="10" t="n">
        <f aca="false">INDEX(Dim_Supplier!$F$2:$F$21,MATCH(B306,Dim_Supplier!$A$2:$A$21,0))</f>
        <v>46.5</v>
      </c>
      <c r="N306" s="11" t="n">
        <v>0.0537</v>
      </c>
      <c r="O306" s="10" t="n">
        <f aca="false">M306*(1+N306)</f>
        <v>48.99705</v>
      </c>
      <c r="P306" s="10" t="n">
        <f aca="false">O306*L306</f>
        <v>9505.4277</v>
      </c>
      <c r="Q306" s="5" t="s">
        <v>133</v>
      </c>
      <c r="R306" s="5" t="n">
        <v>0</v>
      </c>
      <c r="S306" s="5" t="n">
        <v>30</v>
      </c>
      <c r="T306" s="12" t="n">
        <f aca="false">(O306-M306)/M306</f>
        <v>0.0537</v>
      </c>
      <c r="U306" s="8" t="n">
        <f aca="false">IF(AND(K306&lt;=I306,R306=0),1,0)</f>
        <v>1</v>
      </c>
      <c r="V306" s="10" t="n">
        <f aca="false">IF(Q306="No",P306,0)</f>
        <v>9505.4277</v>
      </c>
    </row>
    <row r="307" customFormat="false" ht="15" hidden="false" customHeight="false" outlineLevel="0" collapsed="false">
      <c r="A307" s="5" t="s">
        <v>441</v>
      </c>
      <c r="B307" s="5" t="s">
        <v>54</v>
      </c>
      <c r="C307" s="7" t="n">
        <v>46157</v>
      </c>
      <c r="D307" s="8" t="str">
        <f aca="false">INDEX(Dim_Supplier!$C$2:$C$21,MATCH(B307,Dim_Supplier!$A$2:$A$21,0))</f>
        <v>Raw Materials</v>
      </c>
      <c r="E307" s="8" t="str">
        <f aca="false">INDEX(Dim_Supplier!$B$2:$B$21,MATCH(B307,Dim_Supplier!$A$2:$A$21,0))</f>
        <v>Northern Resin Solutions</v>
      </c>
      <c r="F307" s="5" t="s">
        <v>139</v>
      </c>
      <c r="G307" s="5" t="s">
        <v>120</v>
      </c>
      <c r="H307" s="8" t="n">
        <f aca="false">INDEX(Lookup_Tables!$B$2:$B$5,MATCH(D307,Lookup_Tables!$A$2:$A$5,0))</f>
        <v>21</v>
      </c>
      <c r="I307" s="9" t="n">
        <f aca="false">C307+H307</f>
        <v>46178</v>
      </c>
      <c r="J307" s="5" t="n">
        <v>1</v>
      </c>
      <c r="K307" s="9" t="n">
        <f aca="false">I307+J307</f>
        <v>46179</v>
      </c>
      <c r="L307" s="5" t="n">
        <v>855</v>
      </c>
      <c r="M307" s="10" t="n">
        <f aca="false">INDEX(Dim_Supplier!$F$2:$F$21,MATCH(B307,Dim_Supplier!$A$2:$A$21,0))</f>
        <v>38.9</v>
      </c>
      <c r="N307" s="11" t="n">
        <v>0.0614</v>
      </c>
      <c r="O307" s="10" t="n">
        <f aca="false">M307*(1+N307)</f>
        <v>41.28846</v>
      </c>
      <c r="P307" s="10" t="n">
        <f aca="false">O307*L307</f>
        <v>35301.6333</v>
      </c>
      <c r="Q307" s="5" t="s">
        <v>113</v>
      </c>
      <c r="R307" s="5" t="n">
        <v>0</v>
      </c>
      <c r="S307" s="5" t="n">
        <v>30</v>
      </c>
      <c r="T307" s="12" t="n">
        <f aca="false">(O307-M307)/M307</f>
        <v>0.0613999999999999</v>
      </c>
      <c r="U307" s="8" t="n">
        <f aca="false">IF(AND(K307&lt;=I307,R307=0),1,0)</f>
        <v>0</v>
      </c>
      <c r="V307" s="10" t="n">
        <f aca="false">IF(Q307="No",P307,0)</f>
        <v>0</v>
      </c>
    </row>
    <row r="308" customFormat="false" ht="15" hidden="false" customHeight="false" outlineLevel="0" collapsed="false">
      <c r="A308" s="5" t="s">
        <v>442</v>
      </c>
      <c r="B308" s="5" t="s">
        <v>71</v>
      </c>
      <c r="C308" s="7" t="n">
        <v>45767</v>
      </c>
      <c r="D308" s="8" t="str">
        <f aca="false">INDEX(Dim_Supplier!$C$2:$C$21,MATCH(B308,Dim_Supplier!$A$2:$A$21,0))</f>
        <v>MRO</v>
      </c>
      <c r="E308" s="8" t="str">
        <f aca="false">INDEX(Dim_Supplier!$B$2:$B$21,MATCH(B308,Dim_Supplier!$A$2:$A$21,0))</f>
        <v>CanSafe Equipment Ltd.</v>
      </c>
      <c r="F308" s="5" t="s">
        <v>111</v>
      </c>
      <c r="G308" s="5" t="s">
        <v>125</v>
      </c>
      <c r="H308" s="8" t="n">
        <f aca="false">INDEX(Lookup_Tables!$B$2:$B$5,MATCH(D308,Lookup_Tables!$A$2:$A$5,0))</f>
        <v>10</v>
      </c>
      <c r="I308" s="9" t="n">
        <f aca="false">C308+H308</f>
        <v>45777</v>
      </c>
      <c r="J308" s="5" t="n">
        <v>2</v>
      </c>
      <c r="K308" s="9" t="n">
        <f aca="false">I308+J308</f>
        <v>45779</v>
      </c>
      <c r="L308" s="5" t="n">
        <v>192</v>
      </c>
      <c r="M308" s="10" t="n">
        <f aca="false">INDEX(Dim_Supplier!$F$2:$F$21,MATCH(B308,Dim_Supplier!$A$2:$A$21,0))</f>
        <v>18.75</v>
      </c>
      <c r="N308" s="11" t="n">
        <v>0.0295</v>
      </c>
      <c r="O308" s="10" t="n">
        <f aca="false">M308*(1+N308)</f>
        <v>19.303125</v>
      </c>
      <c r="P308" s="10" t="n">
        <f aca="false">O308*L308</f>
        <v>3706.2</v>
      </c>
      <c r="Q308" s="5" t="s">
        <v>133</v>
      </c>
      <c r="R308" s="5" t="n">
        <v>0</v>
      </c>
      <c r="S308" s="5" t="n">
        <v>30</v>
      </c>
      <c r="T308" s="12" t="n">
        <f aca="false">(O308-M308)/M308</f>
        <v>0.0295000000000001</v>
      </c>
      <c r="U308" s="8" t="n">
        <f aca="false">IF(AND(K308&lt;=I308,R308=0),1,0)</f>
        <v>0</v>
      </c>
      <c r="V308" s="10" t="n">
        <f aca="false">IF(Q308="No",P308,0)</f>
        <v>3706.2</v>
      </c>
    </row>
    <row r="309" customFormat="false" ht="15" hidden="false" customHeight="false" outlineLevel="0" collapsed="false">
      <c r="A309" s="5" t="s">
        <v>443</v>
      </c>
      <c r="B309" s="5" t="s">
        <v>41</v>
      </c>
      <c r="C309" s="7" t="n">
        <v>45711</v>
      </c>
      <c r="D309" s="8" t="str">
        <f aca="false">INDEX(Dim_Supplier!$C$2:$C$21,MATCH(B309,Dim_Supplier!$A$2:$A$21,0))</f>
        <v>Raw Materials</v>
      </c>
      <c r="E309" s="8" t="str">
        <f aca="false">INDEX(Dim_Supplier!$B$2:$B$21,MATCH(B309,Dim_Supplier!$A$2:$A$21,0))</f>
        <v>Ontario Steel Partners</v>
      </c>
      <c r="F309" s="5" t="s">
        <v>148</v>
      </c>
      <c r="G309" s="5" t="s">
        <v>112</v>
      </c>
      <c r="H309" s="8" t="n">
        <f aca="false">INDEX(Lookup_Tables!$B$2:$B$5,MATCH(D309,Lookup_Tables!$A$2:$A$5,0))</f>
        <v>21</v>
      </c>
      <c r="I309" s="9" t="n">
        <f aca="false">C309+H309</f>
        <v>45732</v>
      </c>
      <c r="J309" s="5" t="n">
        <v>-4</v>
      </c>
      <c r="K309" s="9" t="n">
        <f aca="false">I309+J309</f>
        <v>45728</v>
      </c>
      <c r="L309" s="5" t="n">
        <v>1520</v>
      </c>
      <c r="M309" s="10" t="n">
        <f aca="false">INDEX(Dim_Supplier!$F$2:$F$21,MATCH(B309,Dim_Supplier!$A$2:$A$21,0))</f>
        <v>58</v>
      </c>
      <c r="N309" s="11" t="n">
        <v>0.0027</v>
      </c>
      <c r="O309" s="10" t="n">
        <f aca="false">M309*(1+N309)</f>
        <v>58.1566</v>
      </c>
      <c r="P309" s="10" t="n">
        <f aca="false">O309*L309</f>
        <v>88398.032</v>
      </c>
      <c r="Q309" s="5" t="s">
        <v>113</v>
      </c>
      <c r="R309" s="5" t="n">
        <v>0</v>
      </c>
      <c r="S309" s="5" t="n">
        <v>30</v>
      </c>
      <c r="T309" s="12" t="n">
        <f aca="false">(O309-M309)/M309</f>
        <v>0.00269999999999996</v>
      </c>
      <c r="U309" s="8" t="n">
        <f aca="false">IF(AND(K309&lt;=I309,R309=0),1,0)</f>
        <v>1</v>
      </c>
      <c r="V309" s="10" t="n">
        <f aca="false">IF(Q309="No",P309,0)</f>
        <v>0</v>
      </c>
    </row>
    <row r="310" customFormat="false" ht="15" hidden="false" customHeight="false" outlineLevel="0" collapsed="false">
      <c r="A310" s="5" t="s">
        <v>444</v>
      </c>
      <c r="B310" s="5" t="s">
        <v>73</v>
      </c>
      <c r="C310" s="7" t="n">
        <v>46161</v>
      </c>
      <c r="D310" s="8" t="str">
        <f aca="false">INDEX(Dim_Supplier!$C$2:$C$21,MATCH(B310,Dim_Supplier!$A$2:$A$21,0))</f>
        <v>MRO</v>
      </c>
      <c r="E310" s="8" t="str">
        <f aca="false">INDEX(Dim_Supplier!$B$2:$B$21,MATCH(B310,Dim_Supplier!$A$2:$A$21,0))</f>
        <v>Frontier MRO Solutions</v>
      </c>
      <c r="F310" s="5" t="s">
        <v>111</v>
      </c>
      <c r="G310" s="5" t="s">
        <v>129</v>
      </c>
      <c r="H310" s="8" t="n">
        <f aca="false">INDEX(Lookup_Tables!$B$2:$B$5,MATCH(D310,Lookup_Tables!$A$2:$A$5,0))</f>
        <v>10</v>
      </c>
      <c r="I310" s="9" t="n">
        <f aca="false">C310+H310</f>
        <v>46171</v>
      </c>
      <c r="J310" s="5" t="n">
        <v>7</v>
      </c>
      <c r="K310" s="9" t="n">
        <f aca="false">I310+J310</f>
        <v>46178</v>
      </c>
      <c r="L310" s="5" t="n">
        <v>112</v>
      </c>
      <c r="M310" s="10" t="n">
        <f aca="false">INDEX(Dim_Supplier!$F$2:$F$21,MATCH(B310,Dim_Supplier!$A$2:$A$21,0))</f>
        <v>15.9</v>
      </c>
      <c r="N310" s="11" t="n">
        <v>0.2049</v>
      </c>
      <c r="O310" s="10" t="n">
        <f aca="false">M310*(1+N310)</f>
        <v>19.15791</v>
      </c>
      <c r="P310" s="10" t="n">
        <f aca="false">O310*L310</f>
        <v>2145.68592</v>
      </c>
      <c r="Q310" s="5" t="s">
        <v>133</v>
      </c>
      <c r="R310" s="5" t="n">
        <v>3</v>
      </c>
      <c r="S310" s="5" t="n">
        <v>45</v>
      </c>
      <c r="T310" s="12" t="n">
        <f aca="false">(O310-M310)/M310</f>
        <v>0.2049</v>
      </c>
      <c r="U310" s="8" t="n">
        <f aca="false">IF(AND(K310&lt;=I310,R310=0),1,0)</f>
        <v>0</v>
      </c>
      <c r="V310" s="10" t="n">
        <f aca="false">IF(Q310="No",P310,0)</f>
        <v>2145.68592</v>
      </c>
    </row>
    <row r="311" customFormat="false" ht="15" hidden="false" customHeight="false" outlineLevel="0" collapsed="false">
      <c r="A311" s="5" t="s">
        <v>445</v>
      </c>
      <c r="B311" s="5" t="s">
        <v>46</v>
      </c>
      <c r="C311" s="7" t="n">
        <v>45529</v>
      </c>
      <c r="D311" s="8" t="str">
        <f aca="false">INDEX(Dim_Supplier!$C$2:$C$21,MATCH(B311,Dim_Supplier!$A$2:$A$21,0))</f>
        <v>Raw Materials</v>
      </c>
      <c r="E311" s="8" t="str">
        <f aca="false">INDEX(Dim_Supplier!$B$2:$B$21,MATCH(B311,Dim_Supplier!$A$2:$A$21,0))</f>
        <v>Niagara Alloy Supply</v>
      </c>
      <c r="F311" s="5" t="s">
        <v>144</v>
      </c>
      <c r="G311" s="5" t="s">
        <v>125</v>
      </c>
      <c r="H311" s="8" t="n">
        <f aca="false">INDEX(Lookup_Tables!$B$2:$B$5,MATCH(D311,Lookup_Tables!$A$2:$A$5,0))</f>
        <v>21</v>
      </c>
      <c r="I311" s="9" t="n">
        <f aca="false">C311+H311</f>
        <v>45550</v>
      </c>
      <c r="J311" s="5" t="n">
        <v>-2</v>
      </c>
      <c r="K311" s="9" t="n">
        <f aca="false">I311+J311</f>
        <v>45548</v>
      </c>
      <c r="L311" s="5" t="n">
        <v>1631</v>
      </c>
      <c r="M311" s="10" t="n">
        <f aca="false">INDEX(Dim_Supplier!$F$2:$F$21,MATCH(B311,Dim_Supplier!$A$2:$A$21,0))</f>
        <v>46.5</v>
      </c>
      <c r="N311" s="11" t="n">
        <v>0.0116</v>
      </c>
      <c r="O311" s="10" t="n">
        <f aca="false">M311*(1+N311)</f>
        <v>47.0394</v>
      </c>
      <c r="P311" s="10" t="n">
        <f aca="false">O311*L311</f>
        <v>76721.2614</v>
      </c>
      <c r="Q311" s="5" t="s">
        <v>113</v>
      </c>
      <c r="R311" s="5" t="n">
        <v>0</v>
      </c>
      <c r="S311" s="5" t="n">
        <v>30</v>
      </c>
      <c r="T311" s="12" t="n">
        <f aca="false">(O311-M311)/M311</f>
        <v>0.0116</v>
      </c>
      <c r="U311" s="8" t="n">
        <f aca="false">IF(AND(K311&lt;=I311,R311=0),1,0)</f>
        <v>1</v>
      </c>
      <c r="V311" s="10" t="n">
        <f aca="false">IF(Q311="No",P311,0)</f>
        <v>0</v>
      </c>
    </row>
    <row r="312" customFormat="false" ht="15" hidden="false" customHeight="false" outlineLevel="0" collapsed="false">
      <c r="A312" s="5" t="s">
        <v>446</v>
      </c>
      <c r="B312" s="5" t="s">
        <v>79</v>
      </c>
      <c r="C312" s="7" t="n">
        <v>45368</v>
      </c>
      <c r="D312" s="8" t="str">
        <f aca="false">INDEX(Dim_Supplier!$C$2:$C$21,MATCH(B312,Dim_Supplier!$A$2:$A$21,0))</f>
        <v>Logistics</v>
      </c>
      <c r="E312" s="8" t="str">
        <f aca="false">INDEX(Dim_Supplier!$B$2:$B$21,MATCH(B312,Dim_Supplier!$A$2:$A$21,0))</f>
        <v>Niagara Freight Solutions</v>
      </c>
      <c r="F312" s="5" t="s">
        <v>185</v>
      </c>
      <c r="G312" s="5" t="s">
        <v>129</v>
      </c>
      <c r="H312" s="8" t="n">
        <f aca="false">INDEX(Lookup_Tables!$B$2:$B$5,MATCH(D312,Lookup_Tables!$A$2:$A$5,0))</f>
        <v>5</v>
      </c>
      <c r="I312" s="9" t="n">
        <f aca="false">C312+H312</f>
        <v>45373</v>
      </c>
      <c r="J312" s="5" t="n">
        <v>-4</v>
      </c>
      <c r="K312" s="9" t="n">
        <f aca="false">I312+J312</f>
        <v>45369</v>
      </c>
      <c r="L312" s="5" t="n">
        <v>16</v>
      </c>
      <c r="M312" s="10" t="n">
        <f aca="false">INDEX(Dim_Supplier!$F$2:$F$21,MATCH(B312,Dim_Supplier!$A$2:$A$21,0))</f>
        <v>340</v>
      </c>
      <c r="N312" s="11" t="n">
        <v>0.0305</v>
      </c>
      <c r="O312" s="10" t="n">
        <f aca="false">M312*(1+N312)</f>
        <v>350.37</v>
      </c>
      <c r="P312" s="10" t="n">
        <f aca="false">O312*L312</f>
        <v>5605.92</v>
      </c>
      <c r="Q312" s="5" t="s">
        <v>113</v>
      </c>
      <c r="R312" s="5" t="n">
        <v>0</v>
      </c>
      <c r="S312" s="5" t="n">
        <v>60</v>
      </c>
      <c r="T312" s="12" t="n">
        <f aca="false">(O312-M312)/M312</f>
        <v>0.0305</v>
      </c>
      <c r="U312" s="8" t="n">
        <f aca="false">IF(AND(K312&lt;=I312,R312=0),1,0)</f>
        <v>1</v>
      </c>
      <c r="V312" s="10" t="n">
        <f aca="false">IF(Q312="No",P312,0)</f>
        <v>0</v>
      </c>
    </row>
    <row r="313" customFormat="false" ht="15" hidden="false" customHeight="false" outlineLevel="0" collapsed="false">
      <c r="A313" s="5" t="s">
        <v>447</v>
      </c>
      <c r="B313" s="5" t="s">
        <v>60</v>
      </c>
      <c r="C313" s="7" t="n">
        <v>46143</v>
      </c>
      <c r="D313" s="8" t="str">
        <f aca="false">INDEX(Dim_Supplier!$C$2:$C$21,MATCH(B313,Dim_Supplier!$A$2:$A$21,0))</f>
        <v>Packaging</v>
      </c>
      <c r="E313" s="8" t="str">
        <f aca="false">INDEX(Dim_Supplier!$B$2:$B$21,MATCH(B313,Dim_Supplier!$A$2:$A$21,0))</f>
        <v>Maple Leaf Box &amp; Crate</v>
      </c>
      <c r="F313" s="5" t="s">
        <v>119</v>
      </c>
      <c r="G313" s="5" t="s">
        <v>120</v>
      </c>
      <c r="H313" s="8" t="n">
        <f aca="false">INDEX(Lookup_Tables!$B$2:$B$5,MATCH(D313,Lookup_Tables!$A$2:$A$5,0))</f>
        <v>14</v>
      </c>
      <c r="I313" s="9" t="n">
        <f aca="false">C313+H313</f>
        <v>46157</v>
      </c>
      <c r="J313" s="5" t="n">
        <v>-2</v>
      </c>
      <c r="K313" s="9" t="n">
        <f aca="false">I313+J313</f>
        <v>46155</v>
      </c>
      <c r="L313" s="5" t="n">
        <v>2160</v>
      </c>
      <c r="M313" s="10" t="n">
        <f aca="false">INDEX(Dim_Supplier!$F$2:$F$21,MATCH(B313,Dim_Supplier!$A$2:$A$21,0))</f>
        <v>3.1</v>
      </c>
      <c r="N313" s="11" t="n">
        <v>0.0443</v>
      </c>
      <c r="O313" s="10" t="n">
        <f aca="false">M313*(1+N313)</f>
        <v>3.23733</v>
      </c>
      <c r="P313" s="10" t="n">
        <f aca="false">O313*L313</f>
        <v>6992.6328</v>
      </c>
      <c r="Q313" s="5" t="s">
        <v>113</v>
      </c>
      <c r="R313" s="5" t="n">
        <v>0</v>
      </c>
      <c r="S313" s="5" t="n">
        <v>30</v>
      </c>
      <c r="T313" s="12" t="n">
        <f aca="false">(O313-M313)/M313</f>
        <v>0.0443</v>
      </c>
      <c r="U313" s="8" t="n">
        <f aca="false">IF(AND(K313&lt;=I313,R313=0),1,0)</f>
        <v>1</v>
      </c>
      <c r="V313" s="10" t="n">
        <f aca="false">IF(Q313="No",P313,0)</f>
        <v>0</v>
      </c>
    </row>
    <row r="314" customFormat="false" ht="15" hidden="false" customHeight="false" outlineLevel="0" collapsed="false">
      <c r="A314" s="5" t="s">
        <v>448</v>
      </c>
      <c r="B314" s="5" t="s">
        <v>46</v>
      </c>
      <c r="C314" s="7" t="n">
        <v>45752</v>
      </c>
      <c r="D314" s="8" t="str">
        <f aca="false">INDEX(Dim_Supplier!$C$2:$C$21,MATCH(B314,Dim_Supplier!$A$2:$A$21,0))</f>
        <v>Raw Materials</v>
      </c>
      <c r="E314" s="8" t="str">
        <f aca="false">INDEX(Dim_Supplier!$B$2:$B$21,MATCH(B314,Dim_Supplier!$A$2:$A$21,0))</f>
        <v>Niagara Alloy Supply</v>
      </c>
      <c r="F314" s="5" t="s">
        <v>142</v>
      </c>
      <c r="G314" s="5" t="s">
        <v>120</v>
      </c>
      <c r="H314" s="8" t="n">
        <f aca="false">INDEX(Lookup_Tables!$B$2:$B$5,MATCH(D314,Lookup_Tables!$A$2:$A$5,0))</f>
        <v>21</v>
      </c>
      <c r="I314" s="9" t="n">
        <f aca="false">C314+H314</f>
        <v>45773</v>
      </c>
      <c r="J314" s="5" t="n">
        <v>-3</v>
      </c>
      <c r="K314" s="9" t="n">
        <f aca="false">I314+J314</f>
        <v>45770</v>
      </c>
      <c r="L314" s="5" t="n">
        <v>1677</v>
      </c>
      <c r="M314" s="10" t="n">
        <f aca="false">INDEX(Dim_Supplier!$F$2:$F$21,MATCH(B314,Dim_Supplier!$A$2:$A$21,0))</f>
        <v>46.5</v>
      </c>
      <c r="N314" s="11" t="n">
        <v>0.0437</v>
      </c>
      <c r="O314" s="10" t="n">
        <f aca="false">M314*(1+N314)</f>
        <v>48.53205</v>
      </c>
      <c r="P314" s="10" t="n">
        <f aca="false">O314*L314</f>
        <v>81388.24785</v>
      </c>
      <c r="Q314" s="5" t="s">
        <v>113</v>
      </c>
      <c r="R314" s="5" t="n">
        <v>0</v>
      </c>
      <c r="S314" s="5" t="n">
        <v>30</v>
      </c>
      <c r="T314" s="12" t="n">
        <f aca="false">(O314-M314)/M314</f>
        <v>0.0437000000000001</v>
      </c>
      <c r="U314" s="8" t="n">
        <f aca="false">IF(AND(K314&lt;=I314,R314=0),1,0)</f>
        <v>1</v>
      </c>
      <c r="V314" s="10" t="n">
        <f aca="false">IF(Q314="No",P314,0)</f>
        <v>0</v>
      </c>
    </row>
    <row r="315" customFormat="false" ht="15" hidden="false" customHeight="false" outlineLevel="0" collapsed="false">
      <c r="A315" s="5" t="s">
        <v>449</v>
      </c>
      <c r="B315" s="5" t="s">
        <v>46</v>
      </c>
      <c r="C315" s="7" t="n">
        <v>45453</v>
      </c>
      <c r="D315" s="8" t="str">
        <f aca="false">INDEX(Dim_Supplier!$C$2:$C$21,MATCH(B315,Dim_Supplier!$A$2:$A$21,0))</f>
        <v>Raw Materials</v>
      </c>
      <c r="E315" s="8" t="str">
        <f aca="false">INDEX(Dim_Supplier!$B$2:$B$21,MATCH(B315,Dim_Supplier!$A$2:$A$21,0))</f>
        <v>Niagara Alloy Supply</v>
      </c>
      <c r="F315" s="5" t="s">
        <v>139</v>
      </c>
      <c r="G315" s="5" t="s">
        <v>129</v>
      </c>
      <c r="H315" s="8" t="n">
        <f aca="false">INDEX(Lookup_Tables!$B$2:$B$5,MATCH(D315,Lookup_Tables!$A$2:$A$5,0))</f>
        <v>21</v>
      </c>
      <c r="I315" s="9" t="n">
        <f aca="false">C315+H315</f>
        <v>45474</v>
      </c>
      <c r="J315" s="5" t="n">
        <v>0</v>
      </c>
      <c r="K315" s="9" t="n">
        <f aca="false">I315+J315</f>
        <v>45474</v>
      </c>
      <c r="L315" s="5" t="n">
        <v>403</v>
      </c>
      <c r="M315" s="10" t="n">
        <f aca="false">INDEX(Dim_Supplier!$F$2:$F$21,MATCH(B315,Dim_Supplier!$A$2:$A$21,0))</f>
        <v>46.5</v>
      </c>
      <c r="N315" s="11" t="n">
        <v>0.0685</v>
      </c>
      <c r="O315" s="10" t="n">
        <f aca="false">M315*(1+N315)</f>
        <v>49.68525</v>
      </c>
      <c r="P315" s="10" t="n">
        <f aca="false">O315*L315</f>
        <v>20023.15575</v>
      </c>
      <c r="Q315" s="5" t="s">
        <v>113</v>
      </c>
      <c r="R315" s="5" t="n">
        <v>0</v>
      </c>
      <c r="S315" s="5" t="n">
        <v>30</v>
      </c>
      <c r="T315" s="12" t="n">
        <f aca="false">(O315-M315)/M315</f>
        <v>0.0685000000000001</v>
      </c>
      <c r="U315" s="8" t="n">
        <f aca="false">IF(AND(K315&lt;=I315,R315=0),1,0)</f>
        <v>1</v>
      </c>
      <c r="V315" s="10" t="n">
        <f aca="false">IF(Q315="No",P315,0)</f>
        <v>0</v>
      </c>
    </row>
    <row r="316" customFormat="false" ht="15" hidden="false" customHeight="false" outlineLevel="0" collapsed="false">
      <c r="A316" s="5" t="s">
        <v>450</v>
      </c>
      <c r="B316" s="5" t="s">
        <v>66</v>
      </c>
      <c r="C316" s="7" t="n">
        <v>45985</v>
      </c>
      <c r="D316" s="8" t="str">
        <f aca="false">INDEX(Dim_Supplier!$C$2:$C$21,MATCH(B316,Dim_Supplier!$A$2:$A$21,0))</f>
        <v>Packaging</v>
      </c>
      <c r="E316" s="8" t="str">
        <f aca="false">INDEX(Dim_Supplier!$B$2:$B$21,MATCH(B316,Dim_Supplier!$A$2:$A$21,0))</f>
        <v>EverGreen Wrap Industries</v>
      </c>
      <c r="F316" s="5" t="s">
        <v>119</v>
      </c>
      <c r="G316" s="5" t="s">
        <v>120</v>
      </c>
      <c r="H316" s="8" t="n">
        <f aca="false">INDEX(Lookup_Tables!$B$2:$B$5,MATCH(D316,Lookup_Tables!$A$2:$A$5,0))</f>
        <v>14</v>
      </c>
      <c r="I316" s="9" t="n">
        <f aca="false">C316+H316</f>
        <v>45999</v>
      </c>
      <c r="J316" s="5" t="n">
        <v>0</v>
      </c>
      <c r="K316" s="9" t="n">
        <f aca="false">I316+J316</f>
        <v>45999</v>
      </c>
      <c r="L316" s="5" t="n">
        <v>3812</v>
      </c>
      <c r="M316" s="10" t="n">
        <f aca="false">INDEX(Dim_Supplier!$F$2:$F$21,MATCH(B316,Dim_Supplier!$A$2:$A$21,0))</f>
        <v>6.8</v>
      </c>
      <c r="N316" s="11" t="n">
        <v>0.0488</v>
      </c>
      <c r="O316" s="10" t="n">
        <f aca="false">M316*(1+N316)</f>
        <v>7.13184</v>
      </c>
      <c r="P316" s="10" t="n">
        <f aca="false">O316*L316</f>
        <v>27186.57408</v>
      </c>
      <c r="Q316" s="5" t="s">
        <v>133</v>
      </c>
      <c r="R316" s="5" t="n">
        <v>0</v>
      </c>
      <c r="S316" s="5" t="n">
        <v>45</v>
      </c>
      <c r="T316" s="12" t="n">
        <f aca="false">(O316-M316)/M316</f>
        <v>0.0488</v>
      </c>
      <c r="U316" s="8" t="n">
        <f aca="false">IF(AND(K316&lt;=I316,R316=0),1,0)</f>
        <v>1</v>
      </c>
      <c r="V316" s="10" t="n">
        <f aca="false">IF(Q316="No",P316,0)</f>
        <v>27186.57408</v>
      </c>
    </row>
    <row r="317" customFormat="false" ht="15" hidden="false" customHeight="false" outlineLevel="0" collapsed="false">
      <c r="A317" s="5" t="s">
        <v>451</v>
      </c>
      <c r="B317" s="5" t="s">
        <v>46</v>
      </c>
      <c r="C317" s="7" t="n">
        <v>45396</v>
      </c>
      <c r="D317" s="8" t="str">
        <f aca="false">INDEX(Dim_Supplier!$C$2:$C$21,MATCH(B317,Dim_Supplier!$A$2:$A$21,0))</f>
        <v>Raw Materials</v>
      </c>
      <c r="E317" s="8" t="str">
        <f aca="false">INDEX(Dim_Supplier!$B$2:$B$21,MATCH(B317,Dim_Supplier!$A$2:$A$21,0))</f>
        <v>Niagara Alloy Supply</v>
      </c>
      <c r="F317" s="5" t="s">
        <v>115</v>
      </c>
      <c r="G317" s="5" t="s">
        <v>129</v>
      </c>
      <c r="H317" s="8" t="n">
        <f aca="false">INDEX(Lookup_Tables!$B$2:$B$5,MATCH(D317,Lookup_Tables!$A$2:$A$5,0))</f>
        <v>21</v>
      </c>
      <c r="I317" s="9" t="n">
        <f aca="false">C317+H317</f>
        <v>45417</v>
      </c>
      <c r="J317" s="5" t="n">
        <v>3</v>
      </c>
      <c r="K317" s="9" t="n">
        <f aca="false">I317+J317</f>
        <v>45420</v>
      </c>
      <c r="L317" s="5" t="n">
        <v>555</v>
      </c>
      <c r="M317" s="10" t="n">
        <f aca="false">INDEX(Dim_Supplier!$F$2:$F$21,MATCH(B317,Dim_Supplier!$A$2:$A$21,0))</f>
        <v>46.5</v>
      </c>
      <c r="N317" s="11" t="n">
        <v>0.0328</v>
      </c>
      <c r="O317" s="10" t="n">
        <f aca="false">M317*(1+N317)</f>
        <v>48.0252</v>
      </c>
      <c r="P317" s="10" t="n">
        <f aca="false">O317*L317</f>
        <v>26653.986</v>
      </c>
      <c r="Q317" s="5" t="s">
        <v>113</v>
      </c>
      <c r="R317" s="5" t="n">
        <v>0</v>
      </c>
      <c r="S317" s="5" t="n">
        <v>30</v>
      </c>
      <c r="T317" s="12" t="n">
        <f aca="false">(O317-M317)/M317</f>
        <v>0.0328</v>
      </c>
      <c r="U317" s="8" t="n">
        <f aca="false">IF(AND(K317&lt;=I317,R317=0),1,0)</f>
        <v>0</v>
      </c>
      <c r="V317" s="10" t="n">
        <f aca="false">IF(Q317="No",P317,0)</f>
        <v>0</v>
      </c>
    </row>
    <row r="318" customFormat="false" ht="15" hidden="false" customHeight="false" outlineLevel="0" collapsed="false">
      <c r="A318" s="5" t="s">
        <v>452</v>
      </c>
      <c r="B318" s="5" t="s">
        <v>71</v>
      </c>
      <c r="C318" s="7" t="n">
        <v>45952</v>
      </c>
      <c r="D318" s="8" t="str">
        <f aca="false">INDEX(Dim_Supplier!$C$2:$C$21,MATCH(B318,Dim_Supplier!$A$2:$A$21,0))</f>
        <v>MRO</v>
      </c>
      <c r="E318" s="8" t="str">
        <f aca="false">INDEX(Dim_Supplier!$B$2:$B$21,MATCH(B318,Dim_Supplier!$A$2:$A$21,0))</f>
        <v>CanSafe Equipment Ltd.</v>
      </c>
      <c r="F318" s="5" t="s">
        <v>127</v>
      </c>
      <c r="G318" s="5" t="s">
        <v>120</v>
      </c>
      <c r="H318" s="8" t="n">
        <f aca="false">INDEX(Lookup_Tables!$B$2:$B$5,MATCH(D318,Lookup_Tables!$A$2:$A$5,0))</f>
        <v>10</v>
      </c>
      <c r="I318" s="9" t="n">
        <f aca="false">C318+H318</f>
        <v>45962</v>
      </c>
      <c r="J318" s="5" t="n">
        <v>0</v>
      </c>
      <c r="K318" s="9" t="n">
        <f aca="false">I318+J318</f>
        <v>45962</v>
      </c>
      <c r="L318" s="5" t="n">
        <v>21</v>
      </c>
      <c r="M318" s="10" t="n">
        <f aca="false">INDEX(Dim_Supplier!$F$2:$F$21,MATCH(B318,Dim_Supplier!$A$2:$A$21,0))</f>
        <v>18.75</v>
      </c>
      <c r="N318" s="11" t="n">
        <v>0.0261</v>
      </c>
      <c r="O318" s="10" t="n">
        <f aca="false">M318*(1+N318)</f>
        <v>19.239375</v>
      </c>
      <c r="P318" s="10" t="n">
        <f aca="false">O318*L318</f>
        <v>404.026875</v>
      </c>
      <c r="Q318" s="5" t="s">
        <v>113</v>
      </c>
      <c r="R318" s="5" t="n">
        <v>0</v>
      </c>
      <c r="S318" s="5" t="n">
        <v>60</v>
      </c>
      <c r="T318" s="12" t="n">
        <f aca="false">(O318-M318)/M318</f>
        <v>0.0260999999999999</v>
      </c>
      <c r="U318" s="8" t="n">
        <f aca="false">IF(AND(K318&lt;=I318,R318=0),1,0)</f>
        <v>1</v>
      </c>
      <c r="V318" s="10" t="n">
        <f aca="false">IF(Q318="No",P318,0)</f>
        <v>0</v>
      </c>
    </row>
    <row r="319" customFormat="false" ht="15" hidden="false" customHeight="false" outlineLevel="0" collapsed="false">
      <c r="A319" s="5" t="s">
        <v>453</v>
      </c>
      <c r="B319" s="5" t="s">
        <v>46</v>
      </c>
      <c r="C319" s="7" t="n">
        <v>46159</v>
      </c>
      <c r="D319" s="8" t="str">
        <f aca="false">INDEX(Dim_Supplier!$C$2:$C$21,MATCH(B319,Dim_Supplier!$A$2:$A$21,0))</f>
        <v>Raw Materials</v>
      </c>
      <c r="E319" s="8" t="str">
        <f aca="false">INDEX(Dim_Supplier!$B$2:$B$21,MATCH(B319,Dim_Supplier!$A$2:$A$21,0))</f>
        <v>Niagara Alloy Supply</v>
      </c>
      <c r="F319" s="5" t="s">
        <v>139</v>
      </c>
      <c r="G319" s="5" t="s">
        <v>129</v>
      </c>
      <c r="H319" s="8" t="n">
        <f aca="false">INDEX(Lookup_Tables!$B$2:$B$5,MATCH(D319,Lookup_Tables!$A$2:$A$5,0))</f>
        <v>21</v>
      </c>
      <c r="I319" s="9" t="n">
        <f aca="false">C319+H319</f>
        <v>46180</v>
      </c>
      <c r="J319" s="5" t="n">
        <v>1</v>
      </c>
      <c r="K319" s="9" t="n">
        <f aca="false">I319+J319</f>
        <v>46181</v>
      </c>
      <c r="L319" s="5" t="n">
        <v>444</v>
      </c>
      <c r="M319" s="10" t="n">
        <f aca="false">INDEX(Dim_Supplier!$F$2:$F$21,MATCH(B319,Dim_Supplier!$A$2:$A$21,0))</f>
        <v>46.5</v>
      </c>
      <c r="N319" s="11" t="n">
        <v>0.0359</v>
      </c>
      <c r="O319" s="10" t="n">
        <f aca="false">M319*(1+N319)</f>
        <v>48.16935</v>
      </c>
      <c r="P319" s="10" t="n">
        <f aca="false">O319*L319</f>
        <v>21387.1914</v>
      </c>
      <c r="Q319" s="5" t="s">
        <v>133</v>
      </c>
      <c r="R319" s="5" t="n">
        <v>0</v>
      </c>
      <c r="S319" s="5" t="n">
        <v>45</v>
      </c>
      <c r="T319" s="12" t="n">
        <f aca="false">(O319-M319)/M319</f>
        <v>0.0359</v>
      </c>
      <c r="U319" s="8" t="n">
        <f aca="false">IF(AND(K319&lt;=I319,R319=0),1,0)</f>
        <v>0</v>
      </c>
      <c r="V319" s="10" t="n">
        <f aca="false">IF(Q319="No",P319,0)</f>
        <v>21387.1914</v>
      </c>
    </row>
    <row r="320" customFormat="false" ht="15" hidden="false" customHeight="false" outlineLevel="0" collapsed="false">
      <c r="A320" s="5" t="s">
        <v>454</v>
      </c>
      <c r="B320" s="5" t="s">
        <v>66</v>
      </c>
      <c r="C320" s="7" t="n">
        <v>45683</v>
      </c>
      <c r="D320" s="8" t="str">
        <f aca="false">INDEX(Dim_Supplier!$C$2:$C$21,MATCH(B320,Dim_Supplier!$A$2:$A$21,0))</f>
        <v>Packaging</v>
      </c>
      <c r="E320" s="8" t="str">
        <f aca="false">INDEX(Dim_Supplier!$B$2:$B$21,MATCH(B320,Dim_Supplier!$A$2:$A$21,0))</f>
        <v>EverGreen Wrap Industries</v>
      </c>
      <c r="F320" s="5" t="s">
        <v>137</v>
      </c>
      <c r="G320" s="5" t="s">
        <v>112</v>
      </c>
      <c r="H320" s="8" t="n">
        <f aca="false">INDEX(Lookup_Tables!$B$2:$B$5,MATCH(D320,Lookup_Tables!$A$2:$A$5,0))</f>
        <v>14</v>
      </c>
      <c r="I320" s="9" t="n">
        <f aca="false">C320+H320</f>
        <v>45697</v>
      </c>
      <c r="J320" s="5" t="n">
        <v>-4</v>
      </c>
      <c r="K320" s="9" t="n">
        <f aca="false">I320+J320</f>
        <v>45693</v>
      </c>
      <c r="L320" s="5" t="n">
        <v>2752</v>
      </c>
      <c r="M320" s="10" t="n">
        <f aca="false">INDEX(Dim_Supplier!$F$2:$F$21,MATCH(B320,Dim_Supplier!$A$2:$A$21,0))</f>
        <v>6.8</v>
      </c>
      <c r="N320" s="11" t="n">
        <v>0.0947</v>
      </c>
      <c r="O320" s="10" t="n">
        <f aca="false">M320*(1+N320)</f>
        <v>7.44396</v>
      </c>
      <c r="P320" s="10" t="n">
        <f aca="false">O320*L320</f>
        <v>20485.77792</v>
      </c>
      <c r="Q320" s="5" t="s">
        <v>113</v>
      </c>
      <c r="R320" s="5" t="n">
        <v>0</v>
      </c>
      <c r="S320" s="5" t="n">
        <v>30</v>
      </c>
      <c r="T320" s="12" t="n">
        <f aca="false">(O320-M320)/M320</f>
        <v>0.0947</v>
      </c>
      <c r="U320" s="8" t="n">
        <f aca="false">IF(AND(K320&lt;=I320,R320=0),1,0)</f>
        <v>1</v>
      </c>
      <c r="V320" s="10" t="n">
        <f aca="false">IF(Q320="No",P320,0)</f>
        <v>0</v>
      </c>
    </row>
    <row r="321" customFormat="false" ht="15" hidden="false" customHeight="false" outlineLevel="0" collapsed="false">
      <c r="A321" s="5" t="s">
        <v>455</v>
      </c>
      <c r="B321" s="5" t="s">
        <v>71</v>
      </c>
      <c r="C321" s="7" t="n">
        <v>45543</v>
      </c>
      <c r="D321" s="8" t="str">
        <f aca="false">INDEX(Dim_Supplier!$C$2:$C$21,MATCH(B321,Dim_Supplier!$A$2:$A$21,0))</f>
        <v>MRO</v>
      </c>
      <c r="E321" s="8" t="str">
        <f aca="false">INDEX(Dim_Supplier!$B$2:$B$21,MATCH(B321,Dim_Supplier!$A$2:$A$21,0))</f>
        <v>CanSafe Equipment Ltd.</v>
      </c>
      <c r="F321" s="5" t="s">
        <v>111</v>
      </c>
      <c r="G321" s="5" t="s">
        <v>125</v>
      </c>
      <c r="H321" s="8" t="n">
        <f aca="false">INDEX(Lookup_Tables!$B$2:$B$5,MATCH(D321,Lookup_Tables!$A$2:$A$5,0))</f>
        <v>10</v>
      </c>
      <c r="I321" s="9" t="n">
        <f aca="false">C321+H321</f>
        <v>45553</v>
      </c>
      <c r="J321" s="5" t="n">
        <v>-3</v>
      </c>
      <c r="K321" s="9" t="n">
        <f aca="false">I321+J321</f>
        <v>45550</v>
      </c>
      <c r="L321" s="5" t="n">
        <v>20</v>
      </c>
      <c r="M321" s="10" t="n">
        <f aca="false">INDEX(Dim_Supplier!$F$2:$F$21,MATCH(B321,Dim_Supplier!$A$2:$A$21,0))</f>
        <v>18.75</v>
      </c>
      <c r="N321" s="11" t="n">
        <v>0.0433</v>
      </c>
      <c r="O321" s="10" t="n">
        <f aca="false">M321*(1+N321)</f>
        <v>19.561875</v>
      </c>
      <c r="P321" s="10" t="n">
        <f aca="false">O321*L321</f>
        <v>391.2375</v>
      </c>
      <c r="Q321" s="5" t="s">
        <v>113</v>
      </c>
      <c r="R321" s="5" t="n">
        <v>0</v>
      </c>
      <c r="S321" s="5" t="n">
        <v>30</v>
      </c>
      <c r="T321" s="12" t="n">
        <f aca="false">(O321-M321)/M321</f>
        <v>0.0432999999999998</v>
      </c>
      <c r="U321" s="8" t="n">
        <f aca="false">IF(AND(K321&lt;=I321,R321=0),1,0)</f>
        <v>1</v>
      </c>
      <c r="V321" s="10" t="n">
        <f aca="false">IF(Q321="No",P321,0)</f>
        <v>0</v>
      </c>
    </row>
    <row r="322" customFormat="false" ht="15" hidden="false" customHeight="false" outlineLevel="0" collapsed="false">
      <c r="A322" s="5" t="s">
        <v>456</v>
      </c>
      <c r="B322" s="5" t="s">
        <v>73</v>
      </c>
      <c r="C322" s="7" t="n">
        <v>46108</v>
      </c>
      <c r="D322" s="8" t="str">
        <f aca="false">INDEX(Dim_Supplier!$C$2:$C$21,MATCH(B322,Dim_Supplier!$A$2:$A$21,0))</f>
        <v>MRO</v>
      </c>
      <c r="E322" s="8" t="str">
        <f aca="false">INDEX(Dim_Supplier!$B$2:$B$21,MATCH(B322,Dim_Supplier!$A$2:$A$21,0))</f>
        <v>Frontier MRO Solutions</v>
      </c>
      <c r="F322" s="5" t="s">
        <v>132</v>
      </c>
      <c r="G322" s="5" t="s">
        <v>112</v>
      </c>
      <c r="H322" s="8" t="n">
        <f aca="false">INDEX(Lookup_Tables!$B$2:$B$5,MATCH(D322,Lookup_Tables!$A$2:$A$5,0))</f>
        <v>10</v>
      </c>
      <c r="I322" s="9" t="n">
        <f aca="false">C322+H322</f>
        <v>46118</v>
      </c>
      <c r="J322" s="5" t="n">
        <v>3</v>
      </c>
      <c r="K322" s="9" t="n">
        <f aca="false">I322+J322</f>
        <v>46121</v>
      </c>
      <c r="L322" s="5" t="n">
        <v>9</v>
      </c>
      <c r="M322" s="10" t="n">
        <f aca="false">INDEX(Dim_Supplier!$F$2:$F$21,MATCH(B322,Dim_Supplier!$A$2:$A$21,0))</f>
        <v>15.9</v>
      </c>
      <c r="N322" s="11" t="n">
        <v>0.1236</v>
      </c>
      <c r="O322" s="10" t="n">
        <f aca="false">M322*(1+N322)</f>
        <v>17.86524</v>
      </c>
      <c r="P322" s="10" t="n">
        <f aca="false">O322*L322</f>
        <v>160.78716</v>
      </c>
      <c r="Q322" s="5" t="s">
        <v>133</v>
      </c>
      <c r="R322" s="5" t="n">
        <v>0</v>
      </c>
      <c r="S322" s="5" t="n">
        <v>30</v>
      </c>
      <c r="T322" s="12" t="n">
        <f aca="false">(O322-M322)/M322</f>
        <v>0.1236</v>
      </c>
      <c r="U322" s="8" t="n">
        <f aca="false">IF(AND(K322&lt;=I322,R322=0),1,0)</f>
        <v>0</v>
      </c>
      <c r="V322" s="10" t="n">
        <f aca="false">IF(Q322="No",P322,0)</f>
        <v>160.78716</v>
      </c>
    </row>
    <row r="323" customFormat="false" ht="15" hidden="false" customHeight="false" outlineLevel="0" collapsed="false">
      <c r="A323" s="5" t="s">
        <v>457</v>
      </c>
      <c r="B323" s="5" t="s">
        <v>68</v>
      </c>
      <c r="C323" s="7" t="n">
        <v>45788</v>
      </c>
      <c r="D323" s="8" t="str">
        <f aca="false">INDEX(Dim_Supplier!$C$2:$C$21,MATCH(B323,Dim_Supplier!$A$2:$A$21,0))</f>
        <v>MRO</v>
      </c>
      <c r="E323" s="8" t="str">
        <f aca="false">INDEX(Dim_Supplier!$B$2:$B$21,MATCH(B323,Dim_Supplier!$A$2:$A$21,0))</f>
        <v>Precision Tool &amp; Supply</v>
      </c>
      <c r="F323" s="5" t="s">
        <v>111</v>
      </c>
      <c r="G323" s="5" t="s">
        <v>120</v>
      </c>
      <c r="H323" s="8" t="n">
        <f aca="false">INDEX(Lookup_Tables!$B$2:$B$5,MATCH(D323,Lookup_Tables!$A$2:$A$5,0))</f>
        <v>10</v>
      </c>
      <c r="I323" s="9" t="n">
        <f aca="false">C323+H323</f>
        <v>45798</v>
      </c>
      <c r="J323" s="5" t="n">
        <v>-4</v>
      </c>
      <c r="K323" s="9" t="n">
        <f aca="false">I323+J323</f>
        <v>45794</v>
      </c>
      <c r="L323" s="5" t="n">
        <v>86</v>
      </c>
      <c r="M323" s="10" t="n">
        <f aca="false">INDEX(Dim_Supplier!$F$2:$F$21,MATCH(B323,Dim_Supplier!$A$2:$A$21,0))</f>
        <v>22.4</v>
      </c>
      <c r="N323" s="11" t="n">
        <v>0.0181</v>
      </c>
      <c r="O323" s="10" t="n">
        <f aca="false">M323*(1+N323)</f>
        <v>22.80544</v>
      </c>
      <c r="P323" s="10" t="n">
        <f aca="false">O323*L323</f>
        <v>1961.26784</v>
      </c>
      <c r="Q323" s="5" t="s">
        <v>113</v>
      </c>
      <c r="R323" s="5" t="n">
        <v>0</v>
      </c>
      <c r="S323" s="5" t="n">
        <v>60</v>
      </c>
      <c r="T323" s="12" t="n">
        <f aca="false">(O323-M323)/M323</f>
        <v>0.0180999999999999</v>
      </c>
      <c r="U323" s="8" t="n">
        <f aca="false">IF(AND(K323&lt;=I323,R323=0),1,0)</f>
        <v>1</v>
      </c>
      <c r="V323" s="10" t="n">
        <f aca="false">IF(Q323="No",P323,0)</f>
        <v>0</v>
      </c>
    </row>
    <row r="324" customFormat="false" ht="15" hidden="false" customHeight="false" outlineLevel="0" collapsed="false">
      <c r="A324" s="5" t="s">
        <v>458</v>
      </c>
      <c r="B324" s="5" t="s">
        <v>54</v>
      </c>
      <c r="C324" s="7" t="n">
        <v>46120</v>
      </c>
      <c r="D324" s="8" t="str">
        <f aca="false">INDEX(Dim_Supplier!$C$2:$C$21,MATCH(B324,Dim_Supplier!$A$2:$A$21,0))</f>
        <v>Raw Materials</v>
      </c>
      <c r="E324" s="8" t="str">
        <f aca="false">INDEX(Dim_Supplier!$B$2:$B$21,MATCH(B324,Dim_Supplier!$A$2:$A$21,0))</f>
        <v>Northern Resin Solutions</v>
      </c>
      <c r="F324" s="5" t="s">
        <v>142</v>
      </c>
      <c r="G324" s="5" t="s">
        <v>120</v>
      </c>
      <c r="H324" s="8" t="n">
        <f aca="false">INDEX(Lookup_Tables!$B$2:$B$5,MATCH(D324,Lookup_Tables!$A$2:$A$5,0))</f>
        <v>21</v>
      </c>
      <c r="I324" s="9" t="n">
        <f aca="false">C324+H324</f>
        <v>46141</v>
      </c>
      <c r="J324" s="5" t="n">
        <v>0</v>
      </c>
      <c r="K324" s="9" t="n">
        <f aca="false">I324+J324</f>
        <v>46141</v>
      </c>
      <c r="L324" s="5" t="n">
        <v>426</v>
      </c>
      <c r="M324" s="10" t="n">
        <f aca="false">INDEX(Dim_Supplier!$F$2:$F$21,MATCH(B324,Dim_Supplier!$A$2:$A$21,0))</f>
        <v>38.9</v>
      </c>
      <c r="N324" s="11" t="n">
        <v>-0.0287</v>
      </c>
      <c r="O324" s="10" t="n">
        <f aca="false">M324*(1+N324)</f>
        <v>37.78357</v>
      </c>
      <c r="P324" s="10" t="n">
        <f aca="false">O324*L324</f>
        <v>16095.80082</v>
      </c>
      <c r="Q324" s="5" t="s">
        <v>113</v>
      </c>
      <c r="R324" s="5" t="n">
        <v>0</v>
      </c>
      <c r="S324" s="5" t="n">
        <v>30</v>
      </c>
      <c r="T324" s="12" t="n">
        <f aca="false">(O324-M324)/M324</f>
        <v>-0.0287</v>
      </c>
      <c r="U324" s="8" t="n">
        <f aca="false">IF(AND(K324&lt;=I324,R324=0),1,0)</f>
        <v>1</v>
      </c>
      <c r="V324" s="10" t="n">
        <f aca="false">IF(Q324="No",P324,0)</f>
        <v>0</v>
      </c>
    </row>
    <row r="325" customFormat="false" ht="15" hidden="false" customHeight="false" outlineLevel="0" collapsed="false">
      <c r="A325" s="5" t="s">
        <v>459</v>
      </c>
      <c r="B325" s="5" t="s">
        <v>79</v>
      </c>
      <c r="C325" s="7" t="n">
        <v>46046</v>
      </c>
      <c r="D325" s="8" t="str">
        <f aca="false">INDEX(Dim_Supplier!$C$2:$C$21,MATCH(B325,Dim_Supplier!$A$2:$A$21,0))</f>
        <v>Logistics</v>
      </c>
      <c r="E325" s="8" t="str">
        <f aca="false">INDEX(Dim_Supplier!$B$2:$B$21,MATCH(B325,Dim_Supplier!$A$2:$A$21,0))</f>
        <v>Niagara Freight Solutions</v>
      </c>
      <c r="F325" s="5" t="s">
        <v>124</v>
      </c>
      <c r="G325" s="5" t="s">
        <v>112</v>
      </c>
      <c r="H325" s="8" t="n">
        <f aca="false">INDEX(Lookup_Tables!$B$2:$B$5,MATCH(D325,Lookup_Tables!$A$2:$A$5,0))</f>
        <v>5</v>
      </c>
      <c r="I325" s="9" t="n">
        <f aca="false">C325+H325</f>
        <v>46051</v>
      </c>
      <c r="J325" s="5" t="n">
        <v>-4</v>
      </c>
      <c r="K325" s="9" t="n">
        <f aca="false">I325+J325</f>
        <v>46047</v>
      </c>
      <c r="L325" s="5" t="n">
        <v>25</v>
      </c>
      <c r="M325" s="10" t="n">
        <f aca="false">INDEX(Dim_Supplier!$F$2:$F$21,MATCH(B325,Dim_Supplier!$A$2:$A$21,0))</f>
        <v>340</v>
      </c>
      <c r="N325" s="11" t="n">
        <v>-0.0161</v>
      </c>
      <c r="O325" s="10" t="n">
        <f aca="false">M325*(1+N325)</f>
        <v>334.526</v>
      </c>
      <c r="P325" s="10" t="n">
        <f aca="false">O325*L325</f>
        <v>8363.15</v>
      </c>
      <c r="Q325" s="5" t="s">
        <v>113</v>
      </c>
      <c r="R325" s="5" t="n">
        <v>0</v>
      </c>
      <c r="S325" s="5" t="n">
        <v>60</v>
      </c>
      <c r="T325" s="12" t="n">
        <f aca="false">(O325-M325)/M325</f>
        <v>-0.0161</v>
      </c>
      <c r="U325" s="8" t="n">
        <f aca="false">IF(AND(K325&lt;=I325,R325=0),1,0)</f>
        <v>1</v>
      </c>
      <c r="V325" s="10" t="n">
        <f aca="false">IF(Q325="No",P325,0)</f>
        <v>0</v>
      </c>
    </row>
    <row r="326" customFormat="false" ht="15" hidden="false" customHeight="false" outlineLevel="0" collapsed="false">
      <c r="A326" s="5" t="s">
        <v>460</v>
      </c>
      <c r="B326" s="5" t="s">
        <v>49</v>
      </c>
      <c r="C326" s="7" t="n">
        <v>45898</v>
      </c>
      <c r="D326" s="8" t="str">
        <f aca="false">INDEX(Dim_Supplier!$C$2:$C$21,MATCH(B326,Dim_Supplier!$A$2:$A$21,0))</f>
        <v>Raw Materials</v>
      </c>
      <c r="E326" s="8" t="str">
        <f aca="false">INDEX(Dim_Supplier!$B$2:$B$21,MATCH(B326,Dim_Supplier!$A$2:$A$21,0))</f>
        <v>Great Lakes Polymer Co.</v>
      </c>
      <c r="F326" s="5" t="s">
        <v>139</v>
      </c>
      <c r="G326" s="5" t="s">
        <v>120</v>
      </c>
      <c r="H326" s="8" t="n">
        <f aca="false">INDEX(Lookup_Tables!$B$2:$B$5,MATCH(D326,Lookup_Tables!$A$2:$A$5,0))</f>
        <v>21</v>
      </c>
      <c r="I326" s="9" t="n">
        <f aca="false">C326+H326</f>
        <v>45919</v>
      </c>
      <c r="J326" s="5" t="n">
        <v>4</v>
      </c>
      <c r="K326" s="9" t="n">
        <f aca="false">I326+J326</f>
        <v>45923</v>
      </c>
      <c r="L326" s="5" t="n">
        <v>1534</v>
      </c>
      <c r="M326" s="10" t="n">
        <f aca="false">INDEX(Dim_Supplier!$F$2:$F$21,MATCH(B326,Dim_Supplier!$A$2:$A$21,0))</f>
        <v>32.75</v>
      </c>
      <c r="N326" s="11" t="n">
        <v>0.1175</v>
      </c>
      <c r="O326" s="10" t="n">
        <f aca="false">M326*(1+N326)</f>
        <v>36.598125</v>
      </c>
      <c r="P326" s="10" t="n">
        <f aca="false">O326*L326</f>
        <v>56141.52375</v>
      </c>
      <c r="Q326" s="5" t="s">
        <v>113</v>
      </c>
      <c r="R326" s="5" t="n">
        <v>0</v>
      </c>
      <c r="S326" s="5" t="n">
        <v>30</v>
      </c>
      <c r="T326" s="12" t="n">
        <f aca="false">(O326-M326)/M326</f>
        <v>0.1175</v>
      </c>
      <c r="U326" s="8" t="n">
        <f aca="false">IF(AND(K326&lt;=I326,R326=0),1,0)</f>
        <v>0</v>
      </c>
      <c r="V326" s="10" t="n">
        <f aca="false">IF(Q326="No",P326,0)</f>
        <v>0</v>
      </c>
    </row>
    <row r="327" customFormat="false" ht="15" hidden="false" customHeight="false" outlineLevel="0" collapsed="false">
      <c r="A327" s="5" t="s">
        <v>461</v>
      </c>
      <c r="B327" s="5" t="s">
        <v>86</v>
      </c>
      <c r="C327" s="7" t="n">
        <v>46148</v>
      </c>
      <c r="D327" s="8" t="str">
        <f aca="false">INDEX(Dim_Supplier!$C$2:$C$21,MATCH(B327,Dim_Supplier!$A$2:$A$21,0))</f>
        <v>Logistics</v>
      </c>
      <c r="E327" s="8" t="str">
        <f aca="false">INDEX(Dim_Supplier!$B$2:$B$21,MATCH(B327,Dim_Supplier!$A$2:$A$21,0))</f>
        <v>Blue Water Customs Brokerage</v>
      </c>
      <c r="F327" s="5" t="s">
        <v>237</v>
      </c>
      <c r="G327" s="5" t="s">
        <v>120</v>
      </c>
      <c r="H327" s="8" t="n">
        <f aca="false">INDEX(Lookup_Tables!$B$2:$B$5,MATCH(D327,Lookup_Tables!$A$2:$A$5,0))</f>
        <v>5</v>
      </c>
      <c r="I327" s="9" t="n">
        <f aca="false">C327+H327</f>
        <v>46153</v>
      </c>
      <c r="J327" s="5" t="n">
        <v>-2</v>
      </c>
      <c r="K327" s="9" t="n">
        <f aca="false">I327+J327</f>
        <v>46151</v>
      </c>
      <c r="L327" s="5" t="n">
        <v>4</v>
      </c>
      <c r="M327" s="10" t="n">
        <f aca="false">INDEX(Dim_Supplier!$F$2:$F$21,MATCH(B327,Dim_Supplier!$A$2:$A$21,0))</f>
        <v>175</v>
      </c>
      <c r="N327" s="11" t="n">
        <v>0.015</v>
      </c>
      <c r="O327" s="10" t="n">
        <f aca="false">M327*(1+N327)</f>
        <v>177.625</v>
      </c>
      <c r="P327" s="10" t="n">
        <f aca="false">O327*L327</f>
        <v>710.5</v>
      </c>
      <c r="Q327" s="5" t="s">
        <v>113</v>
      </c>
      <c r="R327" s="5" t="n">
        <v>0</v>
      </c>
      <c r="S327" s="5" t="n">
        <v>45</v>
      </c>
      <c r="T327" s="12" t="n">
        <f aca="false">(O327-M327)/M327</f>
        <v>0.0149999999999998</v>
      </c>
      <c r="U327" s="8" t="n">
        <f aca="false">IF(AND(K327&lt;=I327,R327=0),1,0)</f>
        <v>1</v>
      </c>
      <c r="V327" s="10" t="n">
        <f aca="false">IF(Q327="No",P327,0)</f>
        <v>0</v>
      </c>
    </row>
    <row r="328" customFormat="false" ht="15" hidden="false" customHeight="false" outlineLevel="0" collapsed="false">
      <c r="A328" s="5" t="s">
        <v>462</v>
      </c>
      <c r="B328" s="5" t="s">
        <v>41</v>
      </c>
      <c r="C328" s="7" t="n">
        <v>45920</v>
      </c>
      <c r="D328" s="8" t="str">
        <f aca="false">INDEX(Dim_Supplier!$C$2:$C$21,MATCH(B328,Dim_Supplier!$A$2:$A$21,0))</f>
        <v>Raw Materials</v>
      </c>
      <c r="E328" s="8" t="str">
        <f aca="false">INDEX(Dim_Supplier!$B$2:$B$21,MATCH(B328,Dim_Supplier!$A$2:$A$21,0))</f>
        <v>Ontario Steel Partners</v>
      </c>
      <c r="F328" s="5" t="s">
        <v>115</v>
      </c>
      <c r="G328" s="5" t="s">
        <v>112</v>
      </c>
      <c r="H328" s="8" t="n">
        <f aca="false">INDEX(Lookup_Tables!$B$2:$B$5,MATCH(D328,Lookup_Tables!$A$2:$A$5,0))</f>
        <v>21</v>
      </c>
      <c r="I328" s="9" t="n">
        <f aca="false">C328+H328</f>
        <v>45941</v>
      </c>
      <c r="J328" s="5" t="n">
        <v>-4</v>
      </c>
      <c r="K328" s="9" t="n">
        <f aca="false">I328+J328</f>
        <v>45937</v>
      </c>
      <c r="L328" s="5" t="n">
        <v>1743</v>
      </c>
      <c r="M328" s="10" t="n">
        <f aca="false">INDEX(Dim_Supplier!$F$2:$F$21,MATCH(B328,Dim_Supplier!$A$2:$A$21,0))</f>
        <v>58</v>
      </c>
      <c r="N328" s="11" t="n">
        <v>0.0205</v>
      </c>
      <c r="O328" s="10" t="n">
        <f aca="false">M328*(1+N328)</f>
        <v>59.189</v>
      </c>
      <c r="P328" s="10" t="n">
        <f aca="false">O328*L328</f>
        <v>103166.427</v>
      </c>
      <c r="Q328" s="5" t="s">
        <v>113</v>
      </c>
      <c r="R328" s="5" t="n">
        <v>0</v>
      </c>
      <c r="S328" s="5" t="n">
        <v>30</v>
      </c>
      <c r="T328" s="12" t="n">
        <f aca="false">(O328-M328)/M328</f>
        <v>0.0205</v>
      </c>
      <c r="U328" s="8" t="n">
        <f aca="false">IF(AND(K328&lt;=I328,R328=0),1,0)</f>
        <v>1</v>
      </c>
      <c r="V328" s="10" t="n">
        <f aca="false">IF(Q328="No",P328,0)</f>
        <v>0</v>
      </c>
    </row>
    <row r="329" customFormat="false" ht="15" hidden="false" customHeight="false" outlineLevel="0" collapsed="false">
      <c r="A329" s="5" t="s">
        <v>463</v>
      </c>
      <c r="B329" s="5" t="s">
        <v>68</v>
      </c>
      <c r="C329" s="7" t="n">
        <v>45437</v>
      </c>
      <c r="D329" s="8" t="str">
        <f aca="false">INDEX(Dim_Supplier!$C$2:$C$21,MATCH(B329,Dim_Supplier!$A$2:$A$21,0))</f>
        <v>MRO</v>
      </c>
      <c r="E329" s="8" t="str">
        <f aca="false">INDEX(Dim_Supplier!$B$2:$B$21,MATCH(B329,Dim_Supplier!$A$2:$A$21,0))</f>
        <v>Precision Tool &amp; Supply</v>
      </c>
      <c r="F329" s="5" t="s">
        <v>127</v>
      </c>
      <c r="G329" s="5" t="s">
        <v>120</v>
      </c>
      <c r="H329" s="8" t="n">
        <f aca="false">INDEX(Lookup_Tables!$B$2:$B$5,MATCH(D329,Lookup_Tables!$A$2:$A$5,0))</f>
        <v>10</v>
      </c>
      <c r="I329" s="9" t="n">
        <f aca="false">C329+H329</f>
        <v>45447</v>
      </c>
      <c r="J329" s="5" t="n">
        <v>-1</v>
      </c>
      <c r="K329" s="9" t="n">
        <f aca="false">I329+J329</f>
        <v>45446</v>
      </c>
      <c r="L329" s="5" t="n">
        <v>174</v>
      </c>
      <c r="M329" s="10" t="n">
        <f aca="false">INDEX(Dim_Supplier!$F$2:$F$21,MATCH(B329,Dim_Supplier!$A$2:$A$21,0))</f>
        <v>22.4</v>
      </c>
      <c r="N329" s="11" t="n">
        <v>0.0053</v>
      </c>
      <c r="O329" s="10" t="n">
        <f aca="false">M329*(1+N329)</f>
        <v>22.51872</v>
      </c>
      <c r="P329" s="10" t="n">
        <f aca="false">O329*L329</f>
        <v>3918.25728</v>
      </c>
      <c r="Q329" s="5" t="s">
        <v>113</v>
      </c>
      <c r="R329" s="5" t="n">
        <v>0</v>
      </c>
      <c r="S329" s="5" t="n">
        <v>30</v>
      </c>
      <c r="T329" s="12" t="n">
        <f aca="false">(O329-M329)/M329</f>
        <v>0.00530000000000015</v>
      </c>
      <c r="U329" s="8" t="n">
        <f aca="false">IF(AND(K329&lt;=I329,R329=0),1,0)</f>
        <v>1</v>
      </c>
      <c r="V329" s="10" t="n">
        <f aca="false">IF(Q329="No",P329,0)</f>
        <v>0</v>
      </c>
    </row>
    <row r="330" customFormat="false" ht="15" hidden="false" customHeight="false" outlineLevel="0" collapsed="false">
      <c r="A330" s="5" t="s">
        <v>464</v>
      </c>
      <c r="B330" s="5" t="s">
        <v>46</v>
      </c>
      <c r="C330" s="7" t="n">
        <v>45453</v>
      </c>
      <c r="D330" s="8" t="str">
        <f aca="false">INDEX(Dim_Supplier!$C$2:$C$21,MATCH(B330,Dim_Supplier!$A$2:$A$21,0))</f>
        <v>Raw Materials</v>
      </c>
      <c r="E330" s="8" t="str">
        <f aca="false">INDEX(Dim_Supplier!$B$2:$B$21,MATCH(B330,Dim_Supplier!$A$2:$A$21,0))</f>
        <v>Niagara Alloy Supply</v>
      </c>
      <c r="F330" s="5" t="s">
        <v>142</v>
      </c>
      <c r="G330" s="5" t="s">
        <v>125</v>
      </c>
      <c r="H330" s="8" t="n">
        <f aca="false">INDEX(Lookup_Tables!$B$2:$B$5,MATCH(D330,Lookup_Tables!$A$2:$A$5,0))</f>
        <v>21</v>
      </c>
      <c r="I330" s="9" t="n">
        <f aca="false">C330+H330</f>
        <v>45474</v>
      </c>
      <c r="J330" s="5" t="n">
        <v>-2</v>
      </c>
      <c r="K330" s="9" t="n">
        <f aca="false">I330+J330</f>
        <v>45472</v>
      </c>
      <c r="L330" s="5" t="n">
        <v>1250</v>
      </c>
      <c r="M330" s="10" t="n">
        <f aca="false">INDEX(Dim_Supplier!$F$2:$F$21,MATCH(B330,Dim_Supplier!$A$2:$A$21,0))</f>
        <v>46.5</v>
      </c>
      <c r="N330" s="11" t="n">
        <v>0.02</v>
      </c>
      <c r="O330" s="10" t="n">
        <f aca="false">M330*(1+N330)</f>
        <v>47.43</v>
      </c>
      <c r="P330" s="10" t="n">
        <f aca="false">O330*L330</f>
        <v>59287.5</v>
      </c>
      <c r="Q330" s="5" t="s">
        <v>113</v>
      </c>
      <c r="R330" s="5" t="n">
        <v>0</v>
      </c>
      <c r="S330" s="5" t="n">
        <v>45</v>
      </c>
      <c r="T330" s="12" t="n">
        <f aca="false">(O330-M330)/M330</f>
        <v>0.02</v>
      </c>
      <c r="U330" s="8" t="n">
        <f aca="false">IF(AND(K330&lt;=I330,R330=0),1,0)</f>
        <v>1</v>
      </c>
      <c r="V330" s="10" t="n">
        <f aca="false">IF(Q330="No",P330,0)</f>
        <v>0</v>
      </c>
    </row>
    <row r="331" customFormat="false" ht="15" hidden="false" customHeight="false" outlineLevel="0" collapsed="false">
      <c r="A331" s="5" t="s">
        <v>465</v>
      </c>
      <c r="B331" s="5" t="s">
        <v>52</v>
      </c>
      <c r="C331" s="7" t="n">
        <v>45895</v>
      </c>
      <c r="D331" s="8" t="str">
        <f aca="false">INDEX(Dim_Supplier!$C$2:$C$21,MATCH(B331,Dim_Supplier!$A$2:$A$21,0))</f>
        <v>Raw Materials</v>
      </c>
      <c r="E331" s="8" t="str">
        <f aca="false">INDEX(Dim_Supplier!$B$2:$B$21,MATCH(B331,Dim_Supplier!$A$2:$A$21,0))</f>
        <v>Laurentian Metals Inc.</v>
      </c>
      <c r="F331" s="5" t="s">
        <v>115</v>
      </c>
      <c r="G331" s="5" t="s">
        <v>125</v>
      </c>
      <c r="H331" s="8" t="n">
        <f aca="false">INDEX(Lookup_Tables!$B$2:$B$5,MATCH(D331,Lookup_Tables!$A$2:$A$5,0))</f>
        <v>21</v>
      </c>
      <c r="I331" s="9" t="n">
        <f aca="false">C331+H331</f>
        <v>45916</v>
      </c>
      <c r="J331" s="5" t="n">
        <v>-4</v>
      </c>
      <c r="K331" s="9" t="n">
        <f aca="false">I331+J331</f>
        <v>45912</v>
      </c>
      <c r="L331" s="5" t="n">
        <v>360</v>
      </c>
      <c r="M331" s="10" t="n">
        <f aca="false">INDEX(Dim_Supplier!$F$2:$F$21,MATCH(B331,Dim_Supplier!$A$2:$A$21,0))</f>
        <v>61.2</v>
      </c>
      <c r="N331" s="11" t="n">
        <v>0.0486</v>
      </c>
      <c r="O331" s="10" t="n">
        <f aca="false">M331*(1+N331)</f>
        <v>64.17432</v>
      </c>
      <c r="P331" s="10" t="n">
        <f aca="false">O331*L331</f>
        <v>23102.7552</v>
      </c>
      <c r="Q331" s="5" t="s">
        <v>113</v>
      </c>
      <c r="R331" s="5" t="n">
        <v>23</v>
      </c>
      <c r="S331" s="5" t="n">
        <v>60</v>
      </c>
      <c r="T331" s="12" t="n">
        <f aca="false">(O331-M331)/M331</f>
        <v>0.0485999999999999</v>
      </c>
      <c r="U331" s="8" t="n">
        <f aca="false">IF(AND(K331&lt;=I331,R331=0),1,0)</f>
        <v>0</v>
      </c>
      <c r="V331" s="10" t="n">
        <f aca="false">IF(Q331="No",P331,0)</f>
        <v>0</v>
      </c>
    </row>
    <row r="332" customFormat="false" ht="15" hidden="false" customHeight="false" outlineLevel="0" collapsed="false">
      <c r="A332" s="5" t="s">
        <v>466</v>
      </c>
      <c r="B332" s="5" t="s">
        <v>60</v>
      </c>
      <c r="C332" s="7" t="n">
        <v>46081</v>
      </c>
      <c r="D332" s="8" t="str">
        <f aca="false">INDEX(Dim_Supplier!$C$2:$C$21,MATCH(B332,Dim_Supplier!$A$2:$A$21,0))</f>
        <v>Packaging</v>
      </c>
      <c r="E332" s="8" t="str">
        <f aca="false">INDEX(Dim_Supplier!$B$2:$B$21,MATCH(B332,Dim_Supplier!$A$2:$A$21,0))</f>
        <v>Maple Leaf Box &amp; Crate</v>
      </c>
      <c r="F332" s="5" t="s">
        <v>122</v>
      </c>
      <c r="G332" s="5" t="s">
        <v>129</v>
      </c>
      <c r="H332" s="8" t="n">
        <f aca="false">INDEX(Lookup_Tables!$B$2:$B$5,MATCH(D332,Lookup_Tables!$A$2:$A$5,0))</f>
        <v>14</v>
      </c>
      <c r="I332" s="9" t="n">
        <f aca="false">C332+H332</f>
        <v>46095</v>
      </c>
      <c r="J332" s="5" t="n">
        <v>0</v>
      </c>
      <c r="K332" s="9" t="n">
        <f aca="false">I332+J332</f>
        <v>46095</v>
      </c>
      <c r="L332" s="5" t="n">
        <v>2309</v>
      </c>
      <c r="M332" s="10" t="n">
        <f aca="false">INDEX(Dim_Supplier!$F$2:$F$21,MATCH(B332,Dim_Supplier!$A$2:$A$21,0))</f>
        <v>3.1</v>
      </c>
      <c r="N332" s="11" t="n">
        <v>0.0559</v>
      </c>
      <c r="O332" s="10" t="n">
        <f aca="false">M332*(1+N332)</f>
        <v>3.27329</v>
      </c>
      <c r="P332" s="10" t="n">
        <f aca="false">O332*L332</f>
        <v>7558.02661</v>
      </c>
      <c r="Q332" s="5" t="s">
        <v>113</v>
      </c>
      <c r="R332" s="5" t="n">
        <v>0</v>
      </c>
      <c r="S332" s="5" t="n">
        <v>30</v>
      </c>
      <c r="T332" s="12" t="n">
        <f aca="false">(O332-M332)/M332</f>
        <v>0.0559000000000001</v>
      </c>
      <c r="U332" s="8" t="n">
        <f aca="false">IF(AND(K332&lt;=I332,R332=0),1,0)</f>
        <v>1</v>
      </c>
      <c r="V332" s="10" t="n">
        <f aca="false">IF(Q332="No",P332,0)</f>
        <v>0</v>
      </c>
    </row>
    <row r="333" customFormat="false" ht="15" hidden="false" customHeight="false" outlineLevel="0" collapsed="false">
      <c r="A333" s="5" t="s">
        <v>467</v>
      </c>
      <c r="B333" s="5" t="s">
        <v>57</v>
      </c>
      <c r="C333" s="7" t="n">
        <v>45371</v>
      </c>
      <c r="D333" s="8" t="str">
        <f aca="false">INDEX(Dim_Supplier!$C$2:$C$21,MATCH(B333,Dim_Supplier!$A$2:$A$21,0))</f>
        <v>Packaging</v>
      </c>
      <c r="E333" s="8" t="str">
        <f aca="false">INDEX(Dim_Supplier!$B$2:$B$21,MATCH(B333,Dim_Supplier!$A$2:$A$21,0))</f>
        <v>Great Lakes Packaging Co.</v>
      </c>
      <c r="F333" s="5" t="s">
        <v>158</v>
      </c>
      <c r="G333" s="5" t="s">
        <v>120</v>
      </c>
      <c r="H333" s="8" t="n">
        <f aca="false">INDEX(Lookup_Tables!$B$2:$B$5,MATCH(D333,Lookup_Tables!$A$2:$A$5,0))</f>
        <v>14</v>
      </c>
      <c r="I333" s="9" t="n">
        <f aca="false">C333+H333</f>
        <v>45385</v>
      </c>
      <c r="J333" s="5" t="n">
        <v>-2</v>
      </c>
      <c r="K333" s="9" t="n">
        <f aca="false">I333+J333</f>
        <v>45383</v>
      </c>
      <c r="L333" s="5" t="n">
        <v>1226</v>
      </c>
      <c r="M333" s="10" t="n">
        <f aca="false">INDEX(Dim_Supplier!$F$2:$F$21,MATCH(B333,Dim_Supplier!$A$2:$A$21,0))</f>
        <v>4.35</v>
      </c>
      <c r="N333" s="11" t="n">
        <v>0.0087</v>
      </c>
      <c r="O333" s="10" t="n">
        <f aca="false">M333*(1+N333)</f>
        <v>4.387845</v>
      </c>
      <c r="P333" s="10" t="n">
        <f aca="false">O333*L333</f>
        <v>5379.49797</v>
      </c>
      <c r="Q333" s="5" t="s">
        <v>113</v>
      </c>
      <c r="R333" s="5" t="n">
        <v>0</v>
      </c>
      <c r="S333" s="5" t="n">
        <v>45</v>
      </c>
      <c r="T333" s="12" t="n">
        <f aca="false">(O333-M333)/M333</f>
        <v>0.00869999999999998</v>
      </c>
      <c r="U333" s="8" t="n">
        <f aca="false">IF(AND(K333&lt;=I333,R333=0),1,0)</f>
        <v>1</v>
      </c>
      <c r="V333" s="10" t="n">
        <f aca="false">IF(Q333="No",P333,0)</f>
        <v>0</v>
      </c>
    </row>
    <row r="334" customFormat="false" ht="15" hidden="false" customHeight="false" outlineLevel="0" collapsed="false">
      <c r="A334" s="5" t="s">
        <v>468</v>
      </c>
      <c r="B334" s="5" t="s">
        <v>57</v>
      </c>
      <c r="C334" s="7" t="n">
        <v>45303</v>
      </c>
      <c r="D334" s="8" t="str">
        <f aca="false">INDEX(Dim_Supplier!$C$2:$C$21,MATCH(B334,Dim_Supplier!$A$2:$A$21,0))</f>
        <v>Packaging</v>
      </c>
      <c r="E334" s="8" t="str">
        <f aca="false">INDEX(Dim_Supplier!$B$2:$B$21,MATCH(B334,Dim_Supplier!$A$2:$A$21,0))</f>
        <v>Great Lakes Packaging Co.</v>
      </c>
      <c r="F334" s="5" t="s">
        <v>119</v>
      </c>
      <c r="G334" s="5" t="s">
        <v>112</v>
      </c>
      <c r="H334" s="8" t="n">
        <f aca="false">INDEX(Lookup_Tables!$B$2:$B$5,MATCH(D334,Lookup_Tables!$A$2:$A$5,0))</f>
        <v>14</v>
      </c>
      <c r="I334" s="9" t="n">
        <f aca="false">C334+H334</f>
        <v>45317</v>
      </c>
      <c r="J334" s="5" t="n">
        <v>-3</v>
      </c>
      <c r="K334" s="9" t="n">
        <f aca="false">I334+J334</f>
        <v>45314</v>
      </c>
      <c r="L334" s="5" t="n">
        <v>2602</v>
      </c>
      <c r="M334" s="10" t="n">
        <f aca="false">INDEX(Dim_Supplier!$F$2:$F$21,MATCH(B334,Dim_Supplier!$A$2:$A$21,0))</f>
        <v>4.35</v>
      </c>
      <c r="N334" s="11" t="n">
        <v>0.0175</v>
      </c>
      <c r="O334" s="10" t="n">
        <f aca="false">M334*(1+N334)</f>
        <v>4.426125</v>
      </c>
      <c r="P334" s="10" t="n">
        <f aca="false">O334*L334</f>
        <v>11516.77725</v>
      </c>
      <c r="Q334" s="5" t="s">
        <v>113</v>
      </c>
      <c r="R334" s="5" t="n">
        <v>0</v>
      </c>
      <c r="S334" s="5" t="n">
        <v>30</v>
      </c>
      <c r="T334" s="12" t="n">
        <f aca="false">(O334-M334)/M334</f>
        <v>0.0175000000000001</v>
      </c>
      <c r="U334" s="8" t="n">
        <f aca="false">IF(AND(K334&lt;=I334,R334=0),1,0)</f>
        <v>1</v>
      </c>
      <c r="V334" s="10" t="n">
        <f aca="false">IF(Q334="No",P334,0)</f>
        <v>0</v>
      </c>
    </row>
    <row r="335" customFormat="false" ht="15" hidden="false" customHeight="false" outlineLevel="0" collapsed="false">
      <c r="A335" s="5" t="s">
        <v>469</v>
      </c>
      <c r="B335" s="5" t="s">
        <v>62</v>
      </c>
      <c r="C335" s="7" t="n">
        <v>45721</v>
      </c>
      <c r="D335" s="8" t="str">
        <f aca="false">INDEX(Dim_Supplier!$C$2:$C$21,MATCH(B335,Dim_Supplier!$A$2:$A$21,0))</f>
        <v>Packaging</v>
      </c>
      <c r="E335" s="8" t="str">
        <f aca="false">INDEX(Dim_Supplier!$B$2:$B$21,MATCH(B335,Dim_Supplier!$A$2:$A$21,0))</f>
        <v>Trillium Packaging Solutions</v>
      </c>
      <c r="F335" s="5" t="s">
        <v>158</v>
      </c>
      <c r="G335" s="5" t="s">
        <v>125</v>
      </c>
      <c r="H335" s="8" t="n">
        <f aca="false">INDEX(Lookup_Tables!$B$2:$B$5,MATCH(D335,Lookup_Tables!$A$2:$A$5,0))</f>
        <v>14</v>
      </c>
      <c r="I335" s="9" t="n">
        <f aca="false">C335+H335</f>
        <v>45735</v>
      </c>
      <c r="J335" s="5" t="n">
        <v>-4</v>
      </c>
      <c r="K335" s="9" t="n">
        <f aca="false">I335+J335</f>
        <v>45731</v>
      </c>
      <c r="L335" s="5" t="n">
        <v>4973</v>
      </c>
      <c r="M335" s="10" t="n">
        <f aca="false">INDEX(Dim_Supplier!$F$2:$F$21,MATCH(B335,Dim_Supplier!$A$2:$A$21,0))</f>
        <v>5.6</v>
      </c>
      <c r="N335" s="11" t="n">
        <v>0.0208</v>
      </c>
      <c r="O335" s="10" t="n">
        <f aca="false">M335*(1+N335)</f>
        <v>5.71648</v>
      </c>
      <c r="P335" s="10" t="n">
        <f aca="false">O335*L335</f>
        <v>28428.05504</v>
      </c>
      <c r="Q335" s="5" t="s">
        <v>113</v>
      </c>
      <c r="R335" s="5" t="n">
        <v>0</v>
      </c>
      <c r="S335" s="5" t="n">
        <v>45</v>
      </c>
      <c r="T335" s="12" t="n">
        <f aca="false">(O335-M335)/M335</f>
        <v>0.0207999999999999</v>
      </c>
      <c r="U335" s="8" t="n">
        <f aca="false">IF(AND(K335&lt;=I335,R335=0),1,0)</f>
        <v>1</v>
      </c>
      <c r="V335" s="10" t="n">
        <f aca="false">IF(Q335="No",P335,0)</f>
        <v>0</v>
      </c>
    </row>
    <row r="336" customFormat="false" ht="15" hidden="false" customHeight="false" outlineLevel="0" collapsed="false">
      <c r="A336" s="5" t="s">
        <v>470</v>
      </c>
      <c r="B336" s="5" t="s">
        <v>68</v>
      </c>
      <c r="C336" s="7" t="n">
        <v>46068</v>
      </c>
      <c r="D336" s="8" t="str">
        <f aca="false">INDEX(Dim_Supplier!$C$2:$C$21,MATCH(B336,Dim_Supplier!$A$2:$A$21,0))</f>
        <v>MRO</v>
      </c>
      <c r="E336" s="8" t="str">
        <f aca="false">INDEX(Dim_Supplier!$B$2:$B$21,MATCH(B336,Dim_Supplier!$A$2:$A$21,0))</f>
        <v>Precision Tool &amp; Supply</v>
      </c>
      <c r="F336" s="5" t="s">
        <v>164</v>
      </c>
      <c r="G336" s="5" t="s">
        <v>112</v>
      </c>
      <c r="H336" s="8" t="n">
        <f aca="false">INDEX(Lookup_Tables!$B$2:$B$5,MATCH(D336,Lookup_Tables!$A$2:$A$5,0))</f>
        <v>10</v>
      </c>
      <c r="I336" s="9" t="n">
        <f aca="false">C336+H336</f>
        <v>46078</v>
      </c>
      <c r="J336" s="5" t="n">
        <v>-4</v>
      </c>
      <c r="K336" s="9" t="n">
        <f aca="false">I336+J336</f>
        <v>46074</v>
      </c>
      <c r="L336" s="5" t="n">
        <v>13</v>
      </c>
      <c r="M336" s="10" t="n">
        <f aca="false">INDEX(Dim_Supplier!$F$2:$F$21,MATCH(B336,Dim_Supplier!$A$2:$A$21,0))</f>
        <v>22.4</v>
      </c>
      <c r="N336" s="11" t="n">
        <v>0.0208</v>
      </c>
      <c r="O336" s="10" t="n">
        <f aca="false">M336*(1+N336)</f>
        <v>22.86592</v>
      </c>
      <c r="P336" s="10" t="n">
        <f aca="false">O336*L336</f>
        <v>297.25696</v>
      </c>
      <c r="Q336" s="5" t="s">
        <v>113</v>
      </c>
      <c r="R336" s="5" t="n">
        <v>0</v>
      </c>
      <c r="S336" s="5" t="n">
        <v>60</v>
      </c>
      <c r="T336" s="12" t="n">
        <f aca="false">(O336-M336)/M336</f>
        <v>0.0207999999999999</v>
      </c>
      <c r="U336" s="8" t="n">
        <f aca="false">IF(AND(K336&lt;=I336,R336=0),1,0)</f>
        <v>1</v>
      </c>
      <c r="V336" s="10" t="n">
        <f aca="false">IF(Q336="No",P336,0)</f>
        <v>0</v>
      </c>
    </row>
    <row r="337" customFormat="false" ht="15" hidden="false" customHeight="false" outlineLevel="0" collapsed="false">
      <c r="A337" s="5" t="s">
        <v>471</v>
      </c>
      <c r="B337" s="5" t="s">
        <v>41</v>
      </c>
      <c r="C337" s="7" t="n">
        <v>45466</v>
      </c>
      <c r="D337" s="8" t="str">
        <f aca="false">INDEX(Dim_Supplier!$C$2:$C$21,MATCH(B337,Dim_Supplier!$A$2:$A$21,0))</f>
        <v>Raw Materials</v>
      </c>
      <c r="E337" s="8" t="str">
        <f aca="false">INDEX(Dim_Supplier!$B$2:$B$21,MATCH(B337,Dim_Supplier!$A$2:$A$21,0))</f>
        <v>Ontario Steel Partners</v>
      </c>
      <c r="F337" s="5" t="s">
        <v>142</v>
      </c>
      <c r="G337" s="5" t="s">
        <v>112</v>
      </c>
      <c r="H337" s="8" t="n">
        <f aca="false">INDEX(Lookup_Tables!$B$2:$B$5,MATCH(D337,Lookup_Tables!$A$2:$A$5,0))</f>
        <v>21</v>
      </c>
      <c r="I337" s="9" t="n">
        <f aca="false">C337+H337</f>
        <v>45487</v>
      </c>
      <c r="J337" s="5" t="n">
        <v>-3</v>
      </c>
      <c r="K337" s="9" t="n">
        <f aca="false">I337+J337</f>
        <v>45484</v>
      </c>
      <c r="L337" s="5" t="n">
        <v>1939</v>
      </c>
      <c r="M337" s="10" t="n">
        <f aca="false">INDEX(Dim_Supplier!$F$2:$F$21,MATCH(B337,Dim_Supplier!$A$2:$A$21,0))</f>
        <v>58</v>
      </c>
      <c r="N337" s="11" t="n">
        <v>-0.015</v>
      </c>
      <c r="O337" s="10" t="n">
        <f aca="false">M337*(1+N337)</f>
        <v>57.13</v>
      </c>
      <c r="P337" s="10" t="n">
        <f aca="false">O337*L337</f>
        <v>110775.07</v>
      </c>
      <c r="Q337" s="5" t="s">
        <v>133</v>
      </c>
      <c r="R337" s="5" t="n">
        <v>0</v>
      </c>
      <c r="S337" s="5" t="n">
        <v>60</v>
      </c>
      <c r="T337" s="12" t="n">
        <f aca="false">(O337-M337)/M337</f>
        <v>-0.015</v>
      </c>
      <c r="U337" s="8" t="n">
        <f aca="false">IF(AND(K337&lt;=I337,R337=0),1,0)</f>
        <v>1</v>
      </c>
      <c r="V337" s="10" t="n">
        <f aca="false">IF(Q337="No",P337,0)</f>
        <v>110775.07</v>
      </c>
    </row>
    <row r="338" customFormat="false" ht="15" hidden="false" customHeight="false" outlineLevel="0" collapsed="false">
      <c r="A338" s="5" t="s">
        <v>472</v>
      </c>
      <c r="B338" s="5" t="s">
        <v>84</v>
      </c>
      <c r="C338" s="7" t="n">
        <v>46013</v>
      </c>
      <c r="D338" s="8" t="str">
        <f aca="false">INDEX(Dim_Supplier!$C$2:$C$21,MATCH(B338,Dim_Supplier!$A$2:$A$21,0))</f>
        <v>Logistics</v>
      </c>
      <c r="E338" s="8" t="str">
        <f aca="false">INDEX(Dim_Supplier!$B$2:$B$21,MATCH(B338,Dim_Supplier!$A$2:$A$21,0))</f>
        <v>Trans-Canada Carriers</v>
      </c>
      <c r="F338" s="5" t="s">
        <v>124</v>
      </c>
      <c r="G338" s="5" t="s">
        <v>125</v>
      </c>
      <c r="H338" s="8" t="n">
        <f aca="false">INDEX(Lookup_Tables!$B$2:$B$5,MATCH(D338,Lookup_Tables!$A$2:$A$5,0))</f>
        <v>5</v>
      </c>
      <c r="I338" s="9" t="n">
        <f aca="false">C338+H338</f>
        <v>46018</v>
      </c>
      <c r="J338" s="5" t="n">
        <v>5</v>
      </c>
      <c r="K338" s="9" t="n">
        <f aca="false">I338+J338</f>
        <v>46023</v>
      </c>
      <c r="L338" s="5" t="n">
        <v>28</v>
      </c>
      <c r="M338" s="10" t="n">
        <f aca="false">INDEX(Dim_Supplier!$F$2:$F$21,MATCH(B338,Dim_Supplier!$A$2:$A$21,0))</f>
        <v>210</v>
      </c>
      <c r="N338" s="11" t="n">
        <v>0.1258</v>
      </c>
      <c r="O338" s="10" t="n">
        <f aca="false">M338*(1+N338)</f>
        <v>236.418</v>
      </c>
      <c r="P338" s="10" t="n">
        <f aca="false">O338*L338</f>
        <v>6619.704</v>
      </c>
      <c r="Q338" s="5" t="s">
        <v>113</v>
      </c>
      <c r="R338" s="5" t="n">
        <v>0</v>
      </c>
      <c r="S338" s="5" t="n">
        <v>30</v>
      </c>
      <c r="T338" s="12" t="n">
        <f aca="false">(O338-M338)/M338</f>
        <v>0.1258</v>
      </c>
      <c r="U338" s="8" t="n">
        <f aca="false">IF(AND(K338&lt;=I338,R338=0),1,0)</f>
        <v>0</v>
      </c>
      <c r="V338" s="10" t="n">
        <f aca="false">IF(Q338="No",P338,0)</f>
        <v>0</v>
      </c>
    </row>
    <row r="339" customFormat="false" ht="15" hidden="false" customHeight="false" outlineLevel="0" collapsed="false">
      <c r="A339" s="5" t="s">
        <v>473</v>
      </c>
      <c r="B339" s="5" t="s">
        <v>52</v>
      </c>
      <c r="C339" s="7" t="n">
        <v>46005</v>
      </c>
      <c r="D339" s="8" t="str">
        <f aca="false">INDEX(Dim_Supplier!$C$2:$C$21,MATCH(B339,Dim_Supplier!$A$2:$A$21,0))</f>
        <v>Raw Materials</v>
      </c>
      <c r="E339" s="8" t="str">
        <f aca="false">INDEX(Dim_Supplier!$B$2:$B$21,MATCH(B339,Dim_Supplier!$A$2:$A$21,0))</f>
        <v>Laurentian Metals Inc.</v>
      </c>
      <c r="F339" s="5" t="s">
        <v>144</v>
      </c>
      <c r="G339" s="5" t="s">
        <v>120</v>
      </c>
      <c r="H339" s="8" t="n">
        <f aca="false">INDEX(Lookup_Tables!$B$2:$B$5,MATCH(D339,Lookup_Tables!$A$2:$A$5,0))</f>
        <v>21</v>
      </c>
      <c r="I339" s="9" t="n">
        <f aca="false">C339+H339</f>
        <v>46026</v>
      </c>
      <c r="J339" s="5" t="n">
        <v>-4</v>
      </c>
      <c r="K339" s="9" t="n">
        <f aca="false">I339+J339</f>
        <v>46022</v>
      </c>
      <c r="L339" s="5" t="n">
        <v>296</v>
      </c>
      <c r="M339" s="10" t="n">
        <f aca="false">INDEX(Dim_Supplier!$F$2:$F$21,MATCH(B339,Dim_Supplier!$A$2:$A$21,0))</f>
        <v>61.2</v>
      </c>
      <c r="N339" s="11" t="n">
        <v>0.0058</v>
      </c>
      <c r="O339" s="10" t="n">
        <f aca="false">M339*(1+N339)</f>
        <v>61.55496</v>
      </c>
      <c r="P339" s="10" t="n">
        <f aca="false">O339*L339</f>
        <v>18220.26816</v>
      </c>
      <c r="Q339" s="5" t="s">
        <v>113</v>
      </c>
      <c r="R339" s="5" t="n">
        <v>0</v>
      </c>
      <c r="S339" s="5" t="n">
        <v>60</v>
      </c>
      <c r="T339" s="12" t="n">
        <f aca="false">(O339-M339)/M339</f>
        <v>0.00579999999999997</v>
      </c>
      <c r="U339" s="8" t="n">
        <f aca="false">IF(AND(K339&lt;=I339,R339=0),1,0)</f>
        <v>1</v>
      </c>
      <c r="V339" s="10" t="n">
        <f aca="false">IF(Q339="No",P339,0)</f>
        <v>0</v>
      </c>
    </row>
    <row r="340" customFormat="false" ht="15" hidden="false" customHeight="false" outlineLevel="0" collapsed="false">
      <c r="A340" s="5" t="s">
        <v>474</v>
      </c>
      <c r="B340" s="5" t="s">
        <v>46</v>
      </c>
      <c r="C340" s="7" t="n">
        <v>45661</v>
      </c>
      <c r="D340" s="8" t="str">
        <f aca="false">INDEX(Dim_Supplier!$C$2:$C$21,MATCH(B340,Dim_Supplier!$A$2:$A$21,0))</f>
        <v>Raw Materials</v>
      </c>
      <c r="E340" s="8" t="str">
        <f aca="false">INDEX(Dim_Supplier!$B$2:$B$21,MATCH(B340,Dim_Supplier!$A$2:$A$21,0))</f>
        <v>Niagara Alloy Supply</v>
      </c>
      <c r="F340" s="5" t="s">
        <v>148</v>
      </c>
      <c r="G340" s="5" t="s">
        <v>125</v>
      </c>
      <c r="H340" s="8" t="n">
        <f aca="false">INDEX(Lookup_Tables!$B$2:$B$5,MATCH(D340,Lookup_Tables!$A$2:$A$5,0))</f>
        <v>21</v>
      </c>
      <c r="I340" s="9" t="n">
        <f aca="false">C340+H340</f>
        <v>45682</v>
      </c>
      <c r="J340" s="5" t="n">
        <v>2</v>
      </c>
      <c r="K340" s="9" t="n">
        <f aca="false">I340+J340</f>
        <v>45684</v>
      </c>
      <c r="L340" s="5" t="n">
        <v>1380</v>
      </c>
      <c r="M340" s="10" t="n">
        <f aca="false">INDEX(Dim_Supplier!$F$2:$F$21,MATCH(B340,Dim_Supplier!$A$2:$A$21,0))</f>
        <v>46.5</v>
      </c>
      <c r="N340" s="11" t="n">
        <v>0.0495</v>
      </c>
      <c r="O340" s="10" t="n">
        <f aca="false">M340*(1+N340)</f>
        <v>48.80175</v>
      </c>
      <c r="P340" s="10" t="n">
        <f aca="false">O340*L340</f>
        <v>67346.415</v>
      </c>
      <c r="Q340" s="5" t="s">
        <v>113</v>
      </c>
      <c r="R340" s="5" t="n">
        <v>0</v>
      </c>
      <c r="S340" s="5" t="n">
        <v>30</v>
      </c>
      <c r="T340" s="12" t="n">
        <f aca="false">(O340-M340)/M340</f>
        <v>0.0495000000000001</v>
      </c>
      <c r="U340" s="8" t="n">
        <f aca="false">IF(AND(K340&lt;=I340,R340=0),1,0)</f>
        <v>0</v>
      </c>
      <c r="V340" s="10" t="n">
        <f aca="false">IF(Q340="No",P340,0)</f>
        <v>0</v>
      </c>
    </row>
    <row r="341" customFormat="false" ht="15" hidden="false" customHeight="false" outlineLevel="0" collapsed="false">
      <c r="A341" s="5" t="s">
        <v>475</v>
      </c>
      <c r="B341" s="5" t="s">
        <v>49</v>
      </c>
      <c r="C341" s="7" t="n">
        <v>45590</v>
      </c>
      <c r="D341" s="8" t="str">
        <f aca="false">INDEX(Dim_Supplier!$C$2:$C$21,MATCH(B341,Dim_Supplier!$A$2:$A$21,0))</f>
        <v>Raw Materials</v>
      </c>
      <c r="E341" s="8" t="str">
        <f aca="false">INDEX(Dim_Supplier!$B$2:$B$21,MATCH(B341,Dim_Supplier!$A$2:$A$21,0))</f>
        <v>Great Lakes Polymer Co.</v>
      </c>
      <c r="F341" s="5" t="s">
        <v>148</v>
      </c>
      <c r="G341" s="5" t="s">
        <v>125</v>
      </c>
      <c r="H341" s="8" t="n">
        <f aca="false">INDEX(Lookup_Tables!$B$2:$B$5,MATCH(D341,Lookup_Tables!$A$2:$A$5,0))</f>
        <v>21</v>
      </c>
      <c r="I341" s="9" t="n">
        <f aca="false">C341+H341</f>
        <v>45611</v>
      </c>
      <c r="J341" s="5" t="n">
        <v>5</v>
      </c>
      <c r="K341" s="9" t="n">
        <f aca="false">I341+J341</f>
        <v>45616</v>
      </c>
      <c r="L341" s="5" t="n">
        <v>914</v>
      </c>
      <c r="M341" s="10" t="n">
        <f aca="false">INDEX(Dim_Supplier!$F$2:$F$21,MATCH(B341,Dim_Supplier!$A$2:$A$21,0))</f>
        <v>32.75</v>
      </c>
      <c r="N341" s="11" t="n">
        <v>0.1057</v>
      </c>
      <c r="O341" s="10" t="n">
        <f aca="false">M341*(1+N341)</f>
        <v>36.211675</v>
      </c>
      <c r="P341" s="10" t="n">
        <f aca="false">O341*L341</f>
        <v>33097.47095</v>
      </c>
      <c r="Q341" s="5" t="s">
        <v>113</v>
      </c>
      <c r="R341" s="5" t="n">
        <v>0</v>
      </c>
      <c r="S341" s="5" t="n">
        <v>30</v>
      </c>
      <c r="T341" s="12" t="n">
        <f aca="false">(O341-M341)/M341</f>
        <v>0.1057</v>
      </c>
      <c r="U341" s="8" t="n">
        <f aca="false">IF(AND(K341&lt;=I341,R341=0),1,0)</f>
        <v>0</v>
      </c>
      <c r="V341" s="10" t="n">
        <f aca="false">IF(Q341="No",P341,0)</f>
        <v>0</v>
      </c>
    </row>
    <row r="342" customFormat="false" ht="15" hidden="false" customHeight="false" outlineLevel="0" collapsed="false">
      <c r="A342" s="5" t="s">
        <v>476</v>
      </c>
      <c r="B342" s="5" t="s">
        <v>73</v>
      </c>
      <c r="C342" s="7" t="n">
        <v>45688</v>
      </c>
      <c r="D342" s="8" t="str">
        <f aca="false">INDEX(Dim_Supplier!$C$2:$C$21,MATCH(B342,Dim_Supplier!$A$2:$A$21,0))</f>
        <v>MRO</v>
      </c>
      <c r="E342" s="8" t="str">
        <f aca="false">INDEX(Dim_Supplier!$B$2:$B$21,MATCH(B342,Dim_Supplier!$A$2:$A$21,0))</f>
        <v>Frontier MRO Solutions</v>
      </c>
      <c r="F342" s="5" t="s">
        <v>164</v>
      </c>
      <c r="G342" s="5" t="s">
        <v>120</v>
      </c>
      <c r="H342" s="8" t="n">
        <f aca="false">INDEX(Lookup_Tables!$B$2:$B$5,MATCH(D342,Lookup_Tables!$A$2:$A$5,0))</f>
        <v>10</v>
      </c>
      <c r="I342" s="9" t="n">
        <f aca="false">C342+H342</f>
        <v>45698</v>
      </c>
      <c r="J342" s="5" t="n">
        <v>6</v>
      </c>
      <c r="K342" s="9" t="n">
        <f aca="false">I342+J342</f>
        <v>45704</v>
      </c>
      <c r="L342" s="5" t="n">
        <v>119</v>
      </c>
      <c r="M342" s="10" t="n">
        <f aca="false">INDEX(Dim_Supplier!$F$2:$F$21,MATCH(B342,Dim_Supplier!$A$2:$A$21,0))</f>
        <v>15.9</v>
      </c>
      <c r="N342" s="11" t="n">
        <v>0.1373</v>
      </c>
      <c r="O342" s="10" t="n">
        <f aca="false">M342*(1+N342)</f>
        <v>18.08307</v>
      </c>
      <c r="P342" s="10" t="n">
        <f aca="false">O342*L342</f>
        <v>2151.88533</v>
      </c>
      <c r="Q342" s="5" t="s">
        <v>113</v>
      </c>
      <c r="R342" s="5" t="n">
        <v>0</v>
      </c>
      <c r="S342" s="5" t="n">
        <v>30</v>
      </c>
      <c r="T342" s="12" t="n">
        <f aca="false">(O342-M342)/M342</f>
        <v>0.1373</v>
      </c>
      <c r="U342" s="8" t="n">
        <f aca="false">IF(AND(K342&lt;=I342,R342=0),1,0)</f>
        <v>0</v>
      </c>
      <c r="V342" s="10" t="n">
        <f aca="false">IF(Q342="No",P342,0)</f>
        <v>0</v>
      </c>
    </row>
    <row r="343" customFormat="false" ht="15" hidden="false" customHeight="false" outlineLevel="0" collapsed="false">
      <c r="A343" s="5" t="s">
        <v>477</v>
      </c>
      <c r="B343" s="5" t="s">
        <v>82</v>
      </c>
      <c r="C343" s="7" t="n">
        <v>45869</v>
      </c>
      <c r="D343" s="8" t="str">
        <f aca="false">INDEX(Dim_Supplier!$C$2:$C$21,MATCH(B343,Dim_Supplier!$A$2:$A$21,0))</f>
        <v>Logistics</v>
      </c>
      <c r="E343" s="8" t="str">
        <f aca="false">INDEX(Dim_Supplier!$B$2:$B$21,MATCH(B343,Dim_Supplier!$A$2:$A$21,0))</f>
        <v>Maple Route Logistics</v>
      </c>
      <c r="F343" s="5" t="s">
        <v>124</v>
      </c>
      <c r="G343" s="5" t="s">
        <v>112</v>
      </c>
      <c r="H343" s="8" t="n">
        <f aca="false">INDEX(Lookup_Tables!$B$2:$B$5,MATCH(D343,Lookup_Tables!$A$2:$A$5,0))</f>
        <v>5</v>
      </c>
      <c r="I343" s="9" t="n">
        <f aca="false">C343+H343</f>
        <v>45874</v>
      </c>
      <c r="J343" s="5" t="n">
        <v>-1</v>
      </c>
      <c r="K343" s="9" t="n">
        <f aca="false">I343+J343</f>
        <v>45873</v>
      </c>
      <c r="L343" s="5" t="n">
        <v>6</v>
      </c>
      <c r="M343" s="10" t="n">
        <f aca="false">INDEX(Dim_Supplier!$F$2:$F$21,MATCH(B343,Dim_Supplier!$A$2:$A$21,0))</f>
        <v>285</v>
      </c>
      <c r="N343" s="11" t="n">
        <v>0.0003</v>
      </c>
      <c r="O343" s="10" t="n">
        <f aca="false">M343*(1+N343)</f>
        <v>285.0855</v>
      </c>
      <c r="P343" s="10" t="n">
        <f aca="false">O343*L343</f>
        <v>1710.513</v>
      </c>
      <c r="Q343" s="5" t="s">
        <v>113</v>
      </c>
      <c r="R343" s="5" t="n">
        <v>0</v>
      </c>
      <c r="S343" s="5" t="n">
        <v>30</v>
      </c>
      <c r="T343" s="12" t="n">
        <f aca="false">(O343-M343)/M343</f>
        <v>0.000299999999999887</v>
      </c>
      <c r="U343" s="8" t="n">
        <f aca="false">IF(AND(K343&lt;=I343,R343=0),1,0)</f>
        <v>1</v>
      </c>
      <c r="V343" s="10" t="n">
        <f aca="false">IF(Q343="No",P343,0)</f>
        <v>0</v>
      </c>
    </row>
    <row r="344" customFormat="false" ht="15" hidden="false" customHeight="false" outlineLevel="0" collapsed="false">
      <c r="A344" s="5" t="s">
        <v>478</v>
      </c>
      <c r="B344" s="5" t="s">
        <v>79</v>
      </c>
      <c r="C344" s="7" t="n">
        <v>45524</v>
      </c>
      <c r="D344" s="8" t="str">
        <f aca="false">INDEX(Dim_Supplier!$C$2:$C$21,MATCH(B344,Dim_Supplier!$A$2:$A$21,0))</f>
        <v>Logistics</v>
      </c>
      <c r="E344" s="8" t="str">
        <f aca="false">INDEX(Dim_Supplier!$B$2:$B$21,MATCH(B344,Dim_Supplier!$A$2:$A$21,0))</f>
        <v>Niagara Freight Solutions</v>
      </c>
      <c r="F344" s="5" t="s">
        <v>185</v>
      </c>
      <c r="G344" s="5" t="s">
        <v>129</v>
      </c>
      <c r="H344" s="8" t="n">
        <f aca="false">INDEX(Lookup_Tables!$B$2:$B$5,MATCH(D344,Lookup_Tables!$A$2:$A$5,0))</f>
        <v>5</v>
      </c>
      <c r="I344" s="9" t="n">
        <f aca="false">C344+H344</f>
        <v>45529</v>
      </c>
      <c r="J344" s="5" t="n">
        <v>0</v>
      </c>
      <c r="K344" s="9" t="n">
        <f aca="false">I344+J344</f>
        <v>45529</v>
      </c>
      <c r="L344" s="5" t="n">
        <v>27</v>
      </c>
      <c r="M344" s="10" t="n">
        <f aca="false">INDEX(Dim_Supplier!$F$2:$F$21,MATCH(B344,Dim_Supplier!$A$2:$A$21,0))</f>
        <v>340</v>
      </c>
      <c r="N344" s="11" t="n">
        <v>-0.0211</v>
      </c>
      <c r="O344" s="10" t="n">
        <f aca="false">M344*(1+N344)</f>
        <v>332.826</v>
      </c>
      <c r="P344" s="10" t="n">
        <f aca="false">O344*L344</f>
        <v>8986.302</v>
      </c>
      <c r="Q344" s="5" t="s">
        <v>133</v>
      </c>
      <c r="R344" s="5" t="n">
        <v>0</v>
      </c>
      <c r="S344" s="5" t="n">
        <v>60</v>
      </c>
      <c r="T344" s="12" t="n">
        <f aca="false">(O344-M344)/M344</f>
        <v>-0.0210999999999999</v>
      </c>
      <c r="U344" s="8" t="n">
        <f aca="false">IF(AND(K344&lt;=I344,R344=0),1,0)</f>
        <v>1</v>
      </c>
      <c r="V344" s="10" t="n">
        <f aca="false">IF(Q344="No",P344,0)</f>
        <v>8986.302</v>
      </c>
    </row>
    <row r="345" customFormat="false" ht="15" hidden="false" customHeight="false" outlineLevel="0" collapsed="false">
      <c r="A345" s="5" t="s">
        <v>479</v>
      </c>
      <c r="B345" s="5" t="s">
        <v>68</v>
      </c>
      <c r="C345" s="7" t="n">
        <v>45533</v>
      </c>
      <c r="D345" s="8" t="str">
        <f aca="false">INDEX(Dim_Supplier!$C$2:$C$21,MATCH(B345,Dim_Supplier!$A$2:$A$21,0))</f>
        <v>MRO</v>
      </c>
      <c r="E345" s="8" t="str">
        <f aca="false">INDEX(Dim_Supplier!$B$2:$B$21,MATCH(B345,Dim_Supplier!$A$2:$A$21,0))</f>
        <v>Precision Tool &amp; Supply</v>
      </c>
      <c r="F345" s="5" t="s">
        <v>179</v>
      </c>
      <c r="G345" s="5" t="s">
        <v>120</v>
      </c>
      <c r="H345" s="8" t="n">
        <f aca="false">INDEX(Lookup_Tables!$B$2:$B$5,MATCH(D345,Lookup_Tables!$A$2:$A$5,0))</f>
        <v>10</v>
      </c>
      <c r="I345" s="9" t="n">
        <f aca="false">C345+H345</f>
        <v>45543</v>
      </c>
      <c r="J345" s="5" t="n">
        <v>1</v>
      </c>
      <c r="K345" s="9" t="n">
        <f aca="false">I345+J345</f>
        <v>45544</v>
      </c>
      <c r="L345" s="5" t="n">
        <v>187</v>
      </c>
      <c r="M345" s="10" t="n">
        <f aca="false">INDEX(Dim_Supplier!$F$2:$F$21,MATCH(B345,Dim_Supplier!$A$2:$A$21,0))</f>
        <v>22.4</v>
      </c>
      <c r="N345" s="11" t="n">
        <v>0.0306</v>
      </c>
      <c r="O345" s="10" t="n">
        <f aca="false">M345*(1+N345)</f>
        <v>23.08544</v>
      </c>
      <c r="P345" s="10" t="n">
        <f aca="false">O345*L345</f>
        <v>4316.97728</v>
      </c>
      <c r="Q345" s="5" t="s">
        <v>113</v>
      </c>
      <c r="R345" s="5" t="n">
        <v>0</v>
      </c>
      <c r="S345" s="5" t="n">
        <v>45</v>
      </c>
      <c r="T345" s="12" t="n">
        <f aca="false">(O345-M345)/M345</f>
        <v>0.0306</v>
      </c>
      <c r="U345" s="8" t="n">
        <f aca="false">IF(AND(K345&lt;=I345,R345=0),1,0)</f>
        <v>0</v>
      </c>
      <c r="V345" s="10" t="n">
        <f aca="false">IF(Q345="No",P345,0)</f>
        <v>0</v>
      </c>
    </row>
    <row r="346" customFormat="false" ht="15" hidden="false" customHeight="false" outlineLevel="0" collapsed="false">
      <c r="A346" s="5" t="s">
        <v>480</v>
      </c>
      <c r="B346" s="5" t="s">
        <v>68</v>
      </c>
      <c r="C346" s="7" t="n">
        <v>45927</v>
      </c>
      <c r="D346" s="8" t="str">
        <f aca="false">INDEX(Dim_Supplier!$C$2:$C$21,MATCH(B346,Dim_Supplier!$A$2:$A$21,0))</f>
        <v>MRO</v>
      </c>
      <c r="E346" s="8" t="str">
        <f aca="false">INDEX(Dim_Supplier!$B$2:$B$21,MATCH(B346,Dim_Supplier!$A$2:$A$21,0))</f>
        <v>Precision Tool &amp; Supply</v>
      </c>
      <c r="F346" s="5" t="s">
        <v>164</v>
      </c>
      <c r="G346" s="5" t="s">
        <v>129</v>
      </c>
      <c r="H346" s="8" t="n">
        <f aca="false">INDEX(Lookup_Tables!$B$2:$B$5,MATCH(D346,Lookup_Tables!$A$2:$A$5,0))</f>
        <v>10</v>
      </c>
      <c r="I346" s="9" t="n">
        <f aca="false">C346+H346</f>
        <v>45937</v>
      </c>
      <c r="J346" s="5" t="n">
        <v>-1</v>
      </c>
      <c r="K346" s="9" t="n">
        <f aca="false">I346+J346</f>
        <v>45936</v>
      </c>
      <c r="L346" s="5" t="n">
        <v>47</v>
      </c>
      <c r="M346" s="10" t="n">
        <f aca="false">INDEX(Dim_Supplier!$F$2:$F$21,MATCH(B346,Dim_Supplier!$A$2:$A$21,0))</f>
        <v>22.4</v>
      </c>
      <c r="N346" s="11" t="n">
        <v>0.0032</v>
      </c>
      <c r="O346" s="10" t="n">
        <f aca="false">M346*(1+N346)</f>
        <v>22.47168</v>
      </c>
      <c r="P346" s="10" t="n">
        <f aca="false">O346*L346</f>
        <v>1056.16896</v>
      </c>
      <c r="Q346" s="5" t="s">
        <v>133</v>
      </c>
      <c r="R346" s="5" t="n">
        <v>0</v>
      </c>
      <c r="S346" s="5" t="n">
        <v>30</v>
      </c>
      <c r="T346" s="12" t="n">
        <f aca="false">(O346-M346)/M346</f>
        <v>0.00320000000000003</v>
      </c>
      <c r="U346" s="8" t="n">
        <f aca="false">IF(AND(K346&lt;=I346,R346=0),1,0)</f>
        <v>1</v>
      </c>
      <c r="V346" s="10" t="n">
        <f aca="false">IF(Q346="No",P346,0)</f>
        <v>1056.16896</v>
      </c>
    </row>
    <row r="347" customFormat="false" ht="15" hidden="false" customHeight="false" outlineLevel="0" collapsed="false">
      <c r="A347" s="5" t="s">
        <v>481</v>
      </c>
      <c r="B347" s="5" t="s">
        <v>62</v>
      </c>
      <c r="C347" s="7" t="n">
        <v>45991</v>
      </c>
      <c r="D347" s="8" t="str">
        <f aca="false">INDEX(Dim_Supplier!$C$2:$C$21,MATCH(B347,Dim_Supplier!$A$2:$A$21,0))</f>
        <v>Packaging</v>
      </c>
      <c r="E347" s="8" t="str">
        <f aca="false">INDEX(Dim_Supplier!$B$2:$B$21,MATCH(B347,Dim_Supplier!$A$2:$A$21,0))</f>
        <v>Trillium Packaging Solutions</v>
      </c>
      <c r="F347" s="5" t="s">
        <v>137</v>
      </c>
      <c r="G347" s="5" t="s">
        <v>112</v>
      </c>
      <c r="H347" s="8" t="n">
        <f aca="false">INDEX(Lookup_Tables!$B$2:$B$5,MATCH(D347,Lookup_Tables!$A$2:$A$5,0))</f>
        <v>14</v>
      </c>
      <c r="I347" s="9" t="n">
        <f aca="false">C347+H347</f>
        <v>46005</v>
      </c>
      <c r="J347" s="5" t="n">
        <v>0</v>
      </c>
      <c r="K347" s="9" t="n">
        <f aca="false">I347+J347</f>
        <v>46005</v>
      </c>
      <c r="L347" s="5" t="n">
        <v>2612</v>
      </c>
      <c r="M347" s="10" t="n">
        <f aca="false">INDEX(Dim_Supplier!$F$2:$F$21,MATCH(B347,Dim_Supplier!$A$2:$A$21,0))</f>
        <v>5.6</v>
      </c>
      <c r="N347" s="11" t="n">
        <v>0.0195</v>
      </c>
      <c r="O347" s="10" t="n">
        <f aca="false">M347*(1+N347)</f>
        <v>5.7092</v>
      </c>
      <c r="P347" s="10" t="n">
        <f aca="false">O347*L347</f>
        <v>14912.4304</v>
      </c>
      <c r="Q347" s="5" t="s">
        <v>113</v>
      </c>
      <c r="R347" s="5" t="n">
        <v>0</v>
      </c>
      <c r="S347" s="5" t="n">
        <v>60</v>
      </c>
      <c r="T347" s="12" t="n">
        <f aca="false">(O347-M347)/M347</f>
        <v>0.0195000000000001</v>
      </c>
      <c r="U347" s="8" t="n">
        <f aca="false">IF(AND(K347&lt;=I347,R347=0),1,0)</f>
        <v>1</v>
      </c>
      <c r="V347" s="10" t="n">
        <f aca="false">IF(Q347="No",P347,0)</f>
        <v>0</v>
      </c>
    </row>
    <row r="348" customFormat="false" ht="15" hidden="false" customHeight="false" outlineLevel="0" collapsed="false">
      <c r="A348" s="5" t="s">
        <v>482</v>
      </c>
      <c r="B348" s="5" t="s">
        <v>46</v>
      </c>
      <c r="C348" s="7" t="n">
        <v>45861</v>
      </c>
      <c r="D348" s="8" t="str">
        <f aca="false">INDEX(Dim_Supplier!$C$2:$C$21,MATCH(B348,Dim_Supplier!$A$2:$A$21,0))</f>
        <v>Raw Materials</v>
      </c>
      <c r="E348" s="8" t="str">
        <f aca="false">INDEX(Dim_Supplier!$B$2:$B$21,MATCH(B348,Dim_Supplier!$A$2:$A$21,0))</f>
        <v>Niagara Alloy Supply</v>
      </c>
      <c r="F348" s="5" t="s">
        <v>142</v>
      </c>
      <c r="G348" s="5" t="s">
        <v>120</v>
      </c>
      <c r="H348" s="8" t="n">
        <f aca="false">INDEX(Lookup_Tables!$B$2:$B$5,MATCH(D348,Lookup_Tables!$A$2:$A$5,0))</f>
        <v>21</v>
      </c>
      <c r="I348" s="9" t="n">
        <f aca="false">C348+H348</f>
        <v>45882</v>
      </c>
      <c r="J348" s="5" t="n">
        <v>1</v>
      </c>
      <c r="K348" s="9" t="n">
        <f aca="false">I348+J348</f>
        <v>45883</v>
      </c>
      <c r="L348" s="5" t="n">
        <v>1978</v>
      </c>
      <c r="M348" s="10" t="n">
        <f aca="false">INDEX(Dim_Supplier!$F$2:$F$21,MATCH(B348,Dim_Supplier!$A$2:$A$21,0))</f>
        <v>46.5</v>
      </c>
      <c r="N348" s="11" t="n">
        <v>0.011</v>
      </c>
      <c r="O348" s="10" t="n">
        <f aca="false">M348*(1+N348)</f>
        <v>47.0115</v>
      </c>
      <c r="P348" s="10" t="n">
        <f aca="false">O348*L348</f>
        <v>92988.747</v>
      </c>
      <c r="Q348" s="5" t="s">
        <v>113</v>
      </c>
      <c r="R348" s="5" t="n">
        <v>0</v>
      </c>
      <c r="S348" s="5" t="n">
        <v>45</v>
      </c>
      <c r="T348" s="12" t="n">
        <f aca="false">(O348-M348)/M348</f>
        <v>0.011</v>
      </c>
      <c r="U348" s="8" t="n">
        <f aca="false">IF(AND(K348&lt;=I348,R348=0),1,0)</f>
        <v>0</v>
      </c>
      <c r="V348" s="10" t="n">
        <f aca="false">IF(Q348="No",P348,0)</f>
        <v>0</v>
      </c>
    </row>
    <row r="349" customFormat="false" ht="15" hidden="false" customHeight="false" outlineLevel="0" collapsed="false">
      <c r="A349" s="5" t="s">
        <v>483</v>
      </c>
      <c r="B349" s="5" t="s">
        <v>68</v>
      </c>
      <c r="C349" s="7" t="n">
        <v>45721</v>
      </c>
      <c r="D349" s="8" t="str">
        <f aca="false">INDEX(Dim_Supplier!$C$2:$C$21,MATCH(B349,Dim_Supplier!$A$2:$A$21,0))</f>
        <v>MRO</v>
      </c>
      <c r="E349" s="8" t="str">
        <f aca="false">INDEX(Dim_Supplier!$B$2:$B$21,MATCH(B349,Dim_Supplier!$A$2:$A$21,0))</f>
        <v>Precision Tool &amp; Supply</v>
      </c>
      <c r="F349" s="5" t="s">
        <v>127</v>
      </c>
      <c r="G349" s="5" t="s">
        <v>125</v>
      </c>
      <c r="H349" s="8" t="n">
        <f aca="false">INDEX(Lookup_Tables!$B$2:$B$5,MATCH(D349,Lookup_Tables!$A$2:$A$5,0))</f>
        <v>10</v>
      </c>
      <c r="I349" s="9" t="n">
        <f aca="false">C349+H349</f>
        <v>45731</v>
      </c>
      <c r="J349" s="5" t="n">
        <v>-1</v>
      </c>
      <c r="K349" s="9" t="n">
        <f aca="false">I349+J349</f>
        <v>45730</v>
      </c>
      <c r="L349" s="5" t="n">
        <v>154</v>
      </c>
      <c r="M349" s="10" t="n">
        <f aca="false">INDEX(Dim_Supplier!$F$2:$F$21,MATCH(B349,Dim_Supplier!$A$2:$A$21,0))</f>
        <v>22.4</v>
      </c>
      <c r="N349" s="11" t="n">
        <v>0.0309</v>
      </c>
      <c r="O349" s="10" t="n">
        <f aca="false">M349*(1+N349)</f>
        <v>23.09216</v>
      </c>
      <c r="P349" s="10" t="n">
        <f aca="false">O349*L349</f>
        <v>3556.19264</v>
      </c>
      <c r="Q349" s="5" t="s">
        <v>113</v>
      </c>
      <c r="R349" s="5" t="n">
        <v>0</v>
      </c>
      <c r="S349" s="5" t="n">
        <v>60</v>
      </c>
      <c r="T349" s="12" t="n">
        <f aca="false">(O349-M349)/M349</f>
        <v>0.0308999999999999</v>
      </c>
      <c r="U349" s="8" t="n">
        <f aca="false">IF(AND(K349&lt;=I349,R349=0),1,0)</f>
        <v>1</v>
      </c>
      <c r="V349" s="10" t="n">
        <f aca="false">IF(Q349="No",P349,0)</f>
        <v>0</v>
      </c>
    </row>
    <row r="350" customFormat="false" ht="15" hidden="false" customHeight="false" outlineLevel="0" collapsed="false">
      <c r="A350" s="5" t="s">
        <v>484</v>
      </c>
      <c r="B350" s="5" t="s">
        <v>68</v>
      </c>
      <c r="C350" s="7" t="n">
        <v>45395</v>
      </c>
      <c r="D350" s="8" t="str">
        <f aca="false">INDEX(Dim_Supplier!$C$2:$C$21,MATCH(B350,Dim_Supplier!$A$2:$A$21,0))</f>
        <v>MRO</v>
      </c>
      <c r="E350" s="8" t="str">
        <f aca="false">INDEX(Dim_Supplier!$B$2:$B$21,MATCH(B350,Dim_Supplier!$A$2:$A$21,0))</f>
        <v>Precision Tool &amp; Supply</v>
      </c>
      <c r="F350" s="5" t="s">
        <v>111</v>
      </c>
      <c r="G350" s="5" t="s">
        <v>120</v>
      </c>
      <c r="H350" s="8" t="n">
        <f aca="false">INDEX(Lookup_Tables!$B$2:$B$5,MATCH(D350,Lookup_Tables!$A$2:$A$5,0))</f>
        <v>10</v>
      </c>
      <c r="I350" s="9" t="n">
        <f aca="false">C350+H350</f>
        <v>45405</v>
      </c>
      <c r="J350" s="5" t="n">
        <v>-2</v>
      </c>
      <c r="K350" s="9" t="n">
        <f aca="false">I350+J350</f>
        <v>45403</v>
      </c>
      <c r="L350" s="5" t="n">
        <v>172</v>
      </c>
      <c r="M350" s="10" t="n">
        <f aca="false">INDEX(Dim_Supplier!$F$2:$F$21,MATCH(B350,Dim_Supplier!$A$2:$A$21,0))</f>
        <v>22.4</v>
      </c>
      <c r="N350" s="11" t="n">
        <v>-0.0009</v>
      </c>
      <c r="O350" s="10" t="n">
        <f aca="false">M350*(1+N350)</f>
        <v>22.37984</v>
      </c>
      <c r="P350" s="10" t="n">
        <f aca="false">O350*L350</f>
        <v>3849.33248</v>
      </c>
      <c r="Q350" s="5" t="s">
        <v>113</v>
      </c>
      <c r="R350" s="5" t="n">
        <v>0</v>
      </c>
      <c r="S350" s="5" t="n">
        <v>30</v>
      </c>
      <c r="T350" s="12" t="n">
        <f aca="false">(O350-M350)/M350</f>
        <v>-0.000900000000000028</v>
      </c>
      <c r="U350" s="8" t="n">
        <f aca="false">IF(AND(K350&lt;=I350,R350=0),1,0)</f>
        <v>1</v>
      </c>
      <c r="V350" s="10" t="n">
        <f aca="false">IF(Q350="No",P350,0)</f>
        <v>0</v>
      </c>
    </row>
    <row r="351" customFormat="false" ht="15" hidden="false" customHeight="false" outlineLevel="0" collapsed="false">
      <c r="A351" s="5" t="s">
        <v>485</v>
      </c>
      <c r="B351" s="5" t="s">
        <v>54</v>
      </c>
      <c r="C351" s="7" t="n">
        <v>45439</v>
      </c>
      <c r="D351" s="8" t="str">
        <f aca="false">INDEX(Dim_Supplier!$C$2:$C$21,MATCH(B351,Dim_Supplier!$A$2:$A$21,0))</f>
        <v>Raw Materials</v>
      </c>
      <c r="E351" s="8" t="str">
        <f aca="false">INDEX(Dim_Supplier!$B$2:$B$21,MATCH(B351,Dim_Supplier!$A$2:$A$21,0))</f>
        <v>Northern Resin Solutions</v>
      </c>
      <c r="F351" s="5" t="s">
        <v>144</v>
      </c>
      <c r="G351" s="5" t="s">
        <v>125</v>
      </c>
      <c r="H351" s="8" t="n">
        <f aca="false">INDEX(Lookup_Tables!$B$2:$B$5,MATCH(D351,Lookup_Tables!$A$2:$A$5,0))</f>
        <v>21</v>
      </c>
      <c r="I351" s="9" t="n">
        <f aca="false">C351+H351</f>
        <v>45460</v>
      </c>
      <c r="J351" s="5" t="n">
        <v>3</v>
      </c>
      <c r="K351" s="9" t="n">
        <f aca="false">I351+J351</f>
        <v>45463</v>
      </c>
      <c r="L351" s="5" t="n">
        <v>778</v>
      </c>
      <c r="M351" s="10" t="n">
        <f aca="false">INDEX(Dim_Supplier!$F$2:$F$21,MATCH(B351,Dim_Supplier!$A$2:$A$21,0))</f>
        <v>38.9</v>
      </c>
      <c r="N351" s="11" t="n">
        <v>0.0601</v>
      </c>
      <c r="O351" s="10" t="n">
        <f aca="false">M351*(1+N351)</f>
        <v>41.23789</v>
      </c>
      <c r="P351" s="10" t="n">
        <f aca="false">O351*L351</f>
        <v>32083.07842</v>
      </c>
      <c r="Q351" s="5" t="s">
        <v>113</v>
      </c>
      <c r="R351" s="5" t="n">
        <v>0</v>
      </c>
      <c r="S351" s="5" t="n">
        <v>30</v>
      </c>
      <c r="T351" s="12" t="n">
        <f aca="false">(O351-M351)/M351</f>
        <v>0.0601</v>
      </c>
      <c r="U351" s="8" t="n">
        <f aca="false">IF(AND(K351&lt;=I351,R351=0),1,0)</f>
        <v>0</v>
      </c>
      <c r="V351" s="10" t="n">
        <f aca="false">IF(Q351="No",P351,0)</f>
        <v>0</v>
      </c>
    </row>
    <row r="352" customFormat="false" ht="15" hidden="false" customHeight="false" outlineLevel="0" collapsed="false">
      <c r="A352" s="5" t="s">
        <v>486</v>
      </c>
      <c r="B352" s="5" t="s">
        <v>54</v>
      </c>
      <c r="C352" s="7" t="n">
        <v>45673</v>
      </c>
      <c r="D352" s="8" t="str">
        <f aca="false">INDEX(Dim_Supplier!$C$2:$C$21,MATCH(B352,Dim_Supplier!$A$2:$A$21,0))</f>
        <v>Raw Materials</v>
      </c>
      <c r="E352" s="8" t="str">
        <f aca="false">INDEX(Dim_Supplier!$B$2:$B$21,MATCH(B352,Dim_Supplier!$A$2:$A$21,0))</f>
        <v>Northern Resin Solutions</v>
      </c>
      <c r="F352" s="5" t="s">
        <v>148</v>
      </c>
      <c r="G352" s="5" t="s">
        <v>120</v>
      </c>
      <c r="H352" s="8" t="n">
        <f aca="false">INDEX(Lookup_Tables!$B$2:$B$5,MATCH(D352,Lookup_Tables!$A$2:$A$5,0))</f>
        <v>21</v>
      </c>
      <c r="I352" s="9" t="n">
        <f aca="false">C352+H352</f>
        <v>45694</v>
      </c>
      <c r="J352" s="5" t="n">
        <v>0</v>
      </c>
      <c r="K352" s="9" t="n">
        <f aca="false">I352+J352</f>
        <v>45694</v>
      </c>
      <c r="L352" s="5" t="n">
        <v>674</v>
      </c>
      <c r="M352" s="10" t="n">
        <f aca="false">INDEX(Dim_Supplier!$F$2:$F$21,MATCH(B352,Dim_Supplier!$A$2:$A$21,0))</f>
        <v>38.9</v>
      </c>
      <c r="N352" s="11" t="n">
        <v>0.0345</v>
      </c>
      <c r="O352" s="10" t="n">
        <f aca="false">M352*(1+N352)</f>
        <v>40.24205</v>
      </c>
      <c r="P352" s="10" t="n">
        <f aca="false">O352*L352</f>
        <v>27123.1417</v>
      </c>
      <c r="Q352" s="5" t="s">
        <v>133</v>
      </c>
      <c r="R352" s="5" t="n">
        <v>0</v>
      </c>
      <c r="S352" s="5" t="n">
        <v>45</v>
      </c>
      <c r="T352" s="12" t="n">
        <f aca="false">(O352-M352)/M352</f>
        <v>0.0345</v>
      </c>
      <c r="U352" s="8" t="n">
        <f aca="false">IF(AND(K352&lt;=I352,R352=0),1,0)</f>
        <v>1</v>
      </c>
      <c r="V352" s="10" t="n">
        <f aca="false">IF(Q352="No",P352,0)</f>
        <v>27123.1417</v>
      </c>
    </row>
    <row r="353" customFormat="false" ht="15" hidden="false" customHeight="false" outlineLevel="0" collapsed="false">
      <c r="A353" s="5" t="s">
        <v>487</v>
      </c>
      <c r="B353" s="5" t="s">
        <v>88</v>
      </c>
      <c r="C353" s="7" t="n">
        <v>45525</v>
      </c>
      <c r="D353" s="8" t="str">
        <f aca="false">INDEX(Dim_Supplier!$C$2:$C$21,MATCH(B353,Dim_Supplier!$A$2:$A$21,0))</f>
        <v>Logistics</v>
      </c>
      <c r="E353" s="8" t="str">
        <f aca="false">INDEX(Dim_Supplier!$B$2:$B$21,MATCH(B353,Dim_Supplier!$A$2:$A$21,0))</f>
        <v>Summit Last-Mile Delivery</v>
      </c>
      <c r="F353" s="5" t="s">
        <v>154</v>
      </c>
      <c r="G353" s="5" t="s">
        <v>120</v>
      </c>
      <c r="H353" s="8" t="n">
        <f aca="false">INDEX(Lookup_Tables!$B$2:$B$5,MATCH(D353,Lookup_Tables!$A$2:$A$5,0))</f>
        <v>5</v>
      </c>
      <c r="I353" s="9" t="n">
        <f aca="false">C353+H353</f>
        <v>45530</v>
      </c>
      <c r="J353" s="5" t="n">
        <v>1</v>
      </c>
      <c r="K353" s="9" t="n">
        <f aca="false">I353+J353</f>
        <v>45531</v>
      </c>
      <c r="L353" s="5" t="n">
        <v>21</v>
      </c>
      <c r="M353" s="10" t="n">
        <f aca="false">INDEX(Dim_Supplier!$F$2:$F$21,MATCH(B353,Dim_Supplier!$A$2:$A$21,0))</f>
        <v>95</v>
      </c>
      <c r="N353" s="11" t="n">
        <v>0.0365</v>
      </c>
      <c r="O353" s="10" t="n">
        <f aca="false">M353*(1+N353)</f>
        <v>98.4675</v>
      </c>
      <c r="P353" s="10" t="n">
        <f aca="false">O353*L353</f>
        <v>2067.8175</v>
      </c>
      <c r="Q353" s="5" t="s">
        <v>113</v>
      </c>
      <c r="R353" s="5" t="n">
        <v>0</v>
      </c>
      <c r="S353" s="5" t="n">
        <v>45</v>
      </c>
      <c r="T353" s="12" t="n">
        <f aca="false">(O353-M353)/M353</f>
        <v>0.0365</v>
      </c>
      <c r="U353" s="8" t="n">
        <f aca="false">IF(AND(K353&lt;=I353,R353=0),1,0)</f>
        <v>0</v>
      </c>
      <c r="V353" s="10" t="n">
        <f aca="false">IF(Q353="No",P353,0)</f>
        <v>0</v>
      </c>
    </row>
    <row r="354" customFormat="false" ht="15" hidden="false" customHeight="false" outlineLevel="0" collapsed="false">
      <c r="A354" s="5" t="s">
        <v>488</v>
      </c>
      <c r="B354" s="5" t="s">
        <v>52</v>
      </c>
      <c r="C354" s="7" t="n">
        <v>45508</v>
      </c>
      <c r="D354" s="8" t="str">
        <f aca="false">INDEX(Dim_Supplier!$C$2:$C$21,MATCH(B354,Dim_Supplier!$A$2:$A$21,0))</f>
        <v>Raw Materials</v>
      </c>
      <c r="E354" s="8" t="str">
        <f aca="false">INDEX(Dim_Supplier!$B$2:$B$21,MATCH(B354,Dim_Supplier!$A$2:$A$21,0))</f>
        <v>Laurentian Metals Inc.</v>
      </c>
      <c r="F354" s="5" t="s">
        <v>142</v>
      </c>
      <c r="G354" s="5" t="s">
        <v>125</v>
      </c>
      <c r="H354" s="8" t="n">
        <f aca="false">INDEX(Lookup_Tables!$B$2:$B$5,MATCH(D354,Lookup_Tables!$A$2:$A$5,0))</f>
        <v>21</v>
      </c>
      <c r="I354" s="9" t="n">
        <f aca="false">C354+H354</f>
        <v>45529</v>
      </c>
      <c r="J354" s="5" t="n">
        <v>-3</v>
      </c>
      <c r="K354" s="9" t="n">
        <f aca="false">I354+J354</f>
        <v>45526</v>
      </c>
      <c r="L354" s="5" t="n">
        <v>1781</v>
      </c>
      <c r="M354" s="10" t="n">
        <f aca="false">INDEX(Dim_Supplier!$F$2:$F$21,MATCH(B354,Dim_Supplier!$A$2:$A$21,0))</f>
        <v>61.2</v>
      </c>
      <c r="N354" s="11" t="n">
        <v>-0.0201</v>
      </c>
      <c r="O354" s="10" t="n">
        <f aca="false">M354*(1+N354)</f>
        <v>59.96988</v>
      </c>
      <c r="P354" s="10" t="n">
        <f aca="false">O354*L354</f>
        <v>106806.35628</v>
      </c>
      <c r="Q354" s="5" t="s">
        <v>113</v>
      </c>
      <c r="R354" s="5" t="n">
        <v>0</v>
      </c>
      <c r="S354" s="5" t="n">
        <v>30</v>
      </c>
      <c r="T354" s="12" t="n">
        <f aca="false">(O354-M354)/M354</f>
        <v>-0.0201</v>
      </c>
      <c r="U354" s="8" t="n">
        <f aca="false">IF(AND(K354&lt;=I354,R354=0),1,0)</f>
        <v>1</v>
      </c>
      <c r="V354" s="10" t="n">
        <f aca="false">IF(Q354="No",P354,0)</f>
        <v>0</v>
      </c>
    </row>
    <row r="355" customFormat="false" ht="15" hidden="false" customHeight="false" outlineLevel="0" collapsed="false">
      <c r="A355" s="5" t="s">
        <v>489</v>
      </c>
      <c r="B355" s="5" t="s">
        <v>75</v>
      </c>
      <c r="C355" s="7" t="n">
        <v>45705</v>
      </c>
      <c r="D355" s="8" t="str">
        <f aca="false">INDEX(Dim_Supplier!$C$2:$C$21,MATCH(B355,Dim_Supplier!$A$2:$A$21,0))</f>
        <v>MRO</v>
      </c>
      <c r="E355" s="8" t="str">
        <f aca="false">INDEX(Dim_Supplier!$B$2:$B$21,MATCH(B355,Dim_Supplier!$A$2:$A$21,0))</f>
        <v>Sterling Lubricants Inc.</v>
      </c>
      <c r="F355" s="5" t="s">
        <v>164</v>
      </c>
      <c r="G355" s="5" t="s">
        <v>129</v>
      </c>
      <c r="H355" s="8" t="n">
        <f aca="false">INDEX(Lookup_Tables!$B$2:$B$5,MATCH(D355,Lookup_Tables!$A$2:$A$5,0))</f>
        <v>10</v>
      </c>
      <c r="I355" s="9" t="n">
        <f aca="false">C355+H355</f>
        <v>45715</v>
      </c>
      <c r="J355" s="5" t="n">
        <v>-1</v>
      </c>
      <c r="K355" s="9" t="n">
        <f aca="false">I355+J355</f>
        <v>45714</v>
      </c>
      <c r="L355" s="5" t="n">
        <v>56</v>
      </c>
      <c r="M355" s="10" t="n">
        <f aca="false">INDEX(Dim_Supplier!$F$2:$F$21,MATCH(B355,Dim_Supplier!$A$2:$A$21,0))</f>
        <v>27.1</v>
      </c>
      <c r="N355" s="11" t="n">
        <v>0.0562</v>
      </c>
      <c r="O355" s="10" t="n">
        <f aca="false">M355*(1+N355)</f>
        <v>28.62302</v>
      </c>
      <c r="P355" s="10" t="n">
        <f aca="false">O355*L355</f>
        <v>1602.88912</v>
      </c>
      <c r="Q355" s="5" t="s">
        <v>113</v>
      </c>
      <c r="R355" s="5" t="n">
        <v>0</v>
      </c>
      <c r="S355" s="5" t="n">
        <v>30</v>
      </c>
      <c r="T355" s="12" t="n">
        <f aca="false">(O355-M355)/M355</f>
        <v>0.0562000000000001</v>
      </c>
      <c r="U355" s="8" t="n">
        <f aca="false">IF(AND(K355&lt;=I355,R355=0),1,0)</f>
        <v>1</v>
      </c>
      <c r="V355" s="10" t="n">
        <f aca="false">IF(Q355="No",P355,0)</f>
        <v>0</v>
      </c>
    </row>
    <row r="356" customFormat="false" ht="15" hidden="false" customHeight="false" outlineLevel="0" collapsed="false">
      <c r="A356" s="5" t="s">
        <v>490</v>
      </c>
      <c r="B356" s="5" t="s">
        <v>86</v>
      </c>
      <c r="C356" s="7" t="n">
        <v>46013</v>
      </c>
      <c r="D356" s="8" t="str">
        <f aca="false">INDEX(Dim_Supplier!$C$2:$C$21,MATCH(B356,Dim_Supplier!$A$2:$A$21,0))</f>
        <v>Logistics</v>
      </c>
      <c r="E356" s="8" t="str">
        <f aca="false">INDEX(Dim_Supplier!$B$2:$B$21,MATCH(B356,Dim_Supplier!$A$2:$A$21,0))</f>
        <v>Blue Water Customs Brokerage</v>
      </c>
      <c r="F356" s="5" t="s">
        <v>154</v>
      </c>
      <c r="G356" s="5" t="s">
        <v>120</v>
      </c>
      <c r="H356" s="8" t="n">
        <f aca="false">INDEX(Lookup_Tables!$B$2:$B$5,MATCH(D356,Lookup_Tables!$A$2:$A$5,0))</f>
        <v>5</v>
      </c>
      <c r="I356" s="9" t="n">
        <f aca="false">C356+H356</f>
        <v>46018</v>
      </c>
      <c r="J356" s="5" t="n">
        <v>-4</v>
      </c>
      <c r="K356" s="9" t="n">
        <f aca="false">I356+J356</f>
        <v>46014</v>
      </c>
      <c r="L356" s="5" t="n">
        <v>26</v>
      </c>
      <c r="M356" s="10" t="n">
        <f aca="false">INDEX(Dim_Supplier!$F$2:$F$21,MATCH(B356,Dim_Supplier!$A$2:$A$21,0))</f>
        <v>175</v>
      </c>
      <c r="N356" s="11" t="n">
        <v>0.0264</v>
      </c>
      <c r="O356" s="10" t="n">
        <f aca="false">M356*(1+N356)</f>
        <v>179.62</v>
      </c>
      <c r="P356" s="10" t="n">
        <f aca="false">O356*L356</f>
        <v>4670.12</v>
      </c>
      <c r="Q356" s="5" t="s">
        <v>113</v>
      </c>
      <c r="R356" s="5" t="n">
        <v>0</v>
      </c>
      <c r="S356" s="5" t="n">
        <v>30</v>
      </c>
      <c r="T356" s="12" t="n">
        <f aca="false">(O356-M356)/M356</f>
        <v>0.0264</v>
      </c>
      <c r="U356" s="8" t="n">
        <f aca="false">IF(AND(K356&lt;=I356,R356=0),1,0)</f>
        <v>1</v>
      </c>
      <c r="V356" s="10" t="n">
        <f aca="false">IF(Q356="No",P356,0)</f>
        <v>0</v>
      </c>
    </row>
    <row r="357" customFormat="false" ht="15" hidden="false" customHeight="false" outlineLevel="0" collapsed="false">
      <c r="A357" s="5" t="s">
        <v>491</v>
      </c>
      <c r="B357" s="5" t="s">
        <v>60</v>
      </c>
      <c r="C357" s="7" t="n">
        <v>45900</v>
      </c>
      <c r="D357" s="8" t="str">
        <f aca="false">INDEX(Dim_Supplier!$C$2:$C$21,MATCH(B357,Dim_Supplier!$A$2:$A$21,0))</f>
        <v>Packaging</v>
      </c>
      <c r="E357" s="8" t="str">
        <f aca="false">INDEX(Dim_Supplier!$B$2:$B$21,MATCH(B357,Dim_Supplier!$A$2:$A$21,0))</f>
        <v>Maple Leaf Box &amp; Crate</v>
      </c>
      <c r="F357" s="5" t="s">
        <v>137</v>
      </c>
      <c r="G357" s="5" t="s">
        <v>112</v>
      </c>
      <c r="H357" s="8" t="n">
        <f aca="false">INDEX(Lookup_Tables!$B$2:$B$5,MATCH(D357,Lookup_Tables!$A$2:$A$5,0))</f>
        <v>14</v>
      </c>
      <c r="I357" s="9" t="n">
        <f aca="false">C357+H357</f>
        <v>45914</v>
      </c>
      <c r="J357" s="5" t="n">
        <v>1</v>
      </c>
      <c r="K357" s="9" t="n">
        <f aca="false">I357+J357</f>
        <v>45915</v>
      </c>
      <c r="L357" s="5" t="n">
        <v>3365</v>
      </c>
      <c r="M357" s="10" t="n">
        <f aca="false">INDEX(Dim_Supplier!$F$2:$F$21,MATCH(B357,Dim_Supplier!$A$2:$A$21,0))</f>
        <v>3.1</v>
      </c>
      <c r="N357" s="11" t="n">
        <v>0.0344</v>
      </c>
      <c r="O357" s="10" t="n">
        <f aca="false">M357*(1+N357)</f>
        <v>3.20664</v>
      </c>
      <c r="P357" s="10" t="n">
        <f aca="false">O357*L357</f>
        <v>10790.3436</v>
      </c>
      <c r="Q357" s="5" t="s">
        <v>113</v>
      </c>
      <c r="R357" s="5" t="n">
        <v>0</v>
      </c>
      <c r="S357" s="5" t="n">
        <v>30</v>
      </c>
      <c r="T357" s="12" t="n">
        <f aca="false">(O357-M357)/M357</f>
        <v>0.0344</v>
      </c>
      <c r="U357" s="8" t="n">
        <f aca="false">IF(AND(K357&lt;=I357,R357=0),1,0)</f>
        <v>0</v>
      </c>
      <c r="V357" s="10" t="n">
        <f aca="false">IF(Q357="No",P357,0)</f>
        <v>0</v>
      </c>
    </row>
    <row r="358" customFormat="false" ht="15" hidden="false" customHeight="false" outlineLevel="0" collapsed="false">
      <c r="A358" s="5" t="s">
        <v>492</v>
      </c>
      <c r="B358" s="5" t="s">
        <v>82</v>
      </c>
      <c r="C358" s="7" t="n">
        <v>45384</v>
      </c>
      <c r="D358" s="8" t="str">
        <f aca="false">INDEX(Dim_Supplier!$C$2:$C$21,MATCH(B358,Dim_Supplier!$A$2:$A$21,0))</f>
        <v>Logistics</v>
      </c>
      <c r="E358" s="8" t="str">
        <f aca="false">INDEX(Dim_Supplier!$B$2:$B$21,MATCH(B358,Dim_Supplier!$A$2:$A$21,0))</f>
        <v>Maple Route Logistics</v>
      </c>
      <c r="F358" s="5" t="s">
        <v>146</v>
      </c>
      <c r="G358" s="5" t="s">
        <v>129</v>
      </c>
      <c r="H358" s="8" t="n">
        <f aca="false">INDEX(Lookup_Tables!$B$2:$B$5,MATCH(D358,Lookup_Tables!$A$2:$A$5,0))</f>
        <v>5</v>
      </c>
      <c r="I358" s="9" t="n">
        <f aca="false">C358+H358</f>
        <v>45389</v>
      </c>
      <c r="J358" s="5" t="n">
        <v>-2</v>
      </c>
      <c r="K358" s="9" t="n">
        <f aca="false">I358+J358</f>
        <v>45387</v>
      </c>
      <c r="L358" s="5" t="n">
        <v>37</v>
      </c>
      <c r="M358" s="10" t="n">
        <f aca="false">INDEX(Dim_Supplier!$F$2:$F$21,MATCH(B358,Dim_Supplier!$A$2:$A$21,0))</f>
        <v>285</v>
      </c>
      <c r="N358" s="11" t="n">
        <v>0.0378</v>
      </c>
      <c r="O358" s="10" t="n">
        <f aca="false">M358*(1+N358)</f>
        <v>295.773</v>
      </c>
      <c r="P358" s="10" t="n">
        <f aca="false">O358*L358</f>
        <v>10943.601</v>
      </c>
      <c r="Q358" s="5" t="s">
        <v>113</v>
      </c>
      <c r="R358" s="5" t="n">
        <v>0</v>
      </c>
      <c r="S358" s="5" t="n">
        <v>30</v>
      </c>
      <c r="T358" s="12" t="n">
        <f aca="false">(O358-M358)/M358</f>
        <v>0.0378000000000001</v>
      </c>
      <c r="U358" s="8" t="n">
        <f aca="false">IF(AND(K358&lt;=I358,R358=0),1,0)</f>
        <v>1</v>
      </c>
      <c r="V358" s="10" t="n">
        <f aca="false">IF(Q358="No",P358,0)</f>
        <v>0</v>
      </c>
    </row>
    <row r="359" customFormat="false" ht="15" hidden="false" customHeight="false" outlineLevel="0" collapsed="false">
      <c r="A359" s="5" t="s">
        <v>493</v>
      </c>
      <c r="B359" s="5" t="s">
        <v>52</v>
      </c>
      <c r="C359" s="7" t="n">
        <v>45503</v>
      </c>
      <c r="D359" s="8" t="str">
        <f aca="false">INDEX(Dim_Supplier!$C$2:$C$21,MATCH(B359,Dim_Supplier!$A$2:$A$21,0))</f>
        <v>Raw Materials</v>
      </c>
      <c r="E359" s="8" t="str">
        <f aca="false">INDEX(Dim_Supplier!$B$2:$B$21,MATCH(B359,Dim_Supplier!$A$2:$A$21,0))</f>
        <v>Laurentian Metals Inc.</v>
      </c>
      <c r="F359" s="5" t="s">
        <v>139</v>
      </c>
      <c r="G359" s="5" t="s">
        <v>125</v>
      </c>
      <c r="H359" s="8" t="n">
        <f aca="false">INDEX(Lookup_Tables!$B$2:$B$5,MATCH(D359,Lookup_Tables!$A$2:$A$5,0))</f>
        <v>21</v>
      </c>
      <c r="I359" s="9" t="n">
        <f aca="false">C359+H359</f>
        <v>45524</v>
      </c>
      <c r="J359" s="5" t="n">
        <v>-4</v>
      </c>
      <c r="K359" s="9" t="n">
        <f aca="false">I359+J359</f>
        <v>45520</v>
      </c>
      <c r="L359" s="5" t="n">
        <v>1671</v>
      </c>
      <c r="M359" s="10" t="n">
        <f aca="false">INDEX(Dim_Supplier!$F$2:$F$21,MATCH(B359,Dim_Supplier!$A$2:$A$21,0))</f>
        <v>61.2</v>
      </c>
      <c r="N359" s="11" t="n">
        <v>0.0167</v>
      </c>
      <c r="O359" s="10" t="n">
        <f aca="false">M359*(1+N359)</f>
        <v>62.22204</v>
      </c>
      <c r="P359" s="10" t="n">
        <f aca="false">O359*L359</f>
        <v>103973.02884</v>
      </c>
      <c r="Q359" s="5" t="s">
        <v>113</v>
      </c>
      <c r="R359" s="5" t="n">
        <v>0</v>
      </c>
      <c r="S359" s="5" t="n">
        <v>30</v>
      </c>
      <c r="T359" s="12" t="n">
        <f aca="false">(O359-M359)/M359</f>
        <v>0.0167</v>
      </c>
      <c r="U359" s="8" t="n">
        <f aca="false">IF(AND(K359&lt;=I359,R359=0),1,0)</f>
        <v>1</v>
      </c>
      <c r="V359" s="10" t="n">
        <f aca="false">IF(Q359="No",P359,0)</f>
        <v>0</v>
      </c>
    </row>
    <row r="360" customFormat="false" ht="15" hidden="false" customHeight="false" outlineLevel="0" collapsed="false">
      <c r="A360" s="5" t="s">
        <v>494</v>
      </c>
      <c r="B360" s="5" t="s">
        <v>49</v>
      </c>
      <c r="C360" s="7" t="n">
        <v>46112</v>
      </c>
      <c r="D360" s="8" t="str">
        <f aca="false">INDEX(Dim_Supplier!$C$2:$C$21,MATCH(B360,Dim_Supplier!$A$2:$A$21,0))</f>
        <v>Raw Materials</v>
      </c>
      <c r="E360" s="8" t="str">
        <f aca="false">INDEX(Dim_Supplier!$B$2:$B$21,MATCH(B360,Dim_Supplier!$A$2:$A$21,0))</f>
        <v>Great Lakes Polymer Co.</v>
      </c>
      <c r="F360" s="5" t="s">
        <v>148</v>
      </c>
      <c r="G360" s="5" t="s">
        <v>112</v>
      </c>
      <c r="H360" s="8" t="n">
        <f aca="false">INDEX(Lookup_Tables!$B$2:$B$5,MATCH(D360,Lookup_Tables!$A$2:$A$5,0))</f>
        <v>21</v>
      </c>
      <c r="I360" s="9" t="n">
        <f aca="false">C360+H360</f>
        <v>46133</v>
      </c>
      <c r="J360" s="5" t="n">
        <v>4</v>
      </c>
      <c r="K360" s="9" t="n">
        <f aca="false">I360+J360</f>
        <v>46137</v>
      </c>
      <c r="L360" s="5" t="n">
        <v>725</v>
      </c>
      <c r="M360" s="10" t="n">
        <f aca="false">INDEX(Dim_Supplier!$F$2:$F$21,MATCH(B360,Dim_Supplier!$A$2:$A$21,0))</f>
        <v>32.75</v>
      </c>
      <c r="N360" s="11" t="n">
        <v>0.1562</v>
      </c>
      <c r="O360" s="10" t="n">
        <f aca="false">M360*(1+N360)</f>
        <v>37.86555</v>
      </c>
      <c r="P360" s="10" t="n">
        <f aca="false">O360*L360</f>
        <v>27452.52375</v>
      </c>
      <c r="Q360" s="5" t="s">
        <v>133</v>
      </c>
      <c r="R360" s="5" t="n">
        <v>0</v>
      </c>
      <c r="S360" s="5" t="n">
        <v>30</v>
      </c>
      <c r="T360" s="12" t="n">
        <f aca="false">(O360-M360)/M360</f>
        <v>0.1562</v>
      </c>
      <c r="U360" s="8" t="n">
        <f aca="false">IF(AND(K360&lt;=I360,R360=0),1,0)</f>
        <v>0</v>
      </c>
      <c r="V360" s="10" t="n">
        <f aca="false">IF(Q360="No",P360,0)</f>
        <v>27452.52375</v>
      </c>
    </row>
    <row r="361" customFormat="false" ht="15" hidden="false" customHeight="false" outlineLevel="0" collapsed="false">
      <c r="A361" s="5" t="s">
        <v>495</v>
      </c>
      <c r="B361" s="5" t="s">
        <v>84</v>
      </c>
      <c r="C361" s="7" t="n">
        <v>46164</v>
      </c>
      <c r="D361" s="8" t="str">
        <f aca="false">INDEX(Dim_Supplier!$C$2:$C$21,MATCH(B361,Dim_Supplier!$A$2:$A$21,0))</f>
        <v>Logistics</v>
      </c>
      <c r="E361" s="8" t="str">
        <f aca="false">INDEX(Dim_Supplier!$B$2:$B$21,MATCH(B361,Dim_Supplier!$A$2:$A$21,0))</f>
        <v>Trans-Canada Carriers</v>
      </c>
      <c r="F361" s="5" t="s">
        <v>146</v>
      </c>
      <c r="G361" s="5" t="s">
        <v>125</v>
      </c>
      <c r="H361" s="8" t="n">
        <f aca="false">INDEX(Lookup_Tables!$B$2:$B$5,MATCH(D361,Lookup_Tables!$A$2:$A$5,0))</f>
        <v>5</v>
      </c>
      <c r="I361" s="9" t="n">
        <f aca="false">C361+H361</f>
        <v>46169</v>
      </c>
      <c r="J361" s="5" t="n">
        <v>4</v>
      </c>
      <c r="K361" s="9" t="n">
        <f aca="false">I361+J361</f>
        <v>46173</v>
      </c>
      <c r="L361" s="5" t="n">
        <v>44</v>
      </c>
      <c r="M361" s="10" t="n">
        <f aca="false">INDEX(Dim_Supplier!$F$2:$F$21,MATCH(B361,Dim_Supplier!$A$2:$A$21,0))</f>
        <v>210</v>
      </c>
      <c r="N361" s="11" t="n">
        <v>0.1524</v>
      </c>
      <c r="O361" s="10" t="n">
        <f aca="false">M361*(1+N361)</f>
        <v>242.004</v>
      </c>
      <c r="P361" s="10" t="n">
        <f aca="false">O361*L361</f>
        <v>10648.176</v>
      </c>
      <c r="Q361" s="5" t="s">
        <v>133</v>
      </c>
      <c r="R361" s="5" t="n">
        <v>0</v>
      </c>
      <c r="S361" s="5" t="n">
        <v>45</v>
      </c>
      <c r="T361" s="12" t="n">
        <f aca="false">(O361-M361)/M361</f>
        <v>0.1524</v>
      </c>
      <c r="U361" s="8" t="n">
        <f aca="false">IF(AND(K361&lt;=I361,R361=0),1,0)</f>
        <v>0</v>
      </c>
      <c r="V361" s="10" t="n">
        <f aca="false">IF(Q361="No",P361,0)</f>
        <v>10648.176</v>
      </c>
    </row>
    <row r="362" customFormat="false" ht="15" hidden="false" customHeight="false" outlineLevel="0" collapsed="false">
      <c r="A362" s="5" t="s">
        <v>496</v>
      </c>
      <c r="B362" s="5" t="s">
        <v>41</v>
      </c>
      <c r="C362" s="7" t="n">
        <v>45970</v>
      </c>
      <c r="D362" s="8" t="str">
        <f aca="false">INDEX(Dim_Supplier!$C$2:$C$21,MATCH(B362,Dim_Supplier!$A$2:$A$21,0))</f>
        <v>Raw Materials</v>
      </c>
      <c r="E362" s="8" t="str">
        <f aca="false">INDEX(Dim_Supplier!$B$2:$B$21,MATCH(B362,Dim_Supplier!$A$2:$A$21,0))</f>
        <v>Ontario Steel Partners</v>
      </c>
      <c r="F362" s="5" t="s">
        <v>139</v>
      </c>
      <c r="G362" s="5" t="s">
        <v>120</v>
      </c>
      <c r="H362" s="8" t="n">
        <f aca="false">INDEX(Lookup_Tables!$B$2:$B$5,MATCH(D362,Lookup_Tables!$A$2:$A$5,0))</f>
        <v>21</v>
      </c>
      <c r="I362" s="9" t="n">
        <f aca="false">C362+H362</f>
        <v>45991</v>
      </c>
      <c r="J362" s="5" t="n">
        <v>-3</v>
      </c>
      <c r="K362" s="9" t="n">
        <f aca="false">I362+J362</f>
        <v>45988</v>
      </c>
      <c r="L362" s="5" t="n">
        <v>230</v>
      </c>
      <c r="M362" s="10" t="n">
        <f aca="false">INDEX(Dim_Supplier!$F$2:$F$21,MATCH(B362,Dim_Supplier!$A$2:$A$21,0))</f>
        <v>58</v>
      </c>
      <c r="N362" s="11" t="n">
        <v>0.0191</v>
      </c>
      <c r="O362" s="10" t="n">
        <f aca="false">M362*(1+N362)</f>
        <v>59.1078</v>
      </c>
      <c r="P362" s="10" t="n">
        <f aca="false">O362*L362</f>
        <v>13594.794</v>
      </c>
      <c r="Q362" s="5" t="s">
        <v>113</v>
      </c>
      <c r="R362" s="5" t="n">
        <v>0</v>
      </c>
      <c r="S362" s="5" t="n">
        <v>30</v>
      </c>
      <c r="T362" s="12" t="n">
        <f aca="false">(O362-M362)/M362</f>
        <v>0.0191</v>
      </c>
      <c r="U362" s="8" t="n">
        <f aca="false">IF(AND(K362&lt;=I362,R362=0),1,0)</f>
        <v>1</v>
      </c>
      <c r="V362" s="10" t="n">
        <f aca="false">IF(Q362="No",P362,0)</f>
        <v>0</v>
      </c>
    </row>
    <row r="363" customFormat="false" ht="15" hidden="false" customHeight="false" outlineLevel="0" collapsed="false">
      <c r="A363" s="5" t="s">
        <v>497</v>
      </c>
      <c r="B363" s="5" t="s">
        <v>54</v>
      </c>
      <c r="C363" s="7" t="n">
        <v>45963</v>
      </c>
      <c r="D363" s="8" t="str">
        <f aca="false">INDEX(Dim_Supplier!$C$2:$C$21,MATCH(B363,Dim_Supplier!$A$2:$A$21,0))</f>
        <v>Raw Materials</v>
      </c>
      <c r="E363" s="8" t="str">
        <f aca="false">INDEX(Dim_Supplier!$B$2:$B$21,MATCH(B363,Dim_Supplier!$A$2:$A$21,0))</f>
        <v>Northern Resin Solutions</v>
      </c>
      <c r="F363" s="5" t="s">
        <v>139</v>
      </c>
      <c r="G363" s="5" t="s">
        <v>112</v>
      </c>
      <c r="H363" s="8" t="n">
        <f aca="false">INDEX(Lookup_Tables!$B$2:$B$5,MATCH(D363,Lookup_Tables!$A$2:$A$5,0))</f>
        <v>21</v>
      </c>
      <c r="I363" s="9" t="n">
        <f aca="false">C363+H363</f>
        <v>45984</v>
      </c>
      <c r="J363" s="5" t="n">
        <v>1</v>
      </c>
      <c r="K363" s="9" t="n">
        <f aca="false">I363+J363</f>
        <v>45985</v>
      </c>
      <c r="L363" s="5" t="n">
        <v>1942</v>
      </c>
      <c r="M363" s="10" t="n">
        <f aca="false">INDEX(Dim_Supplier!$F$2:$F$21,MATCH(B363,Dim_Supplier!$A$2:$A$21,0))</f>
        <v>38.9</v>
      </c>
      <c r="N363" s="11" t="n">
        <v>0.0775</v>
      </c>
      <c r="O363" s="10" t="n">
        <f aca="false">M363*(1+N363)</f>
        <v>41.91475</v>
      </c>
      <c r="P363" s="10" t="n">
        <f aca="false">O363*L363</f>
        <v>81398.4445</v>
      </c>
      <c r="Q363" s="5" t="s">
        <v>113</v>
      </c>
      <c r="R363" s="5" t="n">
        <v>0</v>
      </c>
      <c r="S363" s="5" t="n">
        <v>60</v>
      </c>
      <c r="T363" s="12" t="n">
        <f aca="false">(O363-M363)/M363</f>
        <v>0.0775</v>
      </c>
      <c r="U363" s="8" t="n">
        <f aca="false">IF(AND(K363&lt;=I363,R363=0),1,0)</f>
        <v>0</v>
      </c>
      <c r="V363" s="10" t="n">
        <f aca="false">IF(Q363="No",P363,0)</f>
        <v>0</v>
      </c>
    </row>
    <row r="364" customFormat="false" ht="15" hidden="false" customHeight="false" outlineLevel="0" collapsed="false">
      <c r="A364" s="5" t="s">
        <v>498</v>
      </c>
      <c r="B364" s="5" t="s">
        <v>60</v>
      </c>
      <c r="C364" s="7" t="n">
        <v>45619</v>
      </c>
      <c r="D364" s="8" t="str">
        <f aca="false">INDEX(Dim_Supplier!$C$2:$C$21,MATCH(B364,Dim_Supplier!$A$2:$A$21,0))</f>
        <v>Packaging</v>
      </c>
      <c r="E364" s="8" t="str">
        <f aca="false">INDEX(Dim_Supplier!$B$2:$B$21,MATCH(B364,Dim_Supplier!$A$2:$A$21,0))</f>
        <v>Maple Leaf Box &amp; Crate</v>
      </c>
      <c r="F364" s="5" t="s">
        <v>158</v>
      </c>
      <c r="G364" s="5" t="s">
        <v>129</v>
      </c>
      <c r="H364" s="8" t="n">
        <f aca="false">INDEX(Lookup_Tables!$B$2:$B$5,MATCH(D364,Lookup_Tables!$A$2:$A$5,0))</f>
        <v>14</v>
      </c>
      <c r="I364" s="9" t="n">
        <f aca="false">C364+H364</f>
        <v>45633</v>
      </c>
      <c r="J364" s="5" t="n">
        <v>-4</v>
      </c>
      <c r="K364" s="9" t="n">
        <f aca="false">I364+J364</f>
        <v>45629</v>
      </c>
      <c r="L364" s="5" t="n">
        <v>2625</v>
      </c>
      <c r="M364" s="10" t="n">
        <f aca="false">INDEX(Dim_Supplier!$F$2:$F$21,MATCH(B364,Dim_Supplier!$A$2:$A$21,0))</f>
        <v>3.1</v>
      </c>
      <c r="N364" s="11" t="n">
        <v>-0.0173</v>
      </c>
      <c r="O364" s="10" t="n">
        <f aca="false">M364*(1+N364)</f>
        <v>3.04637</v>
      </c>
      <c r="P364" s="10" t="n">
        <f aca="false">O364*L364</f>
        <v>7996.72125</v>
      </c>
      <c r="Q364" s="5" t="s">
        <v>133</v>
      </c>
      <c r="R364" s="5" t="n">
        <v>0</v>
      </c>
      <c r="S364" s="5" t="n">
        <v>45</v>
      </c>
      <c r="T364" s="12" t="n">
        <f aca="false">(O364-M364)/M364</f>
        <v>-0.0173</v>
      </c>
      <c r="U364" s="8" t="n">
        <f aca="false">IF(AND(K364&lt;=I364,R364=0),1,0)</f>
        <v>1</v>
      </c>
      <c r="V364" s="10" t="n">
        <f aca="false">IF(Q364="No",P364,0)</f>
        <v>7996.72125</v>
      </c>
    </row>
    <row r="365" customFormat="false" ht="15" hidden="false" customHeight="false" outlineLevel="0" collapsed="false">
      <c r="A365" s="5" t="s">
        <v>499</v>
      </c>
      <c r="B365" s="5" t="s">
        <v>68</v>
      </c>
      <c r="C365" s="7" t="n">
        <v>45877</v>
      </c>
      <c r="D365" s="8" t="str">
        <f aca="false">INDEX(Dim_Supplier!$C$2:$C$21,MATCH(B365,Dim_Supplier!$A$2:$A$21,0))</f>
        <v>MRO</v>
      </c>
      <c r="E365" s="8" t="str">
        <f aca="false">INDEX(Dim_Supplier!$B$2:$B$21,MATCH(B365,Dim_Supplier!$A$2:$A$21,0))</f>
        <v>Precision Tool &amp; Supply</v>
      </c>
      <c r="F365" s="5" t="s">
        <v>164</v>
      </c>
      <c r="G365" s="5" t="s">
        <v>120</v>
      </c>
      <c r="H365" s="8" t="n">
        <f aca="false">INDEX(Lookup_Tables!$B$2:$B$5,MATCH(D365,Lookup_Tables!$A$2:$A$5,0))</f>
        <v>10</v>
      </c>
      <c r="I365" s="9" t="n">
        <f aca="false">C365+H365</f>
        <v>45887</v>
      </c>
      <c r="J365" s="5" t="n">
        <v>-3</v>
      </c>
      <c r="K365" s="9" t="n">
        <f aca="false">I365+J365</f>
        <v>45884</v>
      </c>
      <c r="L365" s="5" t="n">
        <v>141</v>
      </c>
      <c r="M365" s="10" t="n">
        <f aca="false">INDEX(Dim_Supplier!$F$2:$F$21,MATCH(B365,Dim_Supplier!$A$2:$A$21,0))</f>
        <v>22.4</v>
      </c>
      <c r="N365" s="11" t="n">
        <v>-0.004</v>
      </c>
      <c r="O365" s="10" t="n">
        <f aca="false">M365*(1+N365)</f>
        <v>22.3104</v>
      </c>
      <c r="P365" s="10" t="n">
        <f aca="false">O365*L365</f>
        <v>3145.7664</v>
      </c>
      <c r="Q365" s="5" t="s">
        <v>113</v>
      </c>
      <c r="R365" s="5" t="n">
        <v>0</v>
      </c>
      <c r="S365" s="5" t="n">
        <v>60</v>
      </c>
      <c r="T365" s="12" t="n">
        <f aca="false">(O365-M365)/M365</f>
        <v>-0.00400000000000004</v>
      </c>
      <c r="U365" s="8" t="n">
        <f aca="false">IF(AND(K365&lt;=I365,R365=0),1,0)</f>
        <v>1</v>
      </c>
      <c r="V365" s="10" t="n">
        <f aca="false">IF(Q365="No",P365,0)</f>
        <v>0</v>
      </c>
    </row>
    <row r="366" customFormat="false" ht="15" hidden="false" customHeight="false" outlineLevel="0" collapsed="false">
      <c r="A366" s="5" t="s">
        <v>500</v>
      </c>
      <c r="B366" s="5" t="s">
        <v>57</v>
      </c>
      <c r="C366" s="7" t="n">
        <v>45599</v>
      </c>
      <c r="D366" s="8" t="str">
        <f aca="false">INDEX(Dim_Supplier!$C$2:$C$21,MATCH(B366,Dim_Supplier!$A$2:$A$21,0))</f>
        <v>Packaging</v>
      </c>
      <c r="E366" s="8" t="str">
        <f aca="false">INDEX(Dim_Supplier!$B$2:$B$21,MATCH(B366,Dim_Supplier!$A$2:$A$21,0))</f>
        <v>Great Lakes Packaging Co.</v>
      </c>
      <c r="F366" s="5" t="s">
        <v>158</v>
      </c>
      <c r="G366" s="5" t="s">
        <v>112</v>
      </c>
      <c r="H366" s="8" t="n">
        <f aca="false">INDEX(Lookup_Tables!$B$2:$B$5,MATCH(D366,Lookup_Tables!$A$2:$A$5,0))</f>
        <v>14</v>
      </c>
      <c r="I366" s="9" t="n">
        <f aca="false">C366+H366</f>
        <v>45613</v>
      </c>
      <c r="J366" s="5" t="n">
        <v>-4</v>
      </c>
      <c r="K366" s="9" t="n">
        <f aca="false">I366+J366</f>
        <v>45609</v>
      </c>
      <c r="L366" s="5" t="n">
        <v>2618</v>
      </c>
      <c r="M366" s="10" t="n">
        <f aca="false">INDEX(Dim_Supplier!$F$2:$F$21,MATCH(B366,Dim_Supplier!$A$2:$A$21,0))</f>
        <v>4.35</v>
      </c>
      <c r="N366" s="11" t="n">
        <v>0.0317</v>
      </c>
      <c r="O366" s="10" t="n">
        <f aca="false">M366*(1+N366)</f>
        <v>4.487895</v>
      </c>
      <c r="P366" s="10" t="n">
        <f aca="false">O366*L366</f>
        <v>11749.30911</v>
      </c>
      <c r="Q366" s="5" t="s">
        <v>113</v>
      </c>
      <c r="R366" s="5" t="n">
        <v>0</v>
      </c>
      <c r="S366" s="5" t="n">
        <v>60</v>
      </c>
      <c r="T366" s="12" t="n">
        <f aca="false">(O366-M366)/M366</f>
        <v>0.0317000000000001</v>
      </c>
      <c r="U366" s="8" t="n">
        <f aca="false">IF(AND(K366&lt;=I366,R366=0),1,0)</f>
        <v>1</v>
      </c>
      <c r="V366" s="10" t="n">
        <f aca="false">IF(Q366="No",P366,0)</f>
        <v>0</v>
      </c>
    </row>
    <row r="367" customFormat="false" ht="15" hidden="false" customHeight="false" outlineLevel="0" collapsed="false">
      <c r="A367" s="5" t="s">
        <v>501</v>
      </c>
      <c r="B367" s="5" t="s">
        <v>86</v>
      </c>
      <c r="C367" s="7" t="n">
        <v>45635</v>
      </c>
      <c r="D367" s="8" t="str">
        <f aca="false">INDEX(Dim_Supplier!$C$2:$C$21,MATCH(B367,Dim_Supplier!$A$2:$A$21,0))</f>
        <v>Logistics</v>
      </c>
      <c r="E367" s="8" t="str">
        <f aca="false">INDEX(Dim_Supplier!$B$2:$B$21,MATCH(B367,Dim_Supplier!$A$2:$A$21,0))</f>
        <v>Blue Water Customs Brokerage</v>
      </c>
      <c r="F367" s="5" t="s">
        <v>124</v>
      </c>
      <c r="G367" s="5" t="s">
        <v>112</v>
      </c>
      <c r="H367" s="8" t="n">
        <f aca="false">INDEX(Lookup_Tables!$B$2:$B$5,MATCH(D367,Lookup_Tables!$A$2:$A$5,0))</f>
        <v>5</v>
      </c>
      <c r="I367" s="9" t="n">
        <f aca="false">C367+H367</f>
        <v>45640</v>
      </c>
      <c r="J367" s="5" t="n">
        <v>-4</v>
      </c>
      <c r="K367" s="9" t="n">
        <f aca="false">I367+J367</f>
        <v>45636</v>
      </c>
      <c r="L367" s="5" t="n">
        <v>20</v>
      </c>
      <c r="M367" s="10" t="n">
        <f aca="false">INDEX(Dim_Supplier!$F$2:$F$21,MATCH(B367,Dim_Supplier!$A$2:$A$21,0))</f>
        <v>175</v>
      </c>
      <c r="N367" s="11" t="n">
        <v>0.0361</v>
      </c>
      <c r="O367" s="10" t="n">
        <f aca="false">M367*(1+N367)</f>
        <v>181.3175</v>
      </c>
      <c r="P367" s="10" t="n">
        <f aca="false">O367*L367</f>
        <v>3626.35</v>
      </c>
      <c r="Q367" s="5" t="s">
        <v>113</v>
      </c>
      <c r="R367" s="5" t="n">
        <v>0</v>
      </c>
      <c r="S367" s="5" t="n">
        <v>30</v>
      </c>
      <c r="T367" s="12" t="n">
        <f aca="false">(O367-M367)/M367</f>
        <v>0.0361</v>
      </c>
      <c r="U367" s="8" t="n">
        <f aca="false">IF(AND(K367&lt;=I367,R367=0),1,0)</f>
        <v>1</v>
      </c>
      <c r="V367" s="10" t="n">
        <f aca="false">IF(Q367="No",P367,0)</f>
        <v>0</v>
      </c>
    </row>
    <row r="368" customFormat="false" ht="15" hidden="false" customHeight="false" outlineLevel="0" collapsed="false">
      <c r="A368" s="5" t="s">
        <v>502</v>
      </c>
      <c r="B368" s="5" t="s">
        <v>68</v>
      </c>
      <c r="C368" s="7" t="n">
        <v>45766</v>
      </c>
      <c r="D368" s="8" t="str">
        <f aca="false">INDEX(Dim_Supplier!$C$2:$C$21,MATCH(B368,Dim_Supplier!$A$2:$A$21,0))</f>
        <v>MRO</v>
      </c>
      <c r="E368" s="8" t="str">
        <f aca="false">INDEX(Dim_Supplier!$B$2:$B$21,MATCH(B368,Dim_Supplier!$A$2:$A$21,0))</f>
        <v>Precision Tool &amp; Supply</v>
      </c>
      <c r="F368" s="5" t="s">
        <v>127</v>
      </c>
      <c r="G368" s="5" t="s">
        <v>125</v>
      </c>
      <c r="H368" s="8" t="n">
        <f aca="false">INDEX(Lookup_Tables!$B$2:$B$5,MATCH(D368,Lookup_Tables!$A$2:$A$5,0))</f>
        <v>10</v>
      </c>
      <c r="I368" s="9" t="n">
        <f aca="false">C368+H368</f>
        <v>45776</v>
      </c>
      <c r="J368" s="5" t="n">
        <v>0</v>
      </c>
      <c r="K368" s="9" t="n">
        <f aca="false">I368+J368</f>
        <v>45776</v>
      </c>
      <c r="L368" s="5" t="n">
        <v>153</v>
      </c>
      <c r="M368" s="10" t="n">
        <f aca="false">INDEX(Dim_Supplier!$F$2:$F$21,MATCH(B368,Dim_Supplier!$A$2:$A$21,0))</f>
        <v>22.4</v>
      </c>
      <c r="N368" s="11" t="n">
        <v>0.0194</v>
      </c>
      <c r="O368" s="10" t="n">
        <f aca="false">M368*(1+N368)</f>
        <v>22.83456</v>
      </c>
      <c r="P368" s="10" t="n">
        <f aca="false">O368*L368</f>
        <v>3493.68768</v>
      </c>
      <c r="Q368" s="5" t="s">
        <v>133</v>
      </c>
      <c r="R368" s="5" t="n">
        <v>0</v>
      </c>
      <c r="S368" s="5" t="n">
        <v>60</v>
      </c>
      <c r="T368" s="12" t="n">
        <f aca="false">(O368-M368)/M368</f>
        <v>0.0194000000000001</v>
      </c>
      <c r="U368" s="8" t="n">
        <f aca="false">IF(AND(K368&lt;=I368,R368=0),1,0)</f>
        <v>1</v>
      </c>
      <c r="V368" s="10" t="n">
        <f aca="false">IF(Q368="No",P368,0)</f>
        <v>3493.68768</v>
      </c>
    </row>
    <row r="369" customFormat="false" ht="15" hidden="false" customHeight="false" outlineLevel="0" collapsed="false">
      <c r="A369" s="5" t="s">
        <v>503</v>
      </c>
      <c r="B369" s="5" t="s">
        <v>66</v>
      </c>
      <c r="C369" s="7" t="n">
        <v>46180</v>
      </c>
      <c r="D369" s="8" t="str">
        <f aca="false">INDEX(Dim_Supplier!$C$2:$C$21,MATCH(B369,Dim_Supplier!$A$2:$A$21,0))</f>
        <v>Packaging</v>
      </c>
      <c r="E369" s="8" t="str">
        <f aca="false">INDEX(Dim_Supplier!$B$2:$B$21,MATCH(B369,Dim_Supplier!$A$2:$A$21,0))</f>
        <v>EverGreen Wrap Industries</v>
      </c>
      <c r="F369" s="5" t="s">
        <v>137</v>
      </c>
      <c r="G369" s="5" t="s">
        <v>120</v>
      </c>
      <c r="H369" s="8" t="n">
        <f aca="false">INDEX(Lookup_Tables!$B$2:$B$5,MATCH(D369,Lookup_Tables!$A$2:$A$5,0))</f>
        <v>14</v>
      </c>
      <c r="I369" s="9" t="n">
        <f aca="false">C369+H369</f>
        <v>46194</v>
      </c>
      <c r="J369" s="5" t="n">
        <v>-4</v>
      </c>
      <c r="K369" s="9" t="n">
        <f aca="false">I369+J369</f>
        <v>46190</v>
      </c>
      <c r="L369" s="5" t="n">
        <v>1735</v>
      </c>
      <c r="M369" s="10" t="n">
        <f aca="false">INDEX(Dim_Supplier!$F$2:$F$21,MATCH(B369,Dim_Supplier!$A$2:$A$21,0))</f>
        <v>6.8</v>
      </c>
      <c r="N369" s="11" t="n">
        <v>0.081</v>
      </c>
      <c r="O369" s="10" t="n">
        <f aca="false">M369*(1+N369)</f>
        <v>7.3508</v>
      </c>
      <c r="P369" s="10" t="n">
        <f aca="false">O369*L369</f>
        <v>12753.638</v>
      </c>
      <c r="Q369" s="5" t="s">
        <v>113</v>
      </c>
      <c r="R369" s="5" t="n">
        <v>0</v>
      </c>
      <c r="S369" s="5" t="n">
        <v>30</v>
      </c>
      <c r="T369" s="12" t="n">
        <f aca="false">(O369-M369)/M369</f>
        <v>0.081</v>
      </c>
      <c r="U369" s="8" t="n">
        <f aca="false">IF(AND(K369&lt;=I369,R369=0),1,0)</f>
        <v>1</v>
      </c>
      <c r="V369" s="10" t="n">
        <f aca="false">IF(Q369="No",P369,0)</f>
        <v>0</v>
      </c>
    </row>
    <row r="370" customFormat="false" ht="15" hidden="false" customHeight="false" outlineLevel="0" collapsed="false">
      <c r="A370" s="5" t="s">
        <v>504</v>
      </c>
      <c r="B370" s="5" t="s">
        <v>68</v>
      </c>
      <c r="C370" s="7" t="n">
        <v>45760</v>
      </c>
      <c r="D370" s="8" t="str">
        <f aca="false">INDEX(Dim_Supplier!$C$2:$C$21,MATCH(B370,Dim_Supplier!$A$2:$A$21,0))</f>
        <v>MRO</v>
      </c>
      <c r="E370" s="8" t="str">
        <f aca="false">INDEX(Dim_Supplier!$B$2:$B$21,MATCH(B370,Dim_Supplier!$A$2:$A$21,0))</f>
        <v>Precision Tool &amp; Supply</v>
      </c>
      <c r="F370" s="5" t="s">
        <v>164</v>
      </c>
      <c r="G370" s="5" t="s">
        <v>120</v>
      </c>
      <c r="H370" s="8" t="n">
        <f aca="false">INDEX(Lookup_Tables!$B$2:$B$5,MATCH(D370,Lookup_Tables!$A$2:$A$5,0))</f>
        <v>10</v>
      </c>
      <c r="I370" s="9" t="n">
        <f aca="false">C370+H370</f>
        <v>45770</v>
      </c>
      <c r="J370" s="5" t="n">
        <v>-2</v>
      </c>
      <c r="K370" s="9" t="n">
        <f aca="false">I370+J370</f>
        <v>45768</v>
      </c>
      <c r="L370" s="5" t="n">
        <v>25</v>
      </c>
      <c r="M370" s="10" t="n">
        <f aca="false">INDEX(Dim_Supplier!$F$2:$F$21,MATCH(B370,Dim_Supplier!$A$2:$A$21,0))</f>
        <v>22.4</v>
      </c>
      <c r="N370" s="11" t="n">
        <v>0.0004</v>
      </c>
      <c r="O370" s="10" t="n">
        <f aca="false">M370*(1+N370)</f>
        <v>22.40896</v>
      </c>
      <c r="P370" s="10" t="n">
        <f aca="false">O370*L370</f>
        <v>560.224</v>
      </c>
      <c r="Q370" s="5" t="s">
        <v>113</v>
      </c>
      <c r="R370" s="5" t="n">
        <v>0</v>
      </c>
      <c r="S370" s="5" t="n">
        <v>30</v>
      </c>
      <c r="T370" s="12" t="n">
        <f aca="false">(O370-M370)/M370</f>
        <v>0.000399999999999924</v>
      </c>
      <c r="U370" s="8" t="n">
        <f aca="false">IF(AND(K370&lt;=I370,R370=0),1,0)</f>
        <v>1</v>
      </c>
      <c r="V370" s="10" t="n">
        <f aca="false">IF(Q370="No",P370,0)</f>
        <v>0</v>
      </c>
    </row>
    <row r="371" customFormat="false" ht="15" hidden="false" customHeight="false" outlineLevel="0" collapsed="false">
      <c r="A371" s="5" t="s">
        <v>505</v>
      </c>
      <c r="B371" s="5" t="s">
        <v>71</v>
      </c>
      <c r="C371" s="7" t="n">
        <v>45296</v>
      </c>
      <c r="D371" s="8" t="str">
        <f aca="false">INDEX(Dim_Supplier!$C$2:$C$21,MATCH(B371,Dim_Supplier!$A$2:$A$21,0))</f>
        <v>MRO</v>
      </c>
      <c r="E371" s="8" t="str">
        <f aca="false">INDEX(Dim_Supplier!$B$2:$B$21,MATCH(B371,Dim_Supplier!$A$2:$A$21,0))</f>
        <v>CanSafe Equipment Ltd.</v>
      </c>
      <c r="F371" s="5" t="s">
        <v>179</v>
      </c>
      <c r="G371" s="5" t="s">
        <v>120</v>
      </c>
      <c r="H371" s="8" t="n">
        <f aca="false">INDEX(Lookup_Tables!$B$2:$B$5,MATCH(D371,Lookup_Tables!$A$2:$A$5,0))</f>
        <v>10</v>
      </c>
      <c r="I371" s="9" t="n">
        <f aca="false">C371+H371</f>
        <v>45306</v>
      </c>
      <c r="J371" s="5" t="n">
        <v>0</v>
      </c>
      <c r="K371" s="9" t="n">
        <f aca="false">I371+J371</f>
        <v>45306</v>
      </c>
      <c r="L371" s="5" t="n">
        <v>152</v>
      </c>
      <c r="M371" s="10" t="n">
        <f aca="false">INDEX(Dim_Supplier!$F$2:$F$21,MATCH(B371,Dim_Supplier!$A$2:$A$21,0))</f>
        <v>18.75</v>
      </c>
      <c r="N371" s="11" t="n">
        <v>0.0634</v>
      </c>
      <c r="O371" s="10" t="n">
        <f aca="false">M371*(1+N371)</f>
        <v>19.93875</v>
      </c>
      <c r="P371" s="10" t="n">
        <f aca="false">O371*L371</f>
        <v>3030.69</v>
      </c>
      <c r="Q371" s="5" t="s">
        <v>113</v>
      </c>
      <c r="R371" s="5" t="n">
        <v>0</v>
      </c>
      <c r="S371" s="5" t="n">
        <v>45</v>
      </c>
      <c r="T371" s="12" t="n">
        <f aca="false">(O371-M371)/M371</f>
        <v>0.0633999999999999</v>
      </c>
      <c r="U371" s="8" t="n">
        <f aca="false">IF(AND(K371&lt;=I371,R371=0),1,0)</f>
        <v>1</v>
      </c>
      <c r="V371" s="10" t="n">
        <f aca="false">IF(Q371="No",P371,0)</f>
        <v>0</v>
      </c>
    </row>
    <row r="372" customFormat="false" ht="15" hidden="false" customHeight="false" outlineLevel="0" collapsed="false">
      <c r="A372" s="5" t="s">
        <v>506</v>
      </c>
      <c r="B372" s="5" t="s">
        <v>46</v>
      </c>
      <c r="C372" s="7" t="n">
        <v>45921</v>
      </c>
      <c r="D372" s="8" t="str">
        <f aca="false">INDEX(Dim_Supplier!$C$2:$C$21,MATCH(B372,Dim_Supplier!$A$2:$A$21,0))</f>
        <v>Raw Materials</v>
      </c>
      <c r="E372" s="8" t="str">
        <f aca="false">INDEX(Dim_Supplier!$B$2:$B$21,MATCH(B372,Dim_Supplier!$A$2:$A$21,0))</f>
        <v>Niagara Alloy Supply</v>
      </c>
      <c r="F372" s="5" t="s">
        <v>142</v>
      </c>
      <c r="G372" s="5" t="s">
        <v>125</v>
      </c>
      <c r="H372" s="8" t="n">
        <f aca="false">INDEX(Lookup_Tables!$B$2:$B$5,MATCH(D372,Lookup_Tables!$A$2:$A$5,0))</f>
        <v>21</v>
      </c>
      <c r="I372" s="9" t="n">
        <f aca="false">C372+H372</f>
        <v>45942</v>
      </c>
      <c r="J372" s="5" t="n">
        <v>-4</v>
      </c>
      <c r="K372" s="9" t="n">
        <f aca="false">I372+J372</f>
        <v>45938</v>
      </c>
      <c r="L372" s="5" t="n">
        <v>885</v>
      </c>
      <c r="M372" s="10" t="n">
        <f aca="false">INDEX(Dim_Supplier!$F$2:$F$21,MATCH(B372,Dim_Supplier!$A$2:$A$21,0))</f>
        <v>46.5</v>
      </c>
      <c r="N372" s="11" t="n">
        <v>0.0596</v>
      </c>
      <c r="O372" s="10" t="n">
        <f aca="false">M372*(1+N372)</f>
        <v>49.2714</v>
      </c>
      <c r="P372" s="10" t="n">
        <f aca="false">O372*L372</f>
        <v>43605.189</v>
      </c>
      <c r="Q372" s="5" t="s">
        <v>113</v>
      </c>
      <c r="R372" s="5" t="n">
        <v>0</v>
      </c>
      <c r="S372" s="5" t="n">
        <v>45</v>
      </c>
      <c r="T372" s="12" t="n">
        <f aca="false">(O372-M372)/M372</f>
        <v>0.0596000000000002</v>
      </c>
      <c r="U372" s="8" t="n">
        <f aca="false">IF(AND(K372&lt;=I372,R372=0),1,0)</f>
        <v>1</v>
      </c>
      <c r="V372" s="10" t="n">
        <f aca="false">IF(Q372="No",P372,0)</f>
        <v>0</v>
      </c>
    </row>
    <row r="373" customFormat="false" ht="15" hidden="false" customHeight="false" outlineLevel="0" collapsed="false">
      <c r="A373" s="5" t="s">
        <v>507</v>
      </c>
      <c r="B373" s="5" t="s">
        <v>86</v>
      </c>
      <c r="C373" s="7" t="n">
        <v>45621</v>
      </c>
      <c r="D373" s="8" t="str">
        <f aca="false">INDEX(Dim_Supplier!$C$2:$C$21,MATCH(B373,Dim_Supplier!$A$2:$A$21,0))</f>
        <v>Logistics</v>
      </c>
      <c r="E373" s="8" t="str">
        <f aca="false">INDEX(Dim_Supplier!$B$2:$B$21,MATCH(B373,Dim_Supplier!$A$2:$A$21,0))</f>
        <v>Blue Water Customs Brokerage</v>
      </c>
      <c r="F373" s="5" t="s">
        <v>185</v>
      </c>
      <c r="G373" s="5" t="s">
        <v>112</v>
      </c>
      <c r="H373" s="8" t="n">
        <f aca="false">INDEX(Lookup_Tables!$B$2:$B$5,MATCH(D373,Lookup_Tables!$A$2:$A$5,0))</f>
        <v>5</v>
      </c>
      <c r="I373" s="9" t="n">
        <f aca="false">C373+H373</f>
        <v>45626</v>
      </c>
      <c r="J373" s="5" t="n">
        <v>-2</v>
      </c>
      <c r="K373" s="9" t="n">
        <f aca="false">I373+J373</f>
        <v>45624</v>
      </c>
      <c r="L373" s="5" t="n">
        <v>47</v>
      </c>
      <c r="M373" s="10" t="n">
        <f aca="false">INDEX(Dim_Supplier!$F$2:$F$21,MATCH(B373,Dim_Supplier!$A$2:$A$21,0))</f>
        <v>175</v>
      </c>
      <c r="N373" s="11" t="n">
        <v>0.0102</v>
      </c>
      <c r="O373" s="10" t="n">
        <f aca="false">M373*(1+N373)</f>
        <v>176.785</v>
      </c>
      <c r="P373" s="10" t="n">
        <f aca="false">O373*L373</f>
        <v>8308.895</v>
      </c>
      <c r="Q373" s="5" t="s">
        <v>113</v>
      </c>
      <c r="R373" s="5" t="n">
        <v>0</v>
      </c>
      <c r="S373" s="5" t="n">
        <v>30</v>
      </c>
      <c r="T373" s="12" t="n">
        <f aca="false">(O373-M373)/M373</f>
        <v>0.0102</v>
      </c>
      <c r="U373" s="8" t="n">
        <f aca="false">IF(AND(K373&lt;=I373,R373=0),1,0)</f>
        <v>1</v>
      </c>
      <c r="V373" s="10" t="n">
        <f aca="false">IF(Q373="No",P373,0)</f>
        <v>0</v>
      </c>
    </row>
    <row r="374" customFormat="false" ht="15" hidden="false" customHeight="false" outlineLevel="0" collapsed="false">
      <c r="A374" s="5" t="s">
        <v>508</v>
      </c>
      <c r="B374" s="5" t="s">
        <v>46</v>
      </c>
      <c r="C374" s="7" t="n">
        <v>45684</v>
      </c>
      <c r="D374" s="8" t="str">
        <f aca="false">INDEX(Dim_Supplier!$C$2:$C$21,MATCH(B374,Dim_Supplier!$A$2:$A$21,0))</f>
        <v>Raw Materials</v>
      </c>
      <c r="E374" s="8" t="str">
        <f aca="false">INDEX(Dim_Supplier!$B$2:$B$21,MATCH(B374,Dim_Supplier!$A$2:$A$21,0))</f>
        <v>Niagara Alloy Supply</v>
      </c>
      <c r="F374" s="5" t="s">
        <v>144</v>
      </c>
      <c r="G374" s="5" t="s">
        <v>120</v>
      </c>
      <c r="H374" s="8" t="n">
        <f aca="false">INDEX(Lookup_Tables!$B$2:$B$5,MATCH(D374,Lookup_Tables!$A$2:$A$5,0))</f>
        <v>21</v>
      </c>
      <c r="I374" s="9" t="n">
        <f aca="false">C374+H374</f>
        <v>45705</v>
      </c>
      <c r="J374" s="5" t="n">
        <v>1</v>
      </c>
      <c r="K374" s="9" t="n">
        <f aca="false">I374+J374</f>
        <v>45706</v>
      </c>
      <c r="L374" s="5" t="n">
        <v>710</v>
      </c>
      <c r="M374" s="10" t="n">
        <f aca="false">INDEX(Dim_Supplier!$F$2:$F$21,MATCH(B374,Dim_Supplier!$A$2:$A$21,0))</f>
        <v>46.5</v>
      </c>
      <c r="N374" s="11" t="n">
        <v>0.0623</v>
      </c>
      <c r="O374" s="10" t="n">
        <f aca="false">M374*(1+N374)</f>
        <v>49.39695</v>
      </c>
      <c r="P374" s="10" t="n">
        <f aca="false">O374*L374</f>
        <v>35071.8345</v>
      </c>
      <c r="Q374" s="5" t="s">
        <v>133</v>
      </c>
      <c r="R374" s="5" t="n">
        <v>0</v>
      </c>
      <c r="S374" s="5" t="n">
        <v>45</v>
      </c>
      <c r="T374" s="12" t="n">
        <f aca="false">(O374-M374)/M374</f>
        <v>0.0623000000000001</v>
      </c>
      <c r="U374" s="8" t="n">
        <f aca="false">IF(AND(K374&lt;=I374,R374=0),1,0)</f>
        <v>0</v>
      </c>
      <c r="V374" s="10" t="n">
        <f aca="false">IF(Q374="No",P374,0)</f>
        <v>35071.8345</v>
      </c>
    </row>
    <row r="375" customFormat="false" ht="15" hidden="false" customHeight="false" outlineLevel="0" collapsed="false">
      <c r="A375" s="5" t="s">
        <v>509</v>
      </c>
      <c r="B375" s="5" t="s">
        <v>68</v>
      </c>
      <c r="C375" s="7" t="n">
        <v>45736</v>
      </c>
      <c r="D375" s="8" t="str">
        <f aca="false">INDEX(Dim_Supplier!$C$2:$C$21,MATCH(B375,Dim_Supplier!$A$2:$A$21,0))</f>
        <v>MRO</v>
      </c>
      <c r="E375" s="8" t="str">
        <f aca="false">INDEX(Dim_Supplier!$B$2:$B$21,MATCH(B375,Dim_Supplier!$A$2:$A$21,0))</f>
        <v>Precision Tool &amp; Supply</v>
      </c>
      <c r="F375" s="5" t="s">
        <v>164</v>
      </c>
      <c r="G375" s="5" t="s">
        <v>120</v>
      </c>
      <c r="H375" s="8" t="n">
        <f aca="false">INDEX(Lookup_Tables!$B$2:$B$5,MATCH(D375,Lookup_Tables!$A$2:$A$5,0))</f>
        <v>10</v>
      </c>
      <c r="I375" s="9" t="n">
        <f aca="false">C375+H375</f>
        <v>45746</v>
      </c>
      <c r="J375" s="5" t="n">
        <v>-1</v>
      </c>
      <c r="K375" s="9" t="n">
        <f aca="false">I375+J375</f>
        <v>45745</v>
      </c>
      <c r="L375" s="5" t="n">
        <v>197</v>
      </c>
      <c r="M375" s="10" t="n">
        <f aca="false">INDEX(Dim_Supplier!$F$2:$F$21,MATCH(B375,Dim_Supplier!$A$2:$A$21,0))</f>
        <v>22.4</v>
      </c>
      <c r="N375" s="11" t="n">
        <v>0.0094</v>
      </c>
      <c r="O375" s="10" t="n">
        <f aca="false">M375*(1+N375)</f>
        <v>22.61056</v>
      </c>
      <c r="P375" s="10" t="n">
        <f aca="false">O375*L375</f>
        <v>4454.28032</v>
      </c>
      <c r="Q375" s="5" t="s">
        <v>113</v>
      </c>
      <c r="R375" s="5" t="n">
        <v>0</v>
      </c>
      <c r="S375" s="5" t="n">
        <v>60</v>
      </c>
      <c r="T375" s="12" t="n">
        <f aca="false">(O375-M375)/M375</f>
        <v>0.00940000000000004</v>
      </c>
      <c r="U375" s="8" t="n">
        <f aca="false">IF(AND(K375&lt;=I375,R375=0),1,0)</f>
        <v>1</v>
      </c>
      <c r="V375" s="10" t="n">
        <f aca="false">IF(Q375="No",P375,0)</f>
        <v>0</v>
      </c>
    </row>
    <row r="376" customFormat="false" ht="15" hidden="false" customHeight="false" outlineLevel="0" collapsed="false">
      <c r="A376" s="5" t="s">
        <v>510</v>
      </c>
      <c r="B376" s="5" t="s">
        <v>60</v>
      </c>
      <c r="C376" s="7" t="n">
        <v>45525</v>
      </c>
      <c r="D376" s="8" t="str">
        <f aca="false">INDEX(Dim_Supplier!$C$2:$C$21,MATCH(B376,Dim_Supplier!$A$2:$A$21,0))</f>
        <v>Packaging</v>
      </c>
      <c r="E376" s="8" t="str">
        <f aca="false">INDEX(Dim_Supplier!$B$2:$B$21,MATCH(B376,Dim_Supplier!$A$2:$A$21,0))</f>
        <v>Maple Leaf Box &amp; Crate</v>
      </c>
      <c r="F376" s="5" t="s">
        <v>158</v>
      </c>
      <c r="G376" s="5" t="s">
        <v>112</v>
      </c>
      <c r="H376" s="8" t="n">
        <f aca="false">INDEX(Lookup_Tables!$B$2:$B$5,MATCH(D376,Lookup_Tables!$A$2:$A$5,0))</f>
        <v>14</v>
      </c>
      <c r="I376" s="9" t="n">
        <f aca="false">C376+H376</f>
        <v>45539</v>
      </c>
      <c r="J376" s="5" t="n">
        <v>-1</v>
      </c>
      <c r="K376" s="9" t="n">
        <f aca="false">I376+J376</f>
        <v>45538</v>
      </c>
      <c r="L376" s="5" t="n">
        <v>4633</v>
      </c>
      <c r="M376" s="10" t="n">
        <f aca="false">INDEX(Dim_Supplier!$F$2:$F$21,MATCH(B376,Dim_Supplier!$A$2:$A$21,0))</f>
        <v>3.1</v>
      </c>
      <c r="N376" s="11" t="n">
        <v>0.0441</v>
      </c>
      <c r="O376" s="10" t="n">
        <f aca="false">M376*(1+N376)</f>
        <v>3.23671</v>
      </c>
      <c r="P376" s="10" t="n">
        <f aca="false">O376*L376</f>
        <v>14995.67743</v>
      </c>
      <c r="Q376" s="5" t="s">
        <v>113</v>
      </c>
      <c r="R376" s="5" t="n">
        <v>0</v>
      </c>
      <c r="S376" s="5" t="n">
        <v>45</v>
      </c>
      <c r="T376" s="12" t="n">
        <f aca="false">(O376-M376)/M376</f>
        <v>0.0441</v>
      </c>
      <c r="U376" s="8" t="n">
        <f aca="false">IF(AND(K376&lt;=I376,R376=0),1,0)</f>
        <v>1</v>
      </c>
      <c r="V376" s="10" t="n">
        <f aca="false">IF(Q376="No",P376,0)</f>
        <v>0</v>
      </c>
    </row>
    <row r="377" customFormat="false" ht="15" hidden="false" customHeight="false" outlineLevel="0" collapsed="false">
      <c r="A377" s="5" t="s">
        <v>511</v>
      </c>
      <c r="B377" s="5" t="s">
        <v>41</v>
      </c>
      <c r="C377" s="7" t="n">
        <v>46189</v>
      </c>
      <c r="D377" s="8" t="str">
        <f aca="false">INDEX(Dim_Supplier!$C$2:$C$21,MATCH(B377,Dim_Supplier!$A$2:$A$21,0))</f>
        <v>Raw Materials</v>
      </c>
      <c r="E377" s="8" t="str">
        <f aca="false">INDEX(Dim_Supplier!$B$2:$B$21,MATCH(B377,Dim_Supplier!$A$2:$A$21,0))</f>
        <v>Ontario Steel Partners</v>
      </c>
      <c r="F377" s="5" t="s">
        <v>139</v>
      </c>
      <c r="G377" s="5" t="s">
        <v>129</v>
      </c>
      <c r="H377" s="8" t="n">
        <f aca="false">INDEX(Lookup_Tables!$B$2:$B$5,MATCH(D377,Lookup_Tables!$A$2:$A$5,0))</f>
        <v>21</v>
      </c>
      <c r="I377" s="9" t="n">
        <f aca="false">C377+H377</f>
        <v>46210</v>
      </c>
      <c r="J377" s="5" t="n">
        <v>-4</v>
      </c>
      <c r="K377" s="9" t="n">
        <f aca="false">I377+J377</f>
        <v>46206</v>
      </c>
      <c r="L377" s="5" t="n">
        <v>321</v>
      </c>
      <c r="M377" s="10" t="n">
        <f aca="false">INDEX(Dim_Supplier!$F$2:$F$21,MATCH(B377,Dim_Supplier!$A$2:$A$21,0))</f>
        <v>58</v>
      </c>
      <c r="N377" s="11" t="n">
        <v>0.0065</v>
      </c>
      <c r="O377" s="10" t="n">
        <f aca="false">M377*(1+N377)</f>
        <v>58.377</v>
      </c>
      <c r="P377" s="10" t="n">
        <f aca="false">O377*L377</f>
        <v>18739.017</v>
      </c>
      <c r="Q377" s="5" t="s">
        <v>113</v>
      </c>
      <c r="R377" s="5" t="n">
        <v>0</v>
      </c>
      <c r="S377" s="5" t="n">
        <v>45</v>
      </c>
      <c r="T377" s="12" t="n">
        <f aca="false">(O377-M377)/M377</f>
        <v>0.00649999999999992</v>
      </c>
      <c r="U377" s="8" t="n">
        <f aca="false">IF(AND(K377&lt;=I377,R377=0),1,0)</f>
        <v>1</v>
      </c>
      <c r="V377" s="10" t="n">
        <f aca="false">IF(Q377="No",P377,0)</f>
        <v>0</v>
      </c>
    </row>
    <row r="378" customFormat="false" ht="15" hidden="false" customHeight="false" outlineLevel="0" collapsed="false">
      <c r="A378" s="5" t="s">
        <v>512</v>
      </c>
      <c r="B378" s="5" t="s">
        <v>62</v>
      </c>
      <c r="C378" s="7" t="n">
        <v>45681</v>
      </c>
      <c r="D378" s="8" t="str">
        <f aca="false">INDEX(Dim_Supplier!$C$2:$C$21,MATCH(B378,Dim_Supplier!$A$2:$A$21,0))</f>
        <v>Packaging</v>
      </c>
      <c r="E378" s="8" t="str">
        <f aca="false">INDEX(Dim_Supplier!$B$2:$B$21,MATCH(B378,Dim_Supplier!$A$2:$A$21,0))</f>
        <v>Trillium Packaging Solutions</v>
      </c>
      <c r="F378" s="5" t="s">
        <v>117</v>
      </c>
      <c r="G378" s="5" t="s">
        <v>120</v>
      </c>
      <c r="H378" s="8" t="n">
        <f aca="false">INDEX(Lookup_Tables!$B$2:$B$5,MATCH(D378,Lookup_Tables!$A$2:$A$5,0))</f>
        <v>14</v>
      </c>
      <c r="I378" s="9" t="n">
        <f aca="false">C378+H378</f>
        <v>45695</v>
      </c>
      <c r="J378" s="5" t="n">
        <v>-4</v>
      </c>
      <c r="K378" s="9" t="n">
        <f aca="false">I378+J378</f>
        <v>45691</v>
      </c>
      <c r="L378" s="5" t="n">
        <v>576</v>
      </c>
      <c r="M378" s="10" t="n">
        <f aca="false">INDEX(Dim_Supplier!$F$2:$F$21,MATCH(B378,Dim_Supplier!$A$2:$A$21,0))</f>
        <v>5.6</v>
      </c>
      <c r="N378" s="11" t="n">
        <v>0.0218</v>
      </c>
      <c r="O378" s="10" t="n">
        <f aca="false">M378*(1+N378)</f>
        <v>5.72208</v>
      </c>
      <c r="P378" s="10" t="n">
        <f aca="false">O378*L378</f>
        <v>3295.91808</v>
      </c>
      <c r="Q378" s="5" t="s">
        <v>113</v>
      </c>
      <c r="R378" s="5" t="n">
        <v>0</v>
      </c>
      <c r="S378" s="5" t="n">
        <v>45</v>
      </c>
      <c r="T378" s="12" t="n">
        <f aca="false">(O378-M378)/M378</f>
        <v>0.0218000000000001</v>
      </c>
      <c r="U378" s="8" t="n">
        <f aca="false">IF(AND(K378&lt;=I378,R378=0),1,0)</f>
        <v>1</v>
      </c>
      <c r="V378" s="10" t="n">
        <f aca="false">IF(Q378="No",P378,0)</f>
        <v>0</v>
      </c>
    </row>
    <row r="379" customFormat="false" ht="15" hidden="false" customHeight="false" outlineLevel="0" collapsed="false">
      <c r="A379" s="5" t="s">
        <v>513</v>
      </c>
      <c r="B379" s="5" t="s">
        <v>54</v>
      </c>
      <c r="C379" s="7" t="n">
        <v>45912</v>
      </c>
      <c r="D379" s="8" t="str">
        <f aca="false">INDEX(Dim_Supplier!$C$2:$C$21,MATCH(B379,Dim_Supplier!$A$2:$A$21,0))</f>
        <v>Raw Materials</v>
      </c>
      <c r="E379" s="8" t="str">
        <f aca="false">INDEX(Dim_Supplier!$B$2:$B$21,MATCH(B379,Dim_Supplier!$A$2:$A$21,0))</f>
        <v>Northern Resin Solutions</v>
      </c>
      <c r="F379" s="5" t="s">
        <v>115</v>
      </c>
      <c r="G379" s="5" t="s">
        <v>125</v>
      </c>
      <c r="H379" s="8" t="n">
        <f aca="false">INDEX(Lookup_Tables!$B$2:$B$5,MATCH(D379,Lookup_Tables!$A$2:$A$5,0))</f>
        <v>21</v>
      </c>
      <c r="I379" s="9" t="n">
        <f aca="false">C379+H379</f>
        <v>45933</v>
      </c>
      <c r="J379" s="5" t="n">
        <v>-1</v>
      </c>
      <c r="K379" s="9" t="n">
        <f aca="false">I379+J379</f>
        <v>45932</v>
      </c>
      <c r="L379" s="5" t="n">
        <v>1572</v>
      </c>
      <c r="M379" s="10" t="n">
        <f aca="false">INDEX(Dim_Supplier!$F$2:$F$21,MATCH(B379,Dim_Supplier!$A$2:$A$21,0))</f>
        <v>38.9</v>
      </c>
      <c r="N379" s="11" t="n">
        <v>0.0418</v>
      </c>
      <c r="O379" s="10" t="n">
        <f aca="false">M379*(1+N379)</f>
        <v>40.52602</v>
      </c>
      <c r="P379" s="10" t="n">
        <f aca="false">O379*L379</f>
        <v>63706.90344</v>
      </c>
      <c r="Q379" s="5" t="s">
        <v>113</v>
      </c>
      <c r="R379" s="5" t="n">
        <v>0</v>
      </c>
      <c r="S379" s="5" t="n">
        <v>45</v>
      </c>
      <c r="T379" s="12" t="n">
        <f aca="false">(O379-M379)/M379</f>
        <v>0.0418000000000001</v>
      </c>
      <c r="U379" s="8" t="n">
        <f aca="false">IF(AND(K379&lt;=I379,R379=0),1,0)</f>
        <v>1</v>
      </c>
      <c r="V379" s="10" t="n">
        <f aca="false">IF(Q379="No",P379,0)</f>
        <v>0</v>
      </c>
    </row>
    <row r="380" customFormat="false" ht="15" hidden="false" customHeight="false" outlineLevel="0" collapsed="false">
      <c r="A380" s="5" t="s">
        <v>514</v>
      </c>
      <c r="B380" s="5" t="s">
        <v>66</v>
      </c>
      <c r="C380" s="7" t="n">
        <v>45915</v>
      </c>
      <c r="D380" s="8" t="str">
        <f aca="false">INDEX(Dim_Supplier!$C$2:$C$21,MATCH(B380,Dim_Supplier!$A$2:$A$21,0))</f>
        <v>Packaging</v>
      </c>
      <c r="E380" s="8" t="str">
        <f aca="false">INDEX(Dim_Supplier!$B$2:$B$21,MATCH(B380,Dim_Supplier!$A$2:$A$21,0))</f>
        <v>EverGreen Wrap Industries</v>
      </c>
      <c r="F380" s="5" t="s">
        <v>158</v>
      </c>
      <c r="G380" s="5" t="s">
        <v>120</v>
      </c>
      <c r="H380" s="8" t="n">
        <f aca="false">INDEX(Lookup_Tables!$B$2:$B$5,MATCH(D380,Lookup_Tables!$A$2:$A$5,0))</f>
        <v>14</v>
      </c>
      <c r="I380" s="9" t="n">
        <f aca="false">C380+H380</f>
        <v>45929</v>
      </c>
      <c r="J380" s="5" t="n">
        <v>2</v>
      </c>
      <c r="K380" s="9" t="n">
        <f aca="false">I380+J380</f>
        <v>45931</v>
      </c>
      <c r="L380" s="5" t="n">
        <v>3432</v>
      </c>
      <c r="M380" s="10" t="n">
        <f aca="false">INDEX(Dim_Supplier!$F$2:$F$21,MATCH(B380,Dim_Supplier!$A$2:$A$21,0))</f>
        <v>6.8</v>
      </c>
      <c r="N380" s="11" t="n">
        <v>0.0131</v>
      </c>
      <c r="O380" s="10" t="n">
        <f aca="false">M380*(1+N380)</f>
        <v>6.88908</v>
      </c>
      <c r="P380" s="10" t="n">
        <f aca="false">O380*L380</f>
        <v>23643.32256</v>
      </c>
      <c r="Q380" s="5" t="s">
        <v>113</v>
      </c>
      <c r="R380" s="5" t="n">
        <v>0</v>
      </c>
      <c r="S380" s="5" t="n">
        <v>30</v>
      </c>
      <c r="T380" s="12" t="n">
        <f aca="false">(O380-M380)/M380</f>
        <v>0.0131000000000001</v>
      </c>
      <c r="U380" s="8" t="n">
        <f aca="false">IF(AND(K380&lt;=I380,R380=0),1,0)</f>
        <v>0</v>
      </c>
      <c r="V380" s="10" t="n">
        <f aca="false">IF(Q380="No",P380,0)</f>
        <v>0</v>
      </c>
    </row>
    <row r="381" customFormat="false" ht="15" hidden="false" customHeight="false" outlineLevel="0" collapsed="false">
      <c r="A381" s="5" t="s">
        <v>515</v>
      </c>
      <c r="B381" s="5" t="s">
        <v>66</v>
      </c>
      <c r="C381" s="7" t="n">
        <v>45504</v>
      </c>
      <c r="D381" s="8" t="str">
        <f aca="false">INDEX(Dim_Supplier!$C$2:$C$21,MATCH(B381,Dim_Supplier!$A$2:$A$21,0))</f>
        <v>Packaging</v>
      </c>
      <c r="E381" s="8" t="str">
        <f aca="false">INDEX(Dim_Supplier!$B$2:$B$21,MATCH(B381,Dim_Supplier!$A$2:$A$21,0))</f>
        <v>EverGreen Wrap Industries</v>
      </c>
      <c r="F381" s="5" t="s">
        <v>137</v>
      </c>
      <c r="G381" s="5" t="s">
        <v>120</v>
      </c>
      <c r="H381" s="8" t="n">
        <f aca="false">INDEX(Lookup_Tables!$B$2:$B$5,MATCH(D381,Lookup_Tables!$A$2:$A$5,0))</f>
        <v>14</v>
      </c>
      <c r="I381" s="9" t="n">
        <f aca="false">C381+H381</f>
        <v>45518</v>
      </c>
      <c r="J381" s="5" t="n">
        <v>-1</v>
      </c>
      <c r="K381" s="9" t="n">
        <f aca="false">I381+J381</f>
        <v>45517</v>
      </c>
      <c r="L381" s="5" t="n">
        <v>1229</v>
      </c>
      <c r="M381" s="10" t="n">
        <f aca="false">INDEX(Dim_Supplier!$F$2:$F$21,MATCH(B381,Dim_Supplier!$A$2:$A$21,0))</f>
        <v>6.8</v>
      </c>
      <c r="N381" s="11" t="n">
        <v>0.0632</v>
      </c>
      <c r="O381" s="10" t="n">
        <f aca="false">M381*(1+N381)</f>
        <v>7.22976</v>
      </c>
      <c r="P381" s="10" t="n">
        <f aca="false">O381*L381</f>
        <v>8885.37504</v>
      </c>
      <c r="Q381" s="5" t="s">
        <v>133</v>
      </c>
      <c r="R381" s="5" t="n">
        <v>0</v>
      </c>
      <c r="S381" s="5" t="n">
        <v>45</v>
      </c>
      <c r="T381" s="12" t="n">
        <f aca="false">(O381-M381)/M381</f>
        <v>0.0631999999999999</v>
      </c>
      <c r="U381" s="8" t="n">
        <f aca="false">IF(AND(K381&lt;=I381,R381=0),1,0)</f>
        <v>1</v>
      </c>
      <c r="V381" s="10" t="n">
        <f aca="false">IF(Q381="No",P381,0)</f>
        <v>8885.37504</v>
      </c>
    </row>
    <row r="382" customFormat="false" ht="15" hidden="false" customHeight="false" outlineLevel="0" collapsed="false">
      <c r="A382" s="5" t="s">
        <v>516</v>
      </c>
      <c r="B382" s="5" t="s">
        <v>46</v>
      </c>
      <c r="C382" s="7" t="n">
        <v>45384</v>
      </c>
      <c r="D382" s="8" t="str">
        <f aca="false">INDEX(Dim_Supplier!$C$2:$C$21,MATCH(B382,Dim_Supplier!$A$2:$A$21,0))</f>
        <v>Raw Materials</v>
      </c>
      <c r="E382" s="8" t="str">
        <f aca="false">INDEX(Dim_Supplier!$B$2:$B$21,MATCH(B382,Dim_Supplier!$A$2:$A$21,0))</f>
        <v>Niagara Alloy Supply</v>
      </c>
      <c r="F382" s="5" t="s">
        <v>144</v>
      </c>
      <c r="G382" s="5" t="s">
        <v>129</v>
      </c>
      <c r="H382" s="8" t="n">
        <f aca="false">INDEX(Lookup_Tables!$B$2:$B$5,MATCH(D382,Lookup_Tables!$A$2:$A$5,0))</f>
        <v>21</v>
      </c>
      <c r="I382" s="9" t="n">
        <f aca="false">C382+H382</f>
        <v>45405</v>
      </c>
      <c r="J382" s="5" t="n">
        <v>-1</v>
      </c>
      <c r="K382" s="9" t="n">
        <f aca="false">I382+J382</f>
        <v>45404</v>
      </c>
      <c r="L382" s="5" t="n">
        <v>624</v>
      </c>
      <c r="M382" s="10" t="n">
        <f aca="false">INDEX(Dim_Supplier!$F$2:$F$21,MATCH(B382,Dim_Supplier!$A$2:$A$21,0))</f>
        <v>46.5</v>
      </c>
      <c r="N382" s="11" t="n">
        <v>0.0209</v>
      </c>
      <c r="O382" s="10" t="n">
        <f aca="false">M382*(1+N382)</f>
        <v>47.47185</v>
      </c>
      <c r="P382" s="10" t="n">
        <f aca="false">O382*L382</f>
        <v>29622.4344</v>
      </c>
      <c r="Q382" s="5" t="s">
        <v>113</v>
      </c>
      <c r="R382" s="5" t="n">
        <v>0</v>
      </c>
      <c r="S382" s="5" t="n">
        <v>60</v>
      </c>
      <c r="T382" s="12" t="n">
        <f aca="false">(O382-M382)/M382</f>
        <v>0.0208999999999999</v>
      </c>
      <c r="U382" s="8" t="n">
        <f aca="false">IF(AND(K382&lt;=I382,R382=0),1,0)</f>
        <v>1</v>
      </c>
      <c r="V382" s="10" t="n">
        <f aca="false">IF(Q382="No",P382,0)</f>
        <v>0</v>
      </c>
    </row>
    <row r="383" customFormat="false" ht="15" hidden="false" customHeight="false" outlineLevel="0" collapsed="false">
      <c r="A383" s="5" t="s">
        <v>517</v>
      </c>
      <c r="B383" s="5" t="s">
        <v>54</v>
      </c>
      <c r="C383" s="7" t="n">
        <v>45343</v>
      </c>
      <c r="D383" s="8" t="str">
        <f aca="false">INDEX(Dim_Supplier!$C$2:$C$21,MATCH(B383,Dim_Supplier!$A$2:$A$21,0))</f>
        <v>Raw Materials</v>
      </c>
      <c r="E383" s="8" t="str">
        <f aca="false">INDEX(Dim_Supplier!$B$2:$B$21,MATCH(B383,Dim_Supplier!$A$2:$A$21,0))</f>
        <v>Northern Resin Solutions</v>
      </c>
      <c r="F383" s="5" t="s">
        <v>148</v>
      </c>
      <c r="G383" s="5" t="s">
        <v>112</v>
      </c>
      <c r="H383" s="8" t="n">
        <f aca="false">INDEX(Lookup_Tables!$B$2:$B$5,MATCH(D383,Lookup_Tables!$A$2:$A$5,0))</f>
        <v>21</v>
      </c>
      <c r="I383" s="9" t="n">
        <f aca="false">C383+H383</f>
        <v>45364</v>
      </c>
      <c r="J383" s="5" t="n">
        <v>2</v>
      </c>
      <c r="K383" s="9" t="n">
        <f aca="false">I383+J383</f>
        <v>45366</v>
      </c>
      <c r="L383" s="5" t="n">
        <v>837</v>
      </c>
      <c r="M383" s="10" t="n">
        <f aca="false">INDEX(Dim_Supplier!$F$2:$F$21,MATCH(B383,Dim_Supplier!$A$2:$A$21,0))</f>
        <v>38.9</v>
      </c>
      <c r="N383" s="11" t="n">
        <v>0.0222</v>
      </c>
      <c r="O383" s="10" t="n">
        <f aca="false">M383*(1+N383)</f>
        <v>39.76358</v>
      </c>
      <c r="P383" s="10" t="n">
        <f aca="false">O383*L383</f>
        <v>33282.11646</v>
      </c>
      <c r="Q383" s="5" t="s">
        <v>133</v>
      </c>
      <c r="R383" s="5" t="n">
        <v>0</v>
      </c>
      <c r="S383" s="5" t="n">
        <v>45</v>
      </c>
      <c r="T383" s="12" t="n">
        <f aca="false">(O383-M383)/M383</f>
        <v>0.0222</v>
      </c>
      <c r="U383" s="8" t="n">
        <f aca="false">IF(AND(K383&lt;=I383,R383=0),1,0)</f>
        <v>0</v>
      </c>
      <c r="V383" s="10" t="n">
        <f aca="false">IF(Q383="No",P383,0)</f>
        <v>33282.11646</v>
      </c>
    </row>
    <row r="384" customFormat="false" ht="15" hidden="false" customHeight="false" outlineLevel="0" collapsed="false">
      <c r="A384" s="5" t="s">
        <v>518</v>
      </c>
      <c r="B384" s="5" t="s">
        <v>46</v>
      </c>
      <c r="C384" s="7" t="n">
        <v>46068</v>
      </c>
      <c r="D384" s="8" t="str">
        <f aca="false">INDEX(Dim_Supplier!$C$2:$C$21,MATCH(B384,Dim_Supplier!$A$2:$A$21,0))</f>
        <v>Raw Materials</v>
      </c>
      <c r="E384" s="8" t="str">
        <f aca="false">INDEX(Dim_Supplier!$B$2:$B$21,MATCH(B384,Dim_Supplier!$A$2:$A$21,0))</f>
        <v>Niagara Alloy Supply</v>
      </c>
      <c r="F384" s="5" t="s">
        <v>148</v>
      </c>
      <c r="G384" s="5" t="s">
        <v>129</v>
      </c>
      <c r="H384" s="8" t="n">
        <f aca="false">INDEX(Lookup_Tables!$B$2:$B$5,MATCH(D384,Lookup_Tables!$A$2:$A$5,0))</f>
        <v>21</v>
      </c>
      <c r="I384" s="9" t="n">
        <f aca="false">C384+H384</f>
        <v>46089</v>
      </c>
      <c r="J384" s="5" t="n">
        <v>1</v>
      </c>
      <c r="K384" s="9" t="n">
        <f aca="false">I384+J384</f>
        <v>46090</v>
      </c>
      <c r="L384" s="5" t="n">
        <v>449</v>
      </c>
      <c r="M384" s="10" t="n">
        <f aca="false">INDEX(Dim_Supplier!$F$2:$F$21,MATCH(B384,Dim_Supplier!$A$2:$A$21,0))</f>
        <v>46.5</v>
      </c>
      <c r="N384" s="11" t="n">
        <v>0.0063</v>
      </c>
      <c r="O384" s="10" t="n">
        <f aca="false">M384*(1+N384)</f>
        <v>46.79295</v>
      </c>
      <c r="P384" s="10" t="n">
        <f aca="false">O384*L384</f>
        <v>21010.03455</v>
      </c>
      <c r="Q384" s="5" t="s">
        <v>113</v>
      </c>
      <c r="R384" s="5" t="n">
        <v>0</v>
      </c>
      <c r="S384" s="5" t="n">
        <v>60</v>
      </c>
      <c r="T384" s="12" t="n">
        <f aca="false">(O384-M384)/M384</f>
        <v>0.00629999999999995</v>
      </c>
      <c r="U384" s="8" t="n">
        <f aca="false">IF(AND(K384&lt;=I384,R384=0),1,0)</f>
        <v>0</v>
      </c>
      <c r="V384" s="10" t="n">
        <f aca="false">IF(Q384="No",P384,0)</f>
        <v>0</v>
      </c>
    </row>
    <row r="385" customFormat="false" ht="15" hidden="false" customHeight="false" outlineLevel="0" collapsed="false">
      <c r="A385" s="5" t="s">
        <v>519</v>
      </c>
      <c r="B385" s="5" t="s">
        <v>54</v>
      </c>
      <c r="C385" s="7" t="n">
        <v>46042</v>
      </c>
      <c r="D385" s="8" t="str">
        <f aca="false">INDEX(Dim_Supplier!$C$2:$C$21,MATCH(B385,Dim_Supplier!$A$2:$A$21,0))</f>
        <v>Raw Materials</v>
      </c>
      <c r="E385" s="8" t="str">
        <f aca="false">INDEX(Dim_Supplier!$B$2:$B$21,MATCH(B385,Dim_Supplier!$A$2:$A$21,0))</f>
        <v>Northern Resin Solutions</v>
      </c>
      <c r="F385" s="5" t="s">
        <v>148</v>
      </c>
      <c r="G385" s="5" t="s">
        <v>120</v>
      </c>
      <c r="H385" s="8" t="n">
        <f aca="false">INDEX(Lookup_Tables!$B$2:$B$5,MATCH(D385,Lookup_Tables!$A$2:$A$5,0))</f>
        <v>21</v>
      </c>
      <c r="I385" s="9" t="n">
        <f aca="false">C385+H385</f>
        <v>46063</v>
      </c>
      <c r="J385" s="5" t="n">
        <v>0</v>
      </c>
      <c r="K385" s="9" t="n">
        <f aca="false">I385+J385</f>
        <v>46063</v>
      </c>
      <c r="L385" s="5" t="n">
        <v>920</v>
      </c>
      <c r="M385" s="10" t="n">
        <f aca="false">INDEX(Dim_Supplier!$F$2:$F$21,MATCH(B385,Dim_Supplier!$A$2:$A$21,0))</f>
        <v>38.9</v>
      </c>
      <c r="N385" s="11" t="n">
        <v>0.0383</v>
      </c>
      <c r="O385" s="10" t="n">
        <f aca="false">M385*(1+N385)</f>
        <v>40.38987</v>
      </c>
      <c r="P385" s="10" t="n">
        <f aca="false">O385*L385</f>
        <v>37158.6804</v>
      </c>
      <c r="Q385" s="5" t="s">
        <v>113</v>
      </c>
      <c r="R385" s="5" t="n">
        <v>0</v>
      </c>
      <c r="S385" s="5" t="n">
        <v>60</v>
      </c>
      <c r="T385" s="12" t="n">
        <f aca="false">(O385-M385)/M385</f>
        <v>0.0383000000000001</v>
      </c>
      <c r="U385" s="8" t="n">
        <f aca="false">IF(AND(K385&lt;=I385,R385=0),1,0)</f>
        <v>1</v>
      </c>
      <c r="V385" s="10" t="n">
        <f aca="false">IF(Q385="No",P385,0)</f>
        <v>0</v>
      </c>
    </row>
    <row r="386" customFormat="false" ht="15" hidden="false" customHeight="false" outlineLevel="0" collapsed="false">
      <c r="A386" s="5" t="s">
        <v>520</v>
      </c>
      <c r="B386" s="5" t="s">
        <v>75</v>
      </c>
      <c r="C386" s="7" t="n">
        <v>45781</v>
      </c>
      <c r="D386" s="8" t="str">
        <f aca="false">INDEX(Dim_Supplier!$C$2:$C$21,MATCH(B386,Dim_Supplier!$A$2:$A$21,0))</f>
        <v>MRO</v>
      </c>
      <c r="E386" s="8" t="str">
        <f aca="false">INDEX(Dim_Supplier!$B$2:$B$21,MATCH(B386,Dim_Supplier!$A$2:$A$21,0))</f>
        <v>Sterling Lubricants Inc.</v>
      </c>
      <c r="F386" s="5" t="s">
        <v>179</v>
      </c>
      <c r="G386" s="5" t="s">
        <v>112</v>
      </c>
      <c r="H386" s="8" t="n">
        <f aca="false">INDEX(Lookup_Tables!$B$2:$B$5,MATCH(D386,Lookup_Tables!$A$2:$A$5,0))</f>
        <v>10</v>
      </c>
      <c r="I386" s="9" t="n">
        <f aca="false">C386+H386</f>
        <v>45791</v>
      </c>
      <c r="J386" s="5" t="n">
        <v>-1</v>
      </c>
      <c r="K386" s="9" t="n">
        <f aca="false">I386+J386</f>
        <v>45790</v>
      </c>
      <c r="L386" s="5" t="n">
        <v>20</v>
      </c>
      <c r="M386" s="10" t="n">
        <f aca="false">INDEX(Dim_Supplier!$F$2:$F$21,MATCH(B386,Dim_Supplier!$A$2:$A$21,0))</f>
        <v>27.1</v>
      </c>
      <c r="N386" s="11" t="n">
        <v>0.0401</v>
      </c>
      <c r="O386" s="10" t="n">
        <f aca="false">M386*(1+N386)</f>
        <v>28.18671</v>
      </c>
      <c r="P386" s="10" t="n">
        <f aca="false">O386*L386</f>
        <v>563.7342</v>
      </c>
      <c r="Q386" s="5" t="s">
        <v>133</v>
      </c>
      <c r="R386" s="5" t="n">
        <v>0</v>
      </c>
      <c r="S386" s="5" t="n">
        <v>30</v>
      </c>
      <c r="T386" s="12" t="n">
        <f aca="false">(O386-M386)/M386</f>
        <v>0.0401</v>
      </c>
      <c r="U386" s="8" t="n">
        <f aca="false">IF(AND(K386&lt;=I386,R386=0),1,0)</f>
        <v>1</v>
      </c>
      <c r="V386" s="10" t="n">
        <f aca="false">IF(Q386="No",P386,0)</f>
        <v>563.7342</v>
      </c>
    </row>
    <row r="387" customFormat="false" ht="15" hidden="false" customHeight="false" outlineLevel="0" collapsed="false">
      <c r="A387" s="5" t="s">
        <v>521</v>
      </c>
      <c r="B387" s="5" t="s">
        <v>86</v>
      </c>
      <c r="C387" s="7" t="n">
        <v>45786</v>
      </c>
      <c r="D387" s="8" t="str">
        <f aca="false">INDEX(Dim_Supplier!$C$2:$C$21,MATCH(B387,Dim_Supplier!$A$2:$A$21,0))</f>
        <v>Logistics</v>
      </c>
      <c r="E387" s="8" t="str">
        <f aca="false">INDEX(Dim_Supplier!$B$2:$B$21,MATCH(B387,Dim_Supplier!$A$2:$A$21,0))</f>
        <v>Blue Water Customs Brokerage</v>
      </c>
      <c r="F387" s="5" t="s">
        <v>185</v>
      </c>
      <c r="G387" s="5" t="s">
        <v>125</v>
      </c>
      <c r="H387" s="8" t="n">
        <f aca="false">INDEX(Lookup_Tables!$B$2:$B$5,MATCH(D387,Lookup_Tables!$A$2:$A$5,0))</f>
        <v>5</v>
      </c>
      <c r="I387" s="9" t="n">
        <f aca="false">C387+H387</f>
        <v>45791</v>
      </c>
      <c r="J387" s="5" t="n">
        <v>-1</v>
      </c>
      <c r="K387" s="9" t="n">
        <f aca="false">I387+J387</f>
        <v>45790</v>
      </c>
      <c r="L387" s="5" t="n">
        <v>23</v>
      </c>
      <c r="M387" s="10" t="n">
        <f aca="false">INDEX(Dim_Supplier!$F$2:$F$21,MATCH(B387,Dim_Supplier!$A$2:$A$21,0))</f>
        <v>175</v>
      </c>
      <c r="N387" s="11" t="n">
        <v>0.0278</v>
      </c>
      <c r="O387" s="10" t="n">
        <f aca="false">M387*(1+N387)</f>
        <v>179.865</v>
      </c>
      <c r="P387" s="10" t="n">
        <f aca="false">O387*L387</f>
        <v>4136.895</v>
      </c>
      <c r="Q387" s="5" t="s">
        <v>113</v>
      </c>
      <c r="R387" s="5" t="n">
        <v>0</v>
      </c>
      <c r="S387" s="5" t="n">
        <v>60</v>
      </c>
      <c r="T387" s="12" t="n">
        <f aca="false">(O387-M387)/M387</f>
        <v>0.0278000000000001</v>
      </c>
      <c r="U387" s="8" t="n">
        <f aca="false">IF(AND(K387&lt;=I387,R387=0),1,0)</f>
        <v>1</v>
      </c>
      <c r="V387" s="10" t="n">
        <f aca="false">IF(Q387="No",P387,0)</f>
        <v>0</v>
      </c>
    </row>
    <row r="388" customFormat="false" ht="15" hidden="false" customHeight="false" outlineLevel="0" collapsed="false">
      <c r="A388" s="5" t="s">
        <v>522</v>
      </c>
      <c r="B388" s="5" t="s">
        <v>77</v>
      </c>
      <c r="C388" s="7" t="n">
        <v>45425</v>
      </c>
      <c r="D388" s="8" t="str">
        <f aca="false">INDEX(Dim_Supplier!$C$2:$C$21,MATCH(B388,Dim_Supplier!$A$2:$A$21,0))</f>
        <v>MRO</v>
      </c>
      <c r="E388" s="8" t="str">
        <f aca="false">INDEX(Dim_Supplier!$B$2:$B$21,MATCH(B388,Dim_Supplier!$A$2:$A$21,0))</f>
        <v>Apex Industrial Supply</v>
      </c>
      <c r="F388" s="5" t="s">
        <v>179</v>
      </c>
      <c r="G388" s="5" t="s">
        <v>125</v>
      </c>
      <c r="H388" s="8" t="n">
        <f aca="false">INDEX(Lookup_Tables!$B$2:$B$5,MATCH(D388,Lookup_Tables!$A$2:$A$5,0))</f>
        <v>10</v>
      </c>
      <c r="I388" s="9" t="n">
        <f aca="false">C388+H388</f>
        <v>45435</v>
      </c>
      <c r="J388" s="5" t="n">
        <v>1</v>
      </c>
      <c r="K388" s="9" t="n">
        <f aca="false">I388+J388</f>
        <v>45436</v>
      </c>
      <c r="L388" s="5" t="n">
        <v>16</v>
      </c>
      <c r="M388" s="10" t="n">
        <f aca="false">INDEX(Dim_Supplier!$F$2:$F$21,MATCH(B388,Dim_Supplier!$A$2:$A$21,0))</f>
        <v>24.6</v>
      </c>
      <c r="N388" s="11" t="n">
        <v>0.0634</v>
      </c>
      <c r="O388" s="10" t="n">
        <f aca="false">M388*(1+N388)</f>
        <v>26.15964</v>
      </c>
      <c r="P388" s="10" t="n">
        <f aca="false">O388*L388</f>
        <v>418.55424</v>
      </c>
      <c r="Q388" s="5" t="s">
        <v>113</v>
      </c>
      <c r="R388" s="5" t="n">
        <v>0</v>
      </c>
      <c r="S388" s="5" t="n">
        <v>30</v>
      </c>
      <c r="T388" s="12" t="n">
        <f aca="false">(O388-M388)/M388</f>
        <v>0.0633999999999999</v>
      </c>
      <c r="U388" s="8" t="n">
        <f aca="false">IF(AND(K388&lt;=I388,R388=0),1,0)</f>
        <v>0</v>
      </c>
      <c r="V388" s="10" t="n">
        <f aca="false">IF(Q388="No",P388,0)</f>
        <v>0</v>
      </c>
    </row>
    <row r="389" customFormat="false" ht="15" hidden="false" customHeight="false" outlineLevel="0" collapsed="false">
      <c r="A389" s="5" t="s">
        <v>523</v>
      </c>
      <c r="B389" s="5" t="s">
        <v>82</v>
      </c>
      <c r="C389" s="7" t="n">
        <v>45829</v>
      </c>
      <c r="D389" s="8" t="str">
        <f aca="false">INDEX(Dim_Supplier!$C$2:$C$21,MATCH(B389,Dim_Supplier!$A$2:$A$21,0))</f>
        <v>Logistics</v>
      </c>
      <c r="E389" s="8" t="str">
        <f aca="false">INDEX(Dim_Supplier!$B$2:$B$21,MATCH(B389,Dim_Supplier!$A$2:$A$21,0))</f>
        <v>Maple Route Logistics</v>
      </c>
      <c r="F389" s="5" t="s">
        <v>185</v>
      </c>
      <c r="G389" s="5" t="s">
        <v>112</v>
      </c>
      <c r="H389" s="8" t="n">
        <f aca="false">INDEX(Lookup_Tables!$B$2:$B$5,MATCH(D389,Lookup_Tables!$A$2:$A$5,0))</f>
        <v>5</v>
      </c>
      <c r="I389" s="9" t="n">
        <f aca="false">C389+H389</f>
        <v>45834</v>
      </c>
      <c r="J389" s="5" t="n">
        <v>2</v>
      </c>
      <c r="K389" s="9" t="n">
        <f aca="false">I389+J389</f>
        <v>45836</v>
      </c>
      <c r="L389" s="5" t="n">
        <v>22</v>
      </c>
      <c r="M389" s="10" t="n">
        <f aca="false">INDEX(Dim_Supplier!$F$2:$F$21,MATCH(B389,Dim_Supplier!$A$2:$A$21,0))</f>
        <v>285</v>
      </c>
      <c r="N389" s="11" t="n">
        <v>0.0259</v>
      </c>
      <c r="O389" s="10" t="n">
        <f aca="false">M389*(1+N389)</f>
        <v>292.3815</v>
      </c>
      <c r="P389" s="10" t="n">
        <f aca="false">O389*L389</f>
        <v>6432.393</v>
      </c>
      <c r="Q389" s="5" t="s">
        <v>113</v>
      </c>
      <c r="R389" s="5" t="n">
        <v>0</v>
      </c>
      <c r="S389" s="5" t="n">
        <v>45</v>
      </c>
      <c r="T389" s="12" t="n">
        <f aca="false">(O389-M389)/M389</f>
        <v>0.0259000000000001</v>
      </c>
      <c r="U389" s="8" t="n">
        <f aca="false">IF(AND(K389&lt;=I389,R389=0),1,0)</f>
        <v>0</v>
      </c>
      <c r="V389" s="10" t="n">
        <f aca="false">IF(Q389="No",P389,0)</f>
        <v>0</v>
      </c>
    </row>
    <row r="390" customFormat="false" ht="15" hidden="false" customHeight="false" outlineLevel="0" collapsed="false">
      <c r="A390" s="5" t="s">
        <v>524</v>
      </c>
      <c r="B390" s="5" t="s">
        <v>62</v>
      </c>
      <c r="C390" s="7" t="n">
        <v>46036</v>
      </c>
      <c r="D390" s="8" t="str">
        <f aca="false">INDEX(Dim_Supplier!$C$2:$C$21,MATCH(B390,Dim_Supplier!$A$2:$A$21,0))</f>
        <v>Packaging</v>
      </c>
      <c r="E390" s="8" t="str">
        <f aca="false">INDEX(Dim_Supplier!$B$2:$B$21,MATCH(B390,Dim_Supplier!$A$2:$A$21,0))</f>
        <v>Trillium Packaging Solutions</v>
      </c>
      <c r="F390" s="5" t="s">
        <v>158</v>
      </c>
      <c r="G390" s="5" t="s">
        <v>125</v>
      </c>
      <c r="H390" s="8" t="n">
        <f aca="false">INDEX(Lookup_Tables!$B$2:$B$5,MATCH(D390,Lookup_Tables!$A$2:$A$5,0))</f>
        <v>14</v>
      </c>
      <c r="I390" s="9" t="n">
        <f aca="false">C390+H390</f>
        <v>46050</v>
      </c>
      <c r="J390" s="5" t="n">
        <v>-4</v>
      </c>
      <c r="K390" s="9" t="n">
        <f aca="false">I390+J390</f>
        <v>46046</v>
      </c>
      <c r="L390" s="5" t="n">
        <v>3652</v>
      </c>
      <c r="M390" s="10" t="n">
        <f aca="false">INDEX(Dim_Supplier!$F$2:$F$21,MATCH(B390,Dim_Supplier!$A$2:$A$21,0))</f>
        <v>5.6</v>
      </c>
      <c r="N390" s="11" t="n">
        <v>0.0448</v>
      </c>
      <c r="O390" s="10" t="n">
        <f aca="false">M390*(1+N390)</f>
        <v>5.85088</v>
      </c>
      <c r="P390" s="10" t="n">
        <f aca="false">O390*L390</f>
        <v>21367.41376</v>
      </c>
      <c r="Q390" s="5" t="s">
        <v>113</v>
      </c>
      <c r="R390" s="5" t="n">
        <v>0</v>
      </c>
      <c r="S390" s="5" t="n">
        <v>60</v>
      </c>
      <c r="T390" s="12" t="n">
        <f aca="false">(O390-M390)/M390</f>
        <v>0.0447999999999999</v>
      </c>
      <c r="U390" s="8" t="n">
        <f aca="false">IF(AND(K390&lt;=I390,R390=0),1,0)</f>
        <v>1</v>
      </c>
      <c r="V390" s="10" t="n">
        <f aca="false">IF(Q390="No",P390,0)</f>
        <v>0</v>
      </c>
    </row>
    <row r="391" customFormat="false" ht="15" hidden="false" customHeight="false" outlineLevel="0" collapsed="false">
      <c r="A391" s="5" t="s">
        <v>525</v>
      </c>
      <c r="B391" s="5" t="s">
        <v>71</v>
      </c>
      <c r="C391" s="7" t="n">
        <v>45303</v>
      </c>
      <c r="D391" s="8" t="str">
        <f aca="false">INDEX(Dim_Supplier!$C$2:$C$21,MATCH(B391,Dim_Supplier!$A$2:$A$21,0))</f>
        <v>MRO</v>
      </c>
      <c r="E391" s="8" t="str">
        <f aca="false">INDEX(Dim_Supplier!$B$2:$B$21,MATCH(B391,Dim_Supplier!$A$2:$A$21,0))</f>
        <v>CanSafe Equipment Ltd.</v>
      </c>
      <c r="F391" s="5" t="s">
        <v>164</v>
      </c>
      <c r="G391" s="5" t="s">
        <v>125</v>
      </c>
      <c r="H391" s="8" t="n">
        <f aca="false">INDEX(Lookup_Tables!$B$2:$B$5,MATCH(D391,Lookup_Tables!$A$2:$A$5,0))</f>
        <v>10</v>
      </c>
      <c r="I391" s="9" t="n">
        <f aca="false">C391+H391</f>
        <v>45313</v>
      </c>
      <c r="J391" s="5" t="n">
        <v>1</v>
      </c>
      <c r="K391" s="9" t="n">
        <f aca="false">I391+J391</f>
        <v>45314</v>
      </c>
      <c r="L391" s="5" t="n">
        <v>24</v>
      </c>
      <c r="M391" s="10" t="n">
        <f aca="false">INDEX(Dim_Supplier!$F$2:$F$21,MATCH(B391,Dim_Supplier!$A$2:$A$21,0))</f>
        <v>18.75</v>
      </c>
      <c r="N391" s="11" t="n">
        <v>-0.0024</v>
      </c>
      <c r="O391" s="10" t="n">
        <f aca="false">M391*(1+N391)</f>
        <v>18.705</v>
      </c>
      <c r="P391" s="10" t="n">
        <f aca="false">O391*L391</f>
        <v>448.92</v>
      </c>
      <c r="Q391" s="5" t="s">
        <v>113</v>
      </c>
      <c r="R391" s="5" t="n">
        <v>0</v>
      </c>
      <c r="S391" s="5" t="n">
        <v>30</v>
      </c>
      <c r="T391" s="12" t="n">
        <f aca="false">(O391-M391)/M391</f>
        <v>-0.0023999999999999</v>
      </c>
      <c r="U391" s="8" t="n">
        <f aca="false">IF(AND(K391&lt;=I391,R391=0),1,0)</f>
        <v>0</v>
      </c>
      <c r="V391" s="10" t="n">
        <f aca="false">IF(Q391="No",P391,0)</f>
        <v>0</v>
      </c>
    </row>
    <row r="392" customFormat="false" ht="15" hidden="false" customHeight="false" outlineLevel="0" collapsed="false">
      <c r="A392" s="5" t="s">
        <v>526</v>
      </c>
      <c r="B392" s="5" t="s">
        <v>54</v>
      </c>
      <c r="C392" s="7" t="n">
        <v>45811</v>
      </c>
      <c r="D392" s="8" t="str">
        <f aca="false">INDEX(Dim_Supplier!$C$2:$C$21,MATCH(B392,Dim_Supplier!$A$2:$A$21,0))</f>
        <v>Raw Materials</v>
      </c>
      <c r="E392" s="8" t="str">
        <f aca="false">INDEX(Dim_Supplier!$B$2:$B$21,MATCH(B392,Dim_Supplier!$A$2:$A$21,0))</f>
        <v>Northern Resin Solutions</v>
      </c>
      <c r="F392" s="5" t="s">
        <v>115</v>
      </c>
      <c r="G392" s="5" t="s">
        <v>125</v>
      </c>
      <c r="H392" s="8" t="n">
        <f aca="false">INDEX(Lookup_Tables!$B$2:$B$5,MATCH(D392,Lookup_Tables!$A$2:$A$5,0))</f>
        <v>21</v>
      </c>
      <c r="I392" s="9" t="n">
        <f aca="false">C392+H392</f>
        <v>45832</v>
      </c>
      <c r="J392" s="5" t="n">
        <v>-2</v>
      </c>
      <c r="K392" s="9" t="n">
        <f aca="false">I392+J392</f>
        <v>45830</v>
      </c>
      <c r="L392" s="5" t="n">
        <v>1040</v>
      </c>
      <c r="M392" s="10" t="n">
        <f aca="false">INDEX(Dim_Supplier!$F$2:$F$21,MATCH(B392,Dim_Supplier!$A$2:$A$21,0))</f>
        <v>38.9</v>
      </c>
      <c r="N392" s="11" t="n">
        <v>0.0584</v>
      </c>
      <c r="O392" s="10" t="n">
        <f aca="false">M392*(1+N392)</f>
        <v>41.17176</v>
      </c>
      <c r="P392" s="10" t="n">
        <f aca="false">O392*L392</f>
        <v>42818.6304</v>
      </c>
      <c r="Q392" s="5" t="s">
        <v>113</v>
      </c>
      <c r="R392" s="5" t="n">
        <v>0</v>
      </c>
      <c r="S392" s="5" t="n">
        <v>30</v>
      </c>
      <c r="T392" s="12" t="n">
        <f aca="false">(O392-M392)/M392</f>
        <v>0.0584</v>
      </c>
      <c r="U392" s="8" t="n">
        <f aca="false">IF(AND(K392&lt;=I392,R392=0),1,0)</f>
        <v>1</v>
      </c>
      <c r="V392" s="10" t="n">
        <f aca="false">IF(Q392="No",P392,0)</f>
        <v>0</v>
      </c>
    </row>
    <row r="393" customFormat="false" ht="15" hidden="false" customHeight="false" outlineLevel="0" collapsed="false">
      <c r="A393" s="5" t="s">
        <v>527</v>
      </c>
      <c r="B393" s="5" t="s">
        <v>66</v>
      </c>
      <c r="C393" s="7" t="n">
        <v>45615</v>
      </c>
      <c r="D393" s="8" t="str">
        <f aca="false">INDEX(Dim_Supplier!$C$2:$C$21,MATCH(B393,Dim_Supplier!$A$2:$A$21,0))</f>
        <v>Packaging</v>
      </c>
      <c r="E393" s="8" t="str">
        <f aca="false">INDEX(Dim_Supplier!$B$2:$B$21,MATCH(B393,Dim_Supplier!$A$2:$A$21,0))</f>
        <v>EverGreen Wrap Industries</v>
      </c>
      <c r="F393" s="5" t="s">
        <v>117</v>
      </c>
      <c r="G393" s="5" t="s">
        <v>125</v>
      </c>
      <c r="H393" s="8" t="n">
        <f aca="false">INDEX(Lookup_Tables!$B$2:$B$5,MATCH(D393,Lookup_Tables!$A$2:$A$5,0))</f>
        <v>14</v>
      </c>
      <c r="I393" s="9" t="n">
        <f aca="false">C393+H393</f>
        <v>45629</v>
      </c>
      <c r="J393" s="5" t="n">
        <v>-1</v>
      </c>
      <c r="K393" s="9" t="n">
        <f aca="false">I393+J393</f>
        <v>45628</v>
      </c>
      <c r="L393" s="5" t="n">
        <v>3804</v>
      </c>
      <c r="M393" s="10" t="n">
        <f aca="false">INDEX(Dim_Supplier!$F$2:$F$21,MATCH(B393,Dim_Supplier!$A$2:$A$21,0))</f>
        <v>6.8</v>
      </c>
      <c r="N393" s="11" t="n">
        <v>0.0562</v>
      </c>
      <c r="O393" s="10" t="n">
        <f aca="false">M393*(1+N393)</f>
        <v>7.18216</v>
      </c>
      <c r="P393" s="10" t="n">
        <f aca="false">O393*L393</f>
        <v>27320.93664</v>
      </c>
      <c r="Q393" s="5" t="s">
        <v>113</v>
      </c>
      <c r="R393" s="5" t="n">
        <v>0</v>
      </c>
      <c r="S393" s="5" t="n">
        <v>30</v>
      </c>
      <c r="T393" s="12" t="n">
        <f aca="false">(O393-M393)/M393</f>
        <v>0.0562</v>
      </c>
      <c r="U393" s="8" t="n">
        <f aca="false">IF(AND(K393&lt;=I393,R393=0),1,0)</f>
        <v>1</v>
      </c>
      <c r="V393" s="10" t="n">
        <f aca="false">IF(Q393="No",P393,0)</f>
        <v>0</v>
      </c>
    </row>
    <row r="394" customFormat="false" ht="15" hidden="false" customHeight="false" outlineLevel="0" collapsed="false">
      <c r="A394" s="5" t="s">
        <v>528</v>
      </c>
      <c r="B394" s="5" t="s">
        <v>46</v>
      </c>
      <c r="C394" s="7" t="n">
        <v>45910</v>
      </c>
      <c r="D394" s="8" t="str">
        <f aca="false">INDEX(Dim_Supplier!$C$2:$C$21,MATCH(B394,Dim_Supplier!$A$2:$A$21,0))</f>
        <v>Raw Materials</v>
      </c>
      <c r="E394" s="8" t="str">
        <f aca="false">INDEX(Dim_Supplier!$B$2:$B$21,MATCH(B394,Dim_Supplier!$A$2:$A$21,0))</f>
        <v>Niagara Alloy Supply</v>
      </c>
      <c r="F394" s="5" t="s">
        <v>144</v>
      </c>
      <c r="G394" s="5" t="s">
        <v>120</v>
      </c>
      <c r="H394" s="8" t="n">
        <f aca="false">INDEX(Lookup_Tables!$B$2:$B$5,MATCH(D394,Lookup_Tables!$A$2:$A$5,0))</f>
        <v>21</v>
      </c>
      <c r="I394" s="9" t="n">
        <f aca="false">C394+H394</f>
        <v>45931</v>
      </c>
      <c r="J394" s="5" t="n">
        <v>1</v>
      </c>
      <c r="K394" s="9" t="n">
        <f aca="false">I394+J394</f>
        <v>45932</v>
      </c>
      <c r="L394" s="5" t="n">
        <v>1440</v>
      </c>
      <c r="M394" s="10" t="n">
        <f aca="false">INDEX(Dim_Supplier!$F$2:$F$21,MATCH(B394,Dim_Supplier!$A$2:$A$21,0))</f>
        <v>46.5</v>
      </c>
      <c r="N394" s="11" t="n">
        <v>0.0136</v>
      </c>
      <c r="O394" s="10" t="n">
        <f aca="false">M394*(1+N394)</f>
        <v>47.1324</v>
      </c>
      <c r="P394" s="10" t="n">
        <f aca="false">O394*L394</f>
        <v>67870.656</v>
      </c>
      <c r="Q394" s="5" t="s">
        <v>113</v>
      </c>
      <c r="R394" s="5" t="n">
        <v>0</v>
      </c>
      <c r="S394" s="5" t="n">
        <v>30</v>
      </c>
      <c r="T394" s="12" t="n">
        <f aca="false">(O394-M394)/M394</f>
        <v>0.0136000000000001</v>
      </c>
      <c r="U394" s="8" t="n">
        <f aca="false">IF(AND(K394&lt;=I394,R394=0),1,0)</f>
        <v>0</v>
      </c>
      <c r="V394" s="10" t="n">
        <f aca="false">IF(Q394="No",P394,0)</f>
        <v>0</v>
      </c>
    </row>
    <row r="395" customFormat="false" ht="15" hidden="false" customHeight="false" outlineLevel="0" collapsed="false">
      <c r="A395" s="5" t="s">
        <v>529</v>
      </c>
      <c r="B395" s="5" t="s">
        <v>41</v>
      </c>
      <c r="C395" s="7" t="n">
        <v>45520</v>
      </c>
      <c r="D395" s="8" t="str">
        <f aca="false">INDEX(Dim_Supplier!$C$2:$C$21,MATCH(B395,Dim_Supplier!$A$2:$A$21,0))</f>
        <v>Raw Materials</v>
      </c>
      <c r="E395" s="8" t="str">
        <f aca="false">INDEX(Dim_Supplier!$B$2:$B$21,MATCH(B395,Dim_Supplier!$A$2:$A$21,0))</f>
        <v>Ontario Steel Partners</v>
      </c>
      <c r="F395" s="5" t="s">
        <v>142</v>
      </c>
      <c r="G395" s="5" t="s">
        <v>120</v>
      </c>
      <c r="H395" s="8" t="n">
        <f aca="false">INDEX(Lookup_Tables!$B$2:$B$5,MATCH(D395,Lookup_Tables!$A$2:$A$5,0))</f>
        <v>21</v>
      </c>
      <c r="I395" s="9" t="n">
        <f aca="false">C395+H395</f>
        <v>45541</v>
      </c>
      <c r="J395" s="5" t="n">
        <v>-4</v>
      </c>
      <c r="K395" s="9" t="n">
        <f aca="false">I395+J395</f>
        <v>45537</v>
      </c>
      <c r="L395" s="5" t="n">
        <v>1068</v>
      </c>
      <c r="M395" s="10" t="n">
        <f aca="false">INDEX(Dim_Supplier!$F$2:$F$21,MATCH(B395,Dim_Supplier!$A$2:$A$21,0))</f>
        <v>58</v>
      </c>
      <c r="N395" s="11" t="n">
        <v>-0.0003</v>
      </c>
      <c r="O395" s="10" t="n">
        <f aca="false">M395*(1+N395)</f>
        <v>57.9826</v>
      </c>
      <c r="P395" s="10" t="n">
        <f aca="false">O395*L395</f>
        <v>61925.4168</v>
      </c>
      <c r="Q395" s="5" t="s">
        <v>113</v>
      </c>
      <c r="R395" s="5" t="n">
        <v>0</v>
      </c>
      <c r="S395" s="5" t="n">
        <v>30</v>
      </c>
      <c r="T395" s="12" t="n">
        <f aca="false">(O395-M395)/M395</f>
        <v>-0.000299999999999913</v>
      </c>
      <c r="U395" s="8" t="n">
        <f aca="false">IF(AND(K395&lt;=I395,R395=0),1,0)</f>
        <v>1</v>
      </c>
      <c r="V395" s="10" t="n">
        <f aca="false">IF(Q395="No",P395,0)</f>
        <v>0</v>
      </c>
    </row>
    <row r="396" customFormat="false" ht="15" hidden="false" customHeight="false" outlineLevel="0" collapsed="false">
      <c r="A396" s="5" t="s">
        <v>530</v>
      </c>
      <c r="B396" s="5" t="s">
        <v>46</v>
      </c>
      <c r="C396" s="7" t="n">
        <v>45966</v>
      </c>
      <c r="D396" s="8" t="str">
        <f aca="false">INDEX(Dim_Supplier!$C$2:$C$21,MATCH(B396,Dim_Supplier!$A$2:$A$21,0))</f>
        <v>Raw Materials</v>
      </c>
      <c r="E396" s="8" t="str">
        <f aca="false">INDEX(Dim_Supplier!$B$2:$B$21,MATCH(B396,Dim_Supplier!$A$2:$A$21,0))</f>
        <v>Niagara Alloy Supply</v>
      </c>
      <c r="F396" s="5" t="s">
        <v>115</v>
      </c>
      <c r="G396" s="5" t="s">
        <v>129</v>
      </c>
      <c r="H396" s="8" t="n">
        <f aca="false">INDEX(Lookup_Tables!$B$2:$B$5,MATCH(D396,Lookup_Tables!$A$2:$A$5,0))</f>
        <v>21</v>
      </c>
      <c r="I396" s="9" t="n">
        <f aca="false">C396+H396</f>
        <v>45987</v>
      </c>
      <c r="J396" s="5" t="n">
        <v>-3</v>
      </c>
      <c r="K396" s="9" t="n">
        <f aca="false">I396+J396</f>
        <v>45984</v>
      </c>
      <c r="L396" s="5" t="n">
        <v>1738</v>
      </c>
      <c r="M396" s="10" t="n">
        <f aca="false">INDEX(Dim_Supplier!$F$2:$F$21,MATCH(B396,Dim_Supplier!$A$2:$A$21,0))</f>
        <v>46.5</v>
      </c>
      <c r="N396" s="11" t="n">
        <v>0.0616</v>
      </c>
      <c r="O396" s="10" t="n">
        <f aca="false">M396*(1+N396)</f>
        <v>49.3644</v>
      </c>
      <c r="P396" s="10" t="n">
        <f aca="false">O396*L396</f>
        <v>85795.3272</v>
      </c>
      <c r="Q396" s="5" t="s">
        <v>113</v>
      </c>
      <c r="R396" s="5" t="n">
        <v>0</v>
      </c>
      <c r="S396" s="5" t="n">
        <v>45</v>
      </c>
      <c r="T396" s="12" t="n">
        <f aca="false">(O396-M396)/M396</f>
        <v>0.0616000000000001</v>
      </c>
      <c r="U396" s="8" t="n">
        <f aca="false">IF(AND(K396&lt;=I396,R396=0),1,0)</f>
        <v>1</v>
      </c>
      <c r="V396" s="10" t="n">
        <f aca="false">IF(Q396="No",P396,0)</f>
        <v>0</v>
      </c>
    </row>
    <row r="397" customFormat="false" ht="15" hidden="false" customHeight="false" outlineLevel="0" collapsed="false">
      <c r="A397" s="5" t="s">
        <v>531</v>
      </c>
      <c r="B397" s="5" t="s">
        <v>41</v>
      </c>
      <c r="C397" s="7" t="n">
        <v>45460</v>
      </c>
      <c r="D397" s="8" t="str">
        <f aca="false">INDEX(Dim_Supplier!$C$2:$C$21,MATCH(B397,Dim_Supplier!$A$2:$A$21,0))</f>
        <v>Raw Materials</v>
      </c>
      <c r="E397" s="8" t="str">
        <f aca="false">INDEX(Dim_Supplier!$B$2:$B$21,MATCH(B397,Dim_Supplier!$A$2:$A$21,0))</f>
        <v>Ontario Steel Partners</v>
      </c>
      <c r="F397" s="5" t="s">
        <v>142</v>
      </c>
      <c r="G397" s="5" t="s">
        <v>112</v>
      </c>
      <c r="H397" s="8" t="n">
        <f aca="false">INDEX(Lookup_Tables!$B$2:$B$5,MATCH(D397,Lookup_Tables!$A$2:$A$5,0))</f>
        <v>21</v>
      </c>
      <c r="I397" s="9" t="n">
        <f aca="false">C397+H397</f>
        <v>45481</v>
      </c>
      <c r="J397" s="5" t="n">
        <v>-2</v>
      </c>
      <c r="K397" s="9" t="n">
        <f aca="false">I397+J397</f>
        <v>45479</v>
      </c>
      <c r="L397" s="5" t="n">
        <v>938</v>
      </c>
      <c r="M397" s="10" t="n">
        <f aca="false">INDEX(Dim_Supplier!$F$2:$F$21,MATCH(B397,Dim_Supplier!$A$2:$A$21,0))</f>
        <v>58</v>
      </c>
      <c r="N397" s="11" t="n">
        <v>-0.0196</v>
      </c>
      <c r="O397" s="10" t="n">
        <f aca="false">M397*(1+N397)</f>
        <v>56.8632</v>
      </c>
      <c r="P397" s="10" t="n">
        <f aca="false">O397*L397</f>
        <v>53337.6816</v>
      </c>
      <c r="Q397" s="5" t="s">
        <v>113</v>
      </c>
      <c r="R397" s="5" t="n">
        <v>0</v>
      </c>
      <c r="S397" s="5" t="n">
        <v>30</v>
      </c>
      <c r="T397" s="12" t="n">
        <f aca="false">(O397-M397)/M397</f>
        <v>-0.0195999999999999</v>
      </c>
      <c r="U397" s="8" t="n">
        <f aca="false">IF(AND(K397&lt;=I397,R397=0),1,0)</f>
        <v>1</v>
      </c>
      <c r="V397" s="10" t="n">
        <f aca="false">IF(Q397="No",P397,0)</f>
        <v>0</v>
      </c>
    </row>
    <row r="398" customFormat="false" ht="15" hidden="false" customHeight="false" outlineLevel="0" collapsed="false">
      <c r="A398" s="5" t="s">
        <v>532</v>
      </c>
      <c r="B398" s="5" t="s">
        <v>86</v>
      </c>
      <c r="C398" s="7" t="n">
        <v>45694</v>
      </c>
      <c r="D398" s="8" t="str">
        <f aca="false">INDEX(Dim_Supplier!$C$2:$C$21,MATCH(B398,Dim_Supplier!$A$2:$A$21,0))</f>
        <v>Logistics</v>
      </c>
      <c r="E398" s="8" t="str">
        <f aca="false">INDEX(Dim_Supplier!$B$2:$B$21,MATCH(B398,Dim_Supplier!$A$2:$A$21,0))</f>
        <v>Blue Water Customs Brokerage</v>
      </c>
      <c r="F398" s="5" t="s">
        <v>154</v>
      </c>
      <c r="G398" s="5" t="s">
        <v>125</v>
      </c>
      <c r="H398" s="8" t="n">
        <f aca="false">INDEX(Lookup_Tables!$B$2:$B$5,MATCH(D398,Lookup_Tables!$A$2:$A$5,0))</f>
        <v>5</v>
      </c>
      <c r="I398" s="9" t="n">
        <f aca="false">C398+H398</f>
        <v>45699</v>
      </c>
      <c r="J398" s="5" t="n">
        <v>-1</v>
      </c>
      <c r="K398" s="9" t="n">
        <f aca="false">I398+J398</f>
        <v>45698</v>
      </c>
      <c r="L398" s="5" t="n">
        <v>22</v>
      </c>
      <c r="M398" s="10" t="n">
        <f aca="false">INDEX(Dim_Supplier!$F$2:$F$21,MATCH(B398,Dim_Supplier!$A$2:$A$21,0))</f>
        <v>175</v>
      </c>
      <c r="N398" s="11" t="n">
        <v>-0.0016</v>
      </c>
      <c r="O398" s="10" t="n">
        <f aca="false">M398*(1+N398)</f>
        <v>174.72</v>
      </c>
      <c r="P398" s="10" t="n">
        <f aca="false">O398*L398</f>
        <v>3843.84</v>
      </c>
      <c r="Q398" s="5" t="s">
        <v>113</v>
      </c>
      <c r="R398" s="5" t="n">
        <v>0</v>
      </c>
      <c r="S398" s="5" t="n">
        <v>60</v>
      </c>
      <c r="T398" s="12" t="n">
        <f aca="false">(O398-M398)/M398</f>
        <v>-0.00160000000000001</v>
      </c>
      <c r="U398" s="8" t="n">
        <f aca="false">IF(AND(K398&lt;=I398,R398=0),1,0)</f>
        <v>1</v>
      </c>
      <c r="V398" s="10" t="n">
        <f aca="false">IF(Q398="No",P398,0)</f>
        <v>0</v>
      </c>
    </row>
    <row r="399" customFormat="false" ht="15" hidden="false" customHeight="false" outlineLevel="0" collapsed="false">
      <c r="A399" s="5" t="s">
        <v>533</v>
      </c>
      <c r="B399" s="5" t="s">
        <v>82</v>
      </c>
      <c r="C399" s="7" t="n">
        <v>45894</v>
      </c>
      <c r="D399" s="8" t="str">
        <f aca="false">INDEX(Dim_Supplier!$C$2:$C$21,MATCH(B399,Dim_Supplier!$A$2:$A$21,0))</f>
        <v>Logistics</v>
      </c>
      <c r="E399" s="8" t="str">
        <f aca="false">INDEX(Dim_Supplier!$B$2:$B$21,MATCH(B399,Dim_Supplier!$A$2:$A$21,0))</f>
        <v>Maple Route Logistics</v>
      </c>
      <c r="F399" s="5" t="s">
        <v>124</v>
      </c>
      <c r="G399" s="5" t="s">
        <v>125</v>
      </c>
      <c r="H399" s="8" t="n">
        <f aca="false">INDEX(Lookup_Tables!$B$2:$B$5,MATCH(D399,Lookup_Tables!$A$2:$A$5,0))</f>
        <v>5</v>
      </c>
      <c r="I399" s="9" t="n">
        <f aca="false">C399+H399</f>
        <v>45899</v>
      </c>
      <c r="J399" s="5" t="n">
        <v>-4</v>
      </c>
      <c r="K399" s="9" t="n">
        <f aca="false">I399+J399</f>
        <v>45895</v>
      </c>
      <c r="L399" s="5" t="n">
        <v>33</v>
      </c>
      <c r="M399" s="10" t="n">
        <f aca="false">INDEX(Dim_Supplier!$F$2:$F$21,MATCH(B399,Dim_Supplier!$A$2:$A$21,0))</f>
        <v>285</v>
      </c>
      <c r="N399" s="11" t="n">
        <v>0.0371</v>
      </c>
      <c r="O399" s="10" t="n">
        <f aca="false">M399*(1+N399)</f>
        <v>295.5735</v>
      </c>
      <c r="P399" s="10" t="n">
        <f aca="false">O399*L399</f>
        <v>9753.9255</v>
      </c>
      <c r="Q399" s="5" t="s">
        <v>113</v>
      </c>
      <c r="R399" s="5" t="n">
        <v>0</v>
      </c>
      <c r="S399" s="5" t="n">
        <v>45</v>
      </c>
      <c r="T399" s="12" t="n">
        <f aca="false">(O399-M399)/M399</f>
        <v>0.0370999999999999</v>
      </c>
      <c r="U399" s="8" t="n">
        <f aca="false">IF(AND(K399&lt;=I399,R399=0),1,0)</f>
        <v>1</v>
      </c>
      <c r="V399" s="10" t="n">
        <f aca="false">IF(Q399="No",P399,0)</f>
        <v>0</v>
      </c>
    </row>
    <row r="400" customFormat="false" ht="15" hidden="false" customHeight="false" outlineLevel="0" collapsed="false">
      <c r="A400" s="5" t="s">
        <v>534</v>
      </c>
      <c r="B400" s="5" t="s">
        <v>41</v>
      </c>
      <c r="C400" s="7" t="n">
        <v>45735</v>
      </c>
      <c r="D400" s="8" t="str">
        <f aca="false">INDEX(Dim_Supplier!$C$2:$C$21,MATCH(B400,Dim_Supplier!$A$2:$A$21,0))</f>
        <v>Raw Materials</v>
      </c>
      <c r="E400" s="8" t="str">
        <f aca="false">INDEX(Dim_Supplier!$B$2:$B$21,MATCH(B400,Dim_Supplier!$A$2:$A$21,0))</f>
        <v>Ontario Steel Partners</v>
      </c>
      <c r="F400" s="5" t="s">
        <v>144</v>
      </c>
      <c r="G400" s="5" t="s">
        <v>125</v>
      </c>
      <c r="H400" s="8" t="n">
        <f aca="false">INDEX(Lookup_Tables!$B$2:$B$5,MATCH(D400,Lookup_Tables!$A$2:$A$5,0))</f>
        <v>21</v>
      </c>
      <c r="I400" s="9" t="n">
        <f aca="false">C400+H400</f>
        <v>45756</v>
      </c>
      <c r="J400" s="5" t="n">
        <v>0</v>
      </c>
      <c r="K400" s="9" t="n">
        <f aca="false">I400+J400</f>
        <v>45756</v>
      </c>
      <c r="L400" s="5" t="n">
        <v>1964</v>
      </c>
      <c r="M400" s="10" t="n">
        <f aca="false">INDEX(Dim_Supplier!$F$2:$F$21,MATCH(B400,Dim_Supplier!$A$2:$A$21,0))</f>
        <v>58</v>
      </c>
      <c r="N400" s="11" t="n">
        <v>-0.0059</v>
      </c>
      <c r="O400" s="10" t="n">
        <f aca="false">M400*(1+N400)</f>
        <v>57.6578</v>
      </c>
      <c r="P400" s="10" t="n">
        <f aca="false">O400*L400</f>
        <v>113239.9192</v>
      </c>
      <c r="Q400" s="5" t="s">
        <v>113</v>
      </c>
      <c r="R400" s="5" t="n">
        <v>0</v>
      </c>
      <c r="S400" s="5" t="n">
        <v>45</v>
      </c>
      <c r="T400" s="12" t="n">
        <f aca="false">(O400-M400)/M400</f>
        <v>-0.00589999999999997</v>
      </c>
      <c r="U400" s="8" t="n">
        <f aca="false">IF(AND(K400&lt;=I400,R400=0),1,0)</f>
        <v>1</v>
      </c>
      <c r="V400" s="10" t="n">
        <f aca="false">IF(Q400="No",P400,0)</f>
        <v>0</v>
      </c>
    </row>
    <row r="401" customFormat="false" ht="15" hidden="false" customHeight="false" outlineLevel="0" collapsed="false">
      <c r="A401" s="5" t="s">
        <v>535</v>
      </c>
      <c r="B401" s="5" t="s">
        <v>46</v>
      </c>
      <c r="C401" s="7" t="n">
        <v>45688</v>
      </c>
      <c r="D401" s="8" t="str">
        <f aca="false">INDEX(Dim_Supplier!$C$2:$C$21,MATCH(B401,Dim_Supplier!$A$2:$A$21,0))</f>
        <v>Raw Materials</v>
      </c>
      <c r="E401" s="8" t="str">
        <f aca="false">INDEX(Dim_Supplier!$B$2:$B$21,MATCH(B401,Dim_Supplier!$A$2:$A$21,0))</f>
        <v>Niagara Alloy Supply</v>
      </c>
      <c r="F401" s="5" t="s">
        <v>144</v>
      </c>
      <c r="G401" s="5" t="s">
        <v>120</v>
      </c>
      <c r="H401" s="8" t="n">
        <f aca="false">INDEX(Lookup_Tables!$B$2:$B$5,MATCH(D401,Lookup_Tables!$A$2:$A$5,0))</f>
        <v>21</v>
      </c>
      <c r="I401" s="9" t="n">
        <f aca="false">C401+H401</f>
        <v>45709</v>
      </c>
      <c r="J401" s="5" t="n">
        <v>-3</v>
      </c>
      <c r="K401" s="9" t="n">
        <f aca="false">I401+J401</f>
        <v>45706</v>
      </c>
      <c r="L401" s="5" t="n">
        <v>1347</v>
      </c>
      <c r="M401" s="10" t="n">
        <f aca="false">INDEX(Dim_Supplier!$F$2:$F$21,MATCH(B401,Dim_Supplier!$A$2:$A$21,0))</f>
        <v>46.5</v>
      </c>
      <c r="N401" s="11" t="n">
        <v>0.0295</v>
      </c>
      <c r="O401" s="10" t="n">
        <f aca="false">M401*(1+N401)</f>
        <v>47.87175</v>
      </c>
      <c r="P401" s="10" t="n">
        <f aca="false">O401*L401</f>
        <v>64483.24725</v>
      </c>
      <c r="Q401" s="5" t="s">
        <v>133</v>
      </c>
      <c r="R401" s="5" t="n">
        <v>0</v>
      </c>
      <c r="S401" s="5" t="n">
        <v>30</v>
      </c>
      <c r="T401" s="12" t="n">
        <f aca="false">(O401-M401)/M401</f>
        <v>0.0295000000000001</v>
      </c>
      <c r="U401" s="8" t="n">
        <f aca="false">IF(AND(K401&lt;=I401,R401=0),1,0)</f>
        <v>1</v>
      </c>
      <c r="V401" s="10" t="n">
        <f aca="false">IF(Q401="No",P401,0)</f>
        <v>64483.24725</v>
      </c>
    </row>
    <row r="402" customFormat="false" ht="15" hidden="false" customHeight="false" outlineLevel="0" collapsed="false">
      <c r="A402" s="5" t="s">
        <v>536</v>
      </c>
      <c r="B402" s="5" t="s">
        <v>88</v>
      </c>
      <c r="C402" s="7" t="n">
        <v>45593</v>
      </c>
      <c r="D402" s="8" t="str">
        <f aca="false">INDEX(Dim_Supplier!$C$2:$C$21,MATCH(B402,Dim_Supplier!$A$2:$A$21,0))</f>
        <v>Logistics</v>
      </c>
      <c r="E402" s="8" t="str">
        <f aca="false">INDEX(Dim_Supplier!$B$2:$B$21,MATCH(B402,Dim_Supplier!$A$2:$A$21,0))</f>
        <v>Summit Last-Mile Delivery</v>
      </c>
      <c r="F402" s="5" t="s">
        <v>237</v>
      </c>
      <c r="G402" s="5" t="s">
        <v>112</v>
      </c>
      <c r="H402" s="8" t="n">
        <f aca="false">INDEX(Lookup_Tables!$B$2:$B$5,MATCH(D402,Lookup_Tables!$A$2:$A$5,0))</f>
        <v>5</v>
      </c>
      <c r="I402" s="9" t="n">
        <f aca="false">C402+H402</f>
        <v>45598</v>
      </c>
      <c r="J402" s="5" t="n">
        <v>1</v>
      </c>
      <c r="K402" s="9" t="n">
        <f aca="false">I402+J402</f>
        <v>45599</v>
      </c>
      <c r="L402" s="5" t="n">
        <v>48</v>
      </c>
      <c r="M402" s="10" t="n">
        <f aca="false">INDEX(Dim_Supplier!$F$2:$F$21,MATCH(B402,Dim_Supplier!$A$2:$A$21,0))</f>
        <v>95</v>
      </c>
      <c r="N402" s="11" t="n">
        <v>0.0607</v>
      </c>
      <c r="O402" s="10" t="n">
        <f aca="false">M402*(1+N402)</f>
        <v>100.7665</v>
      </c>
      <c r="P402" s="10" t="n">
        <f aca="false">O402*L402</f>
        <v>4836.792</v>
      </c>
      <c r="Q402" s="5" t="s">
        <v>113</v>
      </c>
      <c r="R402" s="5" t="n">
        <v>0</v>
      </c>
      <c r="S402" s="5" t="n">
        <v>45</v>
      </c>
      <c r="T402" s="12" t="n">
        <f aca="false">(O402-M402)/M402</f>
        <v>0.0606999999999999</v>
      </c>
      <c r="U402" s="8" t="n">
        <f aca="false">IF(AND(K402&lt;=I402,R402=0),1,0)</f>
        <v>0</v>
      </c>
      <c r="V402" s="10" t="n">
        <f aca="false">IF(Q402="No",P402,0)</f>
        <v>0</v>
      </c>
    </row>
    <row r="403" customFormat="false" ht="15" hidden="false" customHeight="false" outlineLevel="0" collapsed="false">
      <c r="A403" s="5" t="s">
        <v>537</v>
      </c>
      <c r="B403" s="5" t="s">
        <v>57</v>
      </c>
      <c r="C403" s="7" t="n">
        <v>46046</v>
      </c>
      <c r="D403" s="8" t="str">
        <f aca="false">INDEX(Dim_Supplier!$C$2:$C$21,MATCH(B403,Dim_Supplier!$A$2:$A$21,0))</f>
        <v>Packaging</v>
      </c>
      <c r="E403" s="8" t="str">
        <f aca="false">INDEX(Dim_Supplier!$B$2:$B$21,MATCH(B403,Dim_Supplier!$A$2:$A$21,0))</f>
        <v>Great Lakes Packaging Co.</v>
      </c>
      <c r="F403" s="5" t="s">
        <v>122</v>
      </c>
      <c r="G403" s="5" t="s">
        <v>112</v>
      </c>
      <c r="H403" s="8" t="n">
        <f aca="false">INDEX(Lookup_Tables!$B$2:$B$5,MATCH(D403,Lookup_Tables!$A$2:$A$5,0))</f>
        <v>14</v>
      </c>
      <c r="I403" s="9" t="n">
        <f aca="false">C403+H403</f>
        <v>46060</v>
      </c>
      <c r="J403" s="5" t="n">
        <v>-2</v>
      </c>
      <c r="K403" s="9" t="n">
        <f aca="false">I403+J403</f>
        <v>46058</v>
      </c>
      <c r="L403" s="5" t="n">
        <v>2880</v>
      </c>
      <c r="M403" s="10" t="n">
        <f aca="false">INDEX(Dim_Supplier!$F$2:$F$21,MATCH(B403,Dim_Supplier!$A$2:$A$21,0))</f>
        <v>4.35</v>
      </c>
      <c r="N403" s="11" t="n">
        <v>0.0367</v>
      </c>
      <c r="O403" s="10" t="n">
        <f aca="false">M403*(1+N403)</f>
        <v>4.509645</v>
      </c>
      <c r="P403" s="10" t="n">
        <f aca="false">O403*L403</f>
        <v>12987.7776</v>
      </c>
      <c r="Q403" s="5" t="s">
        <v>113</v>
      </c>
      <c r="R403" s="5" t="n">
        <v>0</v>
      </c>
      <c r="S403" s="5" t="n">
        <v>30</v>
      </c>
      <c r="T403" s="12" t="n">
        <f aca="false">(O403-M403)/M403</f>
        <v>0.0366999999999999</v>
      </c>
      <c r="U403" s="8" t="n">
        <f aca="false">IF(AND(K403&lt;=I403,R403=0),1,0)</f>
        <v>1</v>
      </c>
      <c r="V403" s="10" t="n">
        <f aca="false">IF(Q403="No",P403,0)</f>
        <v>0</v>
      </c>
    </row>
    <row r="404" customFormat="false" ht="15" hidden="false" customHeight="false" outlineLevel="0" collapsed="false">
      <c r="A404" s="5" t="s">
        <v>538</v>
      </c>
      <c r="B404" s="5" t="s">
        <v>75</v>
      </c>
      <c r="C404" s="7" t="n">
        <v>45474</v>
      </c>
      <c r="D404" s="8" t="str">
        <f aca="false">INDEX(Dim_Supplier!$C$2:$C$21,MATCH(B404,Dim_Supplier!$A$2:$A$21,0))</f>
        <v>MRO</v>
      </c>
      <c r="E404" s="8" t="str">
        <f aca="false">INDEX(Dim_Supplier!$B$2:$B$21,MATCH(B404,Dim_Supplier!$A$2:$A$21,0))</f>
        <v>Sterling Lubricants Inc.</v>
      </c>
      <c r="F404" s="5" t="s">
        <v>132</v>
      </c>
      <c r="G404" s="5" t="s">
        <v>120</v>
      </c>
      <c r="H404" s="8" t="n">
        <f aca="false">INDEX(Lookup_Tables!$B$2:$B$5,MATCH(D404,Lookup_Tables!$A$2:$A$5,0))</f>
        <v>10</v>
      </c>
      <c r="I404" s="9" t="n">
        <f aca="false">C404+H404</f>
        <v>45484</v>
      </c>
      <c r="J404" s="5" t="n">
        <v>-4</v>
      </c>
      <c r="K404" s="9" t="n">
        <f aca="false">I404+J404</f>
        <v>45480</v>
      </c>
      <c r="L404" s="5" t="n">
        <v>148</v>
      </c>
      <c r="M404" s="10" t="n">
        <f aca="false">INDEX(Dim_Supplier!$F$2:$F$21,MATCH(B404,Dim_Supplier!$A$2:$A$21,0))</f>
        <v>27.1</v>
      </c>
      <c r="N404" s="11" t="n">
        <v>-0.0128</v>
      </c>
      <c r="O404" s="10" t="n">
        <f aca="false">M404*(1+N404)</f>
        <v>26.75312</v>
      </c>
      <c r="P404" s="10" t="n">
        <f aca="false">O404*L404</f>
        <v>3959.46176</v>
      </c>
      <c r="Q404" s="5" t="s">
        <v>113</v>
      </c>
      <c r="R404" s="5" t="n">
        <v>0</v>
      </c>
      <c r="S404" s="5" t="n">
        <v>45</v>
      </c>
      <c r="T404" s="12" t="n">
        <f aca="false">(O404-M404)/M404</f>
        <v>-0.0128000000000001</v>
      </c>
      <c r="U404" s="8" t="n">
        <f aca="false">IF(AND(K404&lt;=I404,R404=0),1,0)</f>
        <v>1</v>
      </c>
      <c r="V404" s="10" t="n">
        <f aca="false">IF(Q404="No",P404,0)</f>
        <v>0</v>
      </c>
    </row>
    <row r="405" customFormat="false" ht="15" hidden="false" customHeight="false" outlineLevel="0" collapsed="false">
      <c r="A405" s="5" t="s">
        <v>539</v>
      </c>
      <c r="B405" s="5" t="s">
        <v>62</v>
      </c>
      <c r="C405" s="7" t="n">
        <v>46057</v>
      </c>
      <c r="D405" s="8" t="str">
        <f aca="false">INDEX(Dim_Supplier!$C$2:$C$21,MATCH(B405,Dim_Supplier!$A$2:$A$21,0))</f>
        <v>Packaging</v>
      </c>
      <c r="E405" s="8" t="str">
        <f aca="false">INDEX(Dim_Supplier!$B$2:$B$21,MATCH(B405,Dim_Supplier!$A$2:$A$21,0))</f>
        <v>Trillium Packaging Solutions</v>
      </c>
      <c r="F405" s="5" t="s">
        <v>122</v>
      </c>
      <c r="G405" s="5" t="s">
        <v>120</v>
      </c>
      <c r="H405" s="8" t="n">
        <f aca="false">INDEX(Lookup_Tables!$B$2:$B$5,MATCH(D405,Lookup_Tables!$A$2:$A$5,0))</f>
        <v>14</v>
      </c>
      <c r="I405" s="9" t="n">
        <f aca="false">C405+H405</f>
        <v>46071</v>
      </c>
      <c r="J405" s="5" t="n">
        <v>-1</v>
      </c>
      <c r="K405" s="9" t="n">
        <f aca="false">I405+J405</f>
        <v>46070</v>
      </c>
      <c r="L405" s="5" t="n">
        <v>604</v>
      </c>
      <c r="M405" s="10" t="n">
        <f aca="false">INDEX(Dim_Supplier!$F$2:$F$21,MATCH(B405,Dim_Supplier!$A$2:$A$21,0))</f>
        <v>5.6</v>
      </c>
      <c r="N405" s="11" t="n">
        <v>0.0054</v>
      </c>
      <c r="O405" s="10" t="n">
        <f aca="false">M405*(1+N405)</f>
        <v>5.63024</v>
      </c>
      <c r="P405" s="10" t="n">
        <f aca="false">O405*L405</f>
        <v>3400.66496</v>
      </c>
      <c r="Q405" s="5" t="s">
        <v>113</v>
      </c>
      <c r="R405" s="5" t="n">
        <v>0</v>
      </c>
      <c r="S405" s="5" t="n">
        <v>30</v>
      </c>
      <c r="T405" s="12" t="n">
        <f aca="false">(O405-M405)/M405</f>
        <v>0.00540000000000001</v>
      </c>
      <c r="U405" s="8" t="n">
        <f aca="false">IF(AND(K405&lt;=I405,R405=0),1,0)</f>
        <v>1</v>
      </c>
      <c r="V405" s="10" t="n">
        <f aca="false">IF(Q405="No",P405,0)</f>
        <v>0</v>
      </c>
    </row>
    <row r="406" customFormat="false" ht="15" hidden="false" customHeight="false" outlineLevel="0" collapsed="false">
      <c r="A406" s="5" t="s">
        <v>540</v>
      </c>
      <c r="B406" s="5" t="s">
        <v>75</v>
      </c>
      <c r="C406" s="7" t="n">
        <v>45496</v>
      </c>
      <c r="D406" s="8" t="str">
        <f aca="false">INDEX(Dim_Supplier!$C$2:$C$21,MATCH(B406,Dim_Supplier!$A$2:$A$21,0))</f>
        <v>MRO</v>
      </c>
      <c r="E406" s="8" t="str">
        <f aca="false">INDEX(Dim_Supplier!$B$2:$B$21,MATCH(B406,Dim_Supplier!$A$2:$A$21,0))</f>
        <v>Sterling Lubricants Inc.</v>
      </c>
      <c r="F406" s="5" t="s">
        <v>111</v>
      </c>
      <c r="G406" s="5" t="s">
        <v>112</v>
      </c>
      <c r="H406" s="8" t="n">
        <f aca="false">INDEX(Lookup_Tables!$B$2:$B$5,MATCH(D406,Lookup_Tables!$A$2:$A$5,0))</f>
        <v>10</v>
      </c>
      <c r="I406" s="9" t="n">
        <f aca="false">C406+H406</f>
        <v>45506</v>
      </c>
      <c r="J406" s="5" t="n">
        <v>0</v>
      </c>
      <c r="K406" s="9" t="n">
        <f aca="false">I406+J406</f>
        <v>45506</v>
      </c>
      <c r="L406" s="5" t="n">
        <v>42</v>
      </c>
      <c r="M406" s="10" t="n">
        <f aca="false">INDEX(Dim_Supplier!$F$2:$F$21,MATCH(B406,Dim_Supplier!$A$2:$A$21,0))</f>
        <v>27.1</v>
      </c>
      <c r="N406" s="11" t="n">
        <v>0.0169</v>
      </c>
      <c r="O406" s="10" t="n">
        <f aca="false">M406*(1+N406)</f>
        <v>27.55799</v>
      </c>
      <c r="P406" s="10" t="n">
        <f aca="false">O406*L406</f>
        <v>1157.43558</v>
      </c>
      <c r="Q406" s="5" t="s">
        <v>113</v>
      </c>
      <c r="R406" s="5" t="n">
        <v>0</v>
      </c>
      <c r="S406" s="5" t="n">
        <v>30</v>
      </c>
      <c r="T406" s="12" t="n">
        <f aca="false">(O406-M406)/M406</f>
        <v>0.0169</v>
      </c>
      <c r="U406" s="8" t="n">
        <f aca="false">IF(AND(K406&lt;=I406,R406=0),1,0)</f>
        <v>1</v>
      </c>
      <c r="V406" s="10" t="n">
        <f aca="false">IF(Q406="No",P406,0)</f>
        <v>0</v>
      </c>
    </row>
    <row r="407" customFormat="false" ht="15" hidden="false" customHeight="false" outlineLevel="0" collapsed="false">
      <c r="A407" s="5" t="s">
        <v>541</v>
      </c>
      <c r="B407" s="5" t="s">
        <v>79</v>
      </c>
      <c r="C407" s="7" t="n">
        <v>45325</v>
      </c>
      <c r="D407" s="8" t="str">
        <f aca="false">INDEX(Dim_Supplier!$C$2:$C$21,MATCH(B407,Dim_Supplier!$A$2:$A$21,0))</f>
        <v>Logistics</v>
      </c>
      <c r="E407" s="8" t="str">
        <f aca="false">INDEX(Dim_Supplier!$B$2:$B$21,MATCH(B407,Dim_Supplier!$A$2:$A$21,0))</f>
        <v>Niagara Freight Solutions</v>
      </c>
      <c r="F407" s="5" t="s">
        <v>146</v>
      </c>
      <c r="G407" s="5" t="s">
        <v>125</v>
      </c>
      <c r="H407" s="8" t="n">
        <f aca="false">INDEX(Lookup_Tables!$B$2:$B$5,MATCH(D407,Lookup_Tables!$A$2:$A$5,0))</f>
        <v>5</v>
      </c>
      <c r="I407" s="9" t="n">
        <f aca="false">C407+H407</f>
        <v>45330</v>
      </c>
      <c r="J407" s="5" t="n">
        <v>1</v>
      </c>
      <c r="K407" s="9" t="n">
        <f aca="false">I407+J407</f>
        <v>45331</v>
      </c>
      <c r="L407" s="5" t="n">
        <v>48</v>
      </c>
      <c r="M407" s="10" t="n">
        <f aca="false">INDEX(Dim_Supplier!$F$2:$F$21,MATCH(B407,Dim_Supplier!$A$2:$A$21,0))</f>
        <v>340</v>
      </c>
      <c r="N407" s="11" t="n">
        <v>0.0342</v>
      </c>
      <c r="O407" s="10" t="n">
        <f aca="false">M407*(1+N407)</f>
        <v>351.628</v>
      </c>
      <c r="P407" s="10" t="n">
        <f aca="false">O407*L407</f>
        <v>16878.144</v>
      </c>
      <c r="Q407" s="5" t="s">
        <v>113</v>
      </c>
      <c r="R407" s="5" t="n">
        <v>0</v>
      </c>
      <c r="S407" s="5" t="n">
        <v>45</v>
      </c>
      <c r="T407" s="12" t="n">
        <f aca="false">(O407-M407)/M407</f>
        <v>0.0342</v>
      </c>
      <c r="U407" s="8" t="n">
        <f aca="false">IF(AND(K407&lt;=I407,R407=0),1,0)</f>
        <v>0</v>
      </c>
      <c r="V407" s="10" t="n">
        <f aca="false">IF(Q407="No",P407,0)</f>
        <v>0</v>
      </c>
    </row>
    <row r="408" customFormat="false" ht="15" hidden="false" customHeight="false" outlineLevel="0" collapsed="false">
      <c r="A408" s="5" t="s">
        <v>542</v>
      </c>
      <c r="B408" s="5" t="s">
        <v>60</v>
      </c>
      <c r="C408" s="7" t="n">
        <v>45815</v>
      </c>
      <c r="D408" s="8" t="str">
        <f aca="false">INDEX(Dim_Supplier!$C$2:$C$21,MATCH(B408,Dim_Supplier!$A$2:$A$21,0))</f>
        <v>Packaging</v>
      </c>
      <c r="E408" s="8" t="str">
        <f aca="false">INDEX(Dim_Supplier!$B$2:$B$21,MATCH(B408,Dim_Supplier!$A$2:$A$21,0))</f>
        <v>Maple Leaf Box &amp; Crate</v>
      </c>
      <c r="F408" s="5" t="s">
        <v>119</v>
      </c>
      <c r="G408" s="5" t="s">
        <v>129</v>
      </c>
      <c r="H408" s="8" t="n">
        <f aca="false">INDEX(Lookup_Tables!$B$2:$B$5,MATCH(D408,Lookup_Tables!$A$2:$A$5,0))</f>
        <v>14</v>
      </c>
      <c r="I408" s="9" t="n">
        <f aca="false">C408+H408</f>
        <v>45829</v>
      </c>
      <c r="J408" s="5" t="n">
        <v>1</v>
      </c>
      <c r="K408" s="9" t="n">
        <f aca="false">I408+J408</f>
        <v>45830</v>
      </c>
      <c r="L408" s="5" t="n">
        <v>3061</v>
      </c>
      <c r="M408" s="10" t="n">
        <f aca="false">INDEX(Dim_Supplier!$F$2:$F$21,MATCH(B408,Dim_Supplier!$A$2:$A$21,0))</f>
        <v>3.1</v>
      </c>
      <c r="N408" s="11" t="n">
        <v>0.0312</v>
      </c>
      <c r="O408" s="10" t="n">
        <f aca="false">M408*(1+N408)</f>
        <v>3.19672</v>
      </c>
      <c r="P408" s="10" t="n">
        <f aca="false">O408*L408</f>
        <v>9785.15992</v>
      </c>
      <c r="Q408" s="5" t="s">
        <v>133</v>
      </c>
      <c r="R408" s="5" t="n">
        <v>0</v>
      </c>
      <c r="S408" s="5" t="n">
        <v>45</v>
      </c>
      <c r="T408" s="12" t="n">
        <f aca="false">(O408-M408)/M408</f>
        <v>0.0311999999999998</v>
      </c>
      <c r="U408" s="8" t="n">
        <f aca="false">IF(AND(K408&lt;=I408,R408=0),1,0)</f>
        <v>0</v>
      </c>
      <c r="V408" s="10" t="n">
        <f aca="false">IF(Q408="No",P408,0)</f>
        <v>9785.15992</v>
      </c>
    </row>
    <row r="409" customFormat="false" ht="15" hidden="false" customHeight="false" outlineLevel="0" collapsed="false">
      <c r="A409" s="5" t="s">
        <v>543</v>
      </c>
      <c r="B409" s="5" t="s">
        <v>52</v>
      </c>
      <c r="C409" s="7" t="n">
        <v>46181</v>
      </c>
      <c r="D409" s="8" t="str">
        <f aca="false">INDEX(Dim_Supplier!$C$2:$C$21,MATCH(B409,Dim_Supplier!$A$2:$A$21,0))</f>
        <v>Raw Materials</v>
      </c>
      <c r="E409" s="8" t="str">
        <f aca="false">INDEX(Dim_Supplier!$B$2:$B$21,MATCH(B409,Dim_Supplier!$A$2:$A$21,0))</f>
        <v>Laurentian Metals Inc.</v>
      </c>
      <c r="F409" s="5" t="s">
        <v>142</v>
      </c>
      <c r="G409" s="5" t="s">
        <v>112</v>
      </c>
      <c r="H409" s="8" t="n">
        <f aca="false">INDEX(Lookup_Tables!$B$2:$B$5,MATCH(D409,Lookup_Tables!$A$2:$A$5,0))</f>
        <v>21</v>
      </c>
      <c r="I409" s="9" t="n">
        <f aca="false">C409+H409</f>
        <v>46202</v>
      </c>
      <c r="J409" s="5" t="n">
        <v>0</v>
      </c>
      <c r="K409" s="9" t="n">
        <f aca="false">I409+J409</f>
        <v>46202</v>
      </c>
      <c r="L409" s="5" t="n">
        <v>1426</v>
      </c>
      <c r="M409" s="10" t="n">
        <f aca="false">INDEX(Dim_Supplier!$F$2:$F$21,MATCH(B409,Dim_Supplier!$A$2:$A$21,0))</f>
        <v>61.2</v>
      </c>
      <c r="N409" s="11" t="n">
        <v>0.0035</v>
      </c>
      <c r="O409" s="10" t="n">
        <f aca="false">M409*(1+N409)</f>
        <v>61.4142</v>
      </c>
      <c r="P409" s="10" t="n">
        <f aca="false">O409*L409</f>
        <v>87576.6492</v>
      </c>
      <c r="Q409" s="5" t="s">
        <v>113</v>
      </c>
      <c r="R409" s="5" t="n">
        <v>0</v>
      </c>
      <c r="S409" s="5" t="n">
        <v>45</v>
      </c>
      <c r="T409" s="12" t="n">
        <f aca="false">(O409-M409)/M409</f>
        <v>0.00350000000000009</v>
      </c>
      <c r="U409" s="8" t="n">
        <f aca="false">IF(AND(K409&lt;=I409,R409=0),1,0)</f>
        <v>1</v>
      </c>
      <c r="V409" s="10" t="n">
        <f aca="false">IF(Q409="No",P409,0)</f>
        <v>0</v>
      </c>
    </row>
    <row r="410" customFormat="false" ht="15" hidden="false" customHeight="false" outlineLevel="0" collapsed="false">
      <c r="A410" s="5" t="s">
        <v>544</v>
      </c>
      <c r="B410" s="5" t="s">
        <v>52</v>
      </c>
      <c r="C410" s="7" t="n">
        <v>46034</v>
      </c>
      <c r="D410" s="8" t="str">
        <f aca="false">INDEX(Dim_Supplier!$C$2:$C$21,MATCH(B410,Dim_Supplier!$A$2:$A$21,0))</f>
        <v>Raw Materials</v>
      </c>
      <c r="E410" s="8" t="str">
        <f aca="false">INDEX(Dim_Supplier!$B$2:$B$21,MATCH(B410,Dim_Supplier!$A$2:$A$21,0))</f>
        <v>Laurentian Metals Inc.</v>
      </c>
      <c r="F410" s="5" t="s">
        <v>115</v>
      </c>
      <c r="G410" s="5" t="s">
        <v>120</v>
      </c>
      <c r="H410" s="8" t="n">
        <f aca="false">INDEX(Lookup_Tables!$B$2:$B$5,MATCH(D410,Lookup_Tables!$A$2:$A$5,0))</f>
        <v>21</v>
      </c>
      <c r="I410" s="9" t="n">
        <f aca="false">C410+H410</f>
        <v>46055</v>
      </c>
      <c r="J410" s="5" t="n">
        <v>-4</v>
      </c>
      <c r="K410" s="9" t="n">
        <f aca="false">I410+J410</f>
        <v>46051</v>
      </c>
      <c r="L410" s="5" t="n">
        <v>252</v>
      </c>
      <c r="M410" s="10" t="n">
        <f aca="false">INDEX(Dim_Supplier!$F$2:$F$21,MATCH(B410,Dim_Supplier!$A$2:$A$21,0))</f>
        <v>61.2</v>
      </c>
      <c r="N410" s="11" t="n">
        <v>0.0381</v>
      </c>
      <c r="O410" s="10" t="n">
        <f aca="false">M410*(1+N410)</f>
        <v>63.53172</v>
      </c>
      <c r="P410" s="10" t="n">
        <f aca="false">O410*L410</f>
        <v>16009.99344</v>
      </c>
      <c r="Q410" s="5" t="s">
        <v>113</v>
      </c>
      <c r="R410" s="5" t="n">
        <v>0</v>
      </c>
      <c r="S410" s="5" t="n">
        <v>45</v>
      </c>
      <c r="T410" s="12" t="n">
        <f aca="false">(O410-M410)/M410</f>
        <v>0.0381000000000001</v>
      </c>
      <c r="U410" s="8" t="n">
        <f aca="false">IF(AND(K410&lt;=I410,R410=0),1,0)</f>
        <v>1</v>
      </c>
      <c r="V410" s="10" t="n">
        <f aca="false">IF(Q410="No",P410,0)</f>
        <v>0</v>
      </c>
    </row>
    <row r="411" customFormat="false" ht="15" hidden="false" customHeight="false" outlineLevel="0" collapsed="false">
      <c r="A411" s="5" t="s">
        <v>545</v>
      </c>
      <c r="B411" s="5" t="s">
        <v>60</v>
      </c>
      <c r="C411" s="7" t="n">
        <v>45730</v>
      </c>
      <c r="D411" s="8" t="str">
        <f aca="false">INDEX(Dim_Supplier!$C$2:$C$21,MATCH(B411,Dim_Supplier!$A$2:$A$21,0))</f>
        <v>Packaging</v>
      </c>
      <c r="E411" s="8" t="str">
        <f aca="false">INDEX(Dim_Supplier!$B$2:$B$21,MATCH(B411,Dim_Supplier!$A$2:$A$21,0))</f>
        <v>Maple Leaf Box &amp; Crate</v>
      </c>
      <c r="F411" s="5" t="s">
        <v>119</v>
      </c>
      <c r="G411" s="5" t="s">
        <v>120</v>
      </c>
      <c r="H411" s="8" t="n">
        <f aca="false">INDEX(Lookup_Tables!$B$2:$B$5,MATCH(D411,Lookup_Tables!$A$2:$A$5,0))</f>
        <v>14</v>
      </c>
      <c r="I411" s="9" t="n">
        <f aca="false">C411+H411</f>
        <v>45744</v>
      </c>
      <c r="J411" s="5" t="n">
        <v>1</v>
      </c>
      <c r="K411" s="9" t="n">
        <f aca="false">I411+J411</f>
        <v>45745</v>
      </c>
      <c r="L411" s="5" t="n">
        <v>2589</v>
      </c>
      <c r="M411" s="10" t="n">
        <f aca="false">INDEX(Dim_Supplier!$F$2:$F$21,MATCH(B411,Dim_Supplier!$A$2:$A$21,0))</f>
        <v>3.1</v>
      </c>
      <c r="N411" s="11" t="n">
        <v>0.0593</v>
      </c>
      <c r="O411" s="10" t="n">
        <f aca="false">M411*(1+N411)</f>
        <v>3.28383</v>
      </c>
      <c r="P411" s="10" t="n">
        <f aca="false">O411*L411</f>
        <v>8501.83587</v>
      </c>
      <c r="Q411" s="5" t="s">
        <v>113</v>
      </c>
      <c r="R411" s="5" t="n">
        <v>0</v>
      </c>
      <c r="S411" s="5" t="n">
        <v>60</v>
      </c>
      <c r="T411" s="12" t="n">
        <f aca="false">(O411-M411)/M411</f>
        <v>0.0593</v>
      </c>
      <c r="U411" s="8" t="n">
        <f aca="false">IF(AND(K411&lt;=I411,R411=0),1,0)</f>
        <v>0</v>
      </c>
      <c r="V411" s="10" t="n">
        <f aca="false">IF(Q411="No",P411,0)</f>
        <v>0</v>
      </c>
    </row>
    <row r="412" customFormat="false" ht="15" hidden="false" customHeight="false" outlineLevel="0" collapsed="false">
      <c r="A412" s="5" t="s">
        <v>546</v>
      </c>
      <c r="B412" s="5" t="s">
        <v>41</v>
      </c>
      <c r="C412" s="7" t="n">
        <v>45622</v>
      </c>
      <c r="D412" s="8" t="str">
        <f aca="false">INDEX(Dim_Supplier!$C$2:$C$21,MATCH(B412,Dim_Supplier!$A$2:$A$21,0))</f>
        <v>Raw Materials</v>
      </c>
      <c r="E412" s="8" t="str">
        <f aca="false">INDEX(Dim_Supplier!$B$2:$B$21,MATCH(B412,Dim_Supplier!$A$2:$A$21,0))</f>
        <v>Ontario Steel Partners</v>
      </c>
      <c r="F412" s="5" t="s">
        <v>144</v>
      </c>
      <c r="G412" s="5" t="s">
        <v>129</v>
      </c>
      <c r="H412" s="8" t="n">
        <f aca="false">INDEX(Lookup_Tables!$B$2:$B$5,MATCH(D412,Lookup_Tables!$A$2:$A$5,0))</f>
        <v>21</v>
      </c>
      <c r="I412" s="9" t="n">
        <f aca="false">C412+H412</f>
        <v>45643</v>
      </c>
      <c r="J412" s="5" t="n">
        <v>-3</v>
      </c>
      <c r="K412" s="9" t="n">
        <f aca="false">I412+J412</f>
        <v>45640</v>
      </c>
      <c r="L412" s="5" t="n">
        <v>1826</v>
      </c>
      <c r="M412" s="10" t="n">
        <f aca="false">INDEX(Dim_Supplier!$F$2:$F$21,MATCH(B412,Dim_Supplier!$A$2:$A$21,0))</f>
        <v>58</v>
      </c>
      <c r="N412" s="11" t="n">
        <v>-0.0177</v>
      </c>
      <c r="O412" s="10" t="n">
        <f aca="false">M412*(1+N412)</f>
        <v>56.9734</v>
      </c>
      <c r="P412" s="10" t="n">
        <f aca="false">O412*L412</f>
        <v>104033.4284</v>
      </c>
      <c r="Q412" s="5" t="s">
        <v>113</v>
      </c>
      <c r="R412" s="5" t="n">
        <v>0</v>
      </c>
      <c r="S412" s="5" t="n">
        <v>45</v>
      </c>
      <c r="T412" s="12" t="n">
        <f aca="false">(O412-M412)/M412</f>
        <v>-0.0177</v>
      </c>
      <c r="U412" s="8" t="n">
        <f aca="false">IF(AND(K412&lt;=I412,R412=0),1,0)</f>
        <v>1</v>
      </c>
      <c r="V412" s="10" t="n">
        <f aca="false">IF(Q412="No",P412,0)</f>
        <v>0</v>
      </c>
    </row>
    <row r="413" customFormat="false" ht="15" hidden="false" customHeight="false" outlineLevel="0" collapsed="false">
      <c r="A413" s="5" t="s">
        <v>547</v>
      </c>
      <c r="B413" s="5" t="s">
        <v>57</v>
      </c>
      <c r="C413" s="7" t="n">
        <v>46094</v>
      </c>
      <c r="D413" s="8" t="str">
        <f aca="false">INDEX(Dim_Supplier!$C$2:$C$21,MATCH(B413,Dim_Supplier!$A$2:$A$21,0))</f>
        <v>Packaging</v>
      </c>
      <c r="E413" s="8" t="str">
        <f aca="false">INDEX(Dim_Supplier!$B$2:$B$21,MATCH(B413,Dim_Supplier!$A$2:$A$21,0))</f>
        <v>Great Lakes Packaging Co.</v>
      </c>
      <c r="F413" s="5" t="s">
        <v>119</v>
      </c>
      <c r="G413" s="5" t="s">
        <v>112</v>
      </c>
      <c r="H413" s="8" t="n">
        <f aca="false">INDEX(Lookup_Tables!$B$2:$B$5,MATCH(D413,Lookup_Tables!$A$2:$A$5,0))</f>
        <v>14</v>
      </c>
      <c r="I413" s="9" t="n">
        <f aca="false">C413+H413</f>
        <v>46108</v>
      </c>
      <c r="J413" s="5" t="n">
        <v>-1</v>
      </c>
      <c r="K413" s="9" t="n">
        <f aca="false">I413+J413</f>
        <v>46107</v>
      </c>
      <c r="L413" s="5" t="n">
        <v>4638</v>
      </c>
      <c r="M413" s="10" t="n">
        <f aca="false">INDEX(Dim_Supplier!$F$2:$F$21,MATCH(B413,Dim_Supplier!$A$2:$A$21,0))</f>
        <v>4.35</v>
      </c>
      <c r="N413" s="11" t="n">
        <v>0.0035</v>
      </c>
      <c r="O413" s="10" t="n">
        <f aca="false">M413*(1+N413)</f>
        <v>4.365225</v>
      </c>
      <c r="P413" s="10" t="n">
        <f aca="false">O413*L413</f>
        <v>20245.91355</v>
      </c>
      <c r="Q413" s="5" t="s">
        <v>113</v>
      </c>
      <c r="R413" s="5" t="n">
        <v>0</v>
      </c>
      <c r="S413" s="5" t="n">
        <v>30</v>
      </c>
      <c r="T413" s="12" t="n">
        <f aca="false">(O413-M413)/M413</f>
        <v>0.00350000000000001</v>
      </c>
      <c r="U413" s="8" t="n">
        <f aca="false">IF(AND(K413&lt;=I413,R413=0),1,0)</f>
        <v>1</v>
      </c>
      <c r="V413" s="10" t="n">
        <f aca="false">IF(Q413="No",P413,0)</f>
        <v>0</v>
      </c>
    </row>
    <row r="414" customFormat="false" ht="15" hidden="false" customHeight="false" outlineLevel="0" collapsed="false">
      <c r="A414" s="5" t="s">
        <v>548</v>
      </c>
      <c r="B414" s="5" t="s">
        <v>57</v>
      </c>
      <c r="C414" s="7" t="n">
        <v>46196</v>
      </c>
      <c r="D414" s="8" t="str">
        <f aca="false">INDEX(Dim_Supplier!$C$2:$C$21,MATCH(B414,Dim_Supplier!$A$2:$A$21,0))</f>
        <v>Packaging</v>
      </c>
      <c r="E414" s="8" t="str">
        <f aca="false">INDEX(Dim_Supplier!$B$2:$B$21,MATCH(B414,Dim_Supplier!$A$2:$A$21,0))</f>
        <v>Great Lakes Packaging Co.</v>
      </c>
      <c r="F414" s="5" t="s">
        <v>158</v>
      </c>
      <c r="G414" s="5" t="s">
        <v>120</v>
      </c>
      <c r="H414" s="8" t="n">
        <f aca="false">INDEX(Lookup_Tables!$B$2:$B$5,MATCH(D414,Lookup_Tables!$A$2:$A$5,0))</f>
        <v>14</v>
      </c>
      <c r="I414" s="9" t="n">
        <f aca="false">C414+H414</f>
        <v>46210</v>
      </c>
      <c r="J414" s="5" t="n">
        <v>-4</v>
      </c>
      <c r="K414" s="9" t="n">
        <f aca="false">I414+J414</f>
        <v>46206</v>
      </c>
      <c r="L414" s="5" t="n">
        <v>4845</v>
      </c>
      <c r="M414" s="10" t="n">
        <f aca="false">INDEX(Dim_Supplier!$F$2:$F$21,MATCH(B414,Dim_Supplier!$A$2:$A$21,0))</f>
        <v>4.35</v>
      </c>
      <c r="N414" s="11" t="n">
        <v>0.0246</v>
      </c>
      <c r="O414" s="10" t="n">
        <f aca="false">M414*(1+N414)</f>
        <v>4.45701</v>
      </c>
      <c r="P414" s="10" t="n">
        <f aca="false">O414*L414</f>
        <v>21594.21345</v>
      </c>
      <c r="Q414" s="5" t="s">
        <v>113</v>
      </c>
      <c r="R414" s="5" t="n">
        <v>0</v>
      </c>
      <c r="S414" s="5" t="n">
        <v>45</v>
      </c>
      <c r="T414" s="12" t="n">
        <f aca="false">(O414-M414)/M414</f>
        <v>0.0246</v>
      </c>
      <c r="U414" s="8" t="n">
        <f aca="false">IF(AND(K414&lt;=I414,R414=0),1,0)</f>
        <v>1</v>
      </c>
      <c r="V414" s="10" t="n">
        <f aca="false">IF(Q414="No",P414,0)</f>
        <v>0</v>
      </c>
    </row>
    <row r="415" customFormat="false" ht="15" hidden="false" customHeight="false" outlineLevel="0" collapsed="false">
      <c r="A415" s="5" t="s">
        <v>549</v>
      </c>
      <c r="B415" s="5" t="s">
        <v>73</v>
      </c>
      <c r="C415" s="7" t="n">
        <v>45409</v>
      </c>
      <c r="D415" s="8" t="str">
        <f aca="false">INDEX(Dim_Supplier!$C$2:$C$21,MATCH(B415,Dim_Supplier!$A$2:$A$21,0))</f>
        <v>MRO</v>
      </c>
      <c r="E415" s="8" t="str">
        <f aca="false">INDEX(Dim_Supplier!$B$2:$B$21,MATCH(B415,Dim_Supplier!$A$2:$A$21,0))</f>
        <v>Frontier MRO Solutions</v>
      </c>
      <c r="F415" s="5" t="s">
        <v>111</v>
      </c>
      <c r="G415" s="5" t="s">
        <v>125</v>
      </c>
      <c r="H415" s="8" t="n">
        <f aca="false">INDEX(Lookup_Tables!$B$2:$B$5,MATCH(D415,Lookup_Tables!$A$2:$A$5,0))</f>
        <v>10</v>
      </c>
      <c r="I415" s="9" t="n">
        <f aca="false">C415+H415</f>
        <v>45419</v>
      </c>
      <c r="J415" s="5" t="n">
        <v>5</v>
      </c>
      <c r="K415" s="9" t="n">
        <f aca="false">I415+J415</f>
        <v>45424</v>
      </c>
      <c r="L415" s="5" t="n">
        <v>164</v>
      </c>
      <c r="M415" s="10" t="n">
        <f aca="false">INDEX(Dim_Supplier!$F$2:$F$21,MATCH(B415,Dim_Supplier!$A$2:$A$21,0))</f>
        <v>15.9</v>
      </c>
      <c r="N415" s="11" t="n">
        <v>0.1786</v>
      </c>
      <c r="O415" s="10" t="n">
        <f aca="false">M415*(1+N415)</f>
        <v>18.73974</v>
      </c>
      <c r="P415" s="10" t="n">
        <f aca="false">O415*L415</f>
        <v>3073.31736</v>
      </c>
      <c r="Q415" s="5" t="s">
        <v>113</v>
      </c>
      <c r="R415" s="5" t="n">
        <v>6</v>
      </c>
      <c r="S415" s="5" t="n">
        <v>30</v>
      </c>
      <c r="T415" s="12" t="n">
        <f aca="false">(O415-M415)/M415</f>
        <v>0.1786</v>
      </c>
      <c r="U415" s="8" t="n">
        <f aca="false">IF(AND(K415&lt;=I415,R415=0),1,0)</f>
        <v>0</v>
      </c>
      <c r="V415" s="10" t="n">
        <f aca="false">IF(Q415="No",P415,0)</f>
        <v>0</v>
      </c>
    </row>
    <row r="416" customFormat="false" ht="15" hidden="false" customHeight="false" outlineLevel="0" collapsed="false">
      <c r="A416" s="5" t="s">
        <v>550</v>
      </c>
      <c r="B416" s="5" t="s">
        <v>79</v>
      </c>
      <c r="C416" s="7" t="n">
        <v>45408</v>
      </c>
      <c r="D416" s="8" t="str">
        <f aca="false">INDEX(Dim_Supplier!$C$2:$C$21,MATCH(B416,Dim_Supplier!$A$2:$A$21,0))</f>
        <v>Logistics</v>
      </c>
      <c r="E416" s="8" t="str">
        <f aca="false">INDEX(Dim_Supplier!$B$2:$B$21,MATCH(B416,Dim_Supplier!$A$2:$A$21,0))</f>
        <v>Niagara Freight Solutions</v>
      </c>
      <c r="F416" s="5" t="s">
        <v>237</v>
      </c>
      <c r="G416" s="5" t="s">
        <v>120</v>
      </c>
      <c r="H416" s="8" t="n">
        <f aca="false">INDEX(Lookup_Tables!$B$2:$B$5,MATCH(D416,Lookup_Tables!$A$2:$A$5,0))</f>
        <v>5</v>
      </c>
      <c r="I416" s="9" t="n">
        <f aca="false">C416+H416</f>
        <v>45413</v>
      </c>
      <c r="J416" s="5" t="n">
        <v>-4</v>
      </c>
      <c r="K416" s="9" t="n">
        <f aca="false">I416+J416</f>
        <v>45409</v>
      </c>
      <c r="L416" s="5" t="n">
        <v>34</v>
      </c>
      <c r="M416" s="10" t="n">
        <f aca="false">INDEX(Dim_Supplier!$F$2:$F$21,MATCH(B416,Dim_Supplier!$A$2:$A$21,0))</f>
        <v>340</v>
      </c>
      <c r="N416" s="11" t="n">
        <v>0.0059</v>
      </c>
      <c r="O416" s="10" t="n">
        <f aca="false">M416*(1+N416)</f>
        <v>342.006</v>
      </c>
      <c r="P416" s="10" t="n">
        <f aca="false">O416*L416</f>
        <v>11628.204</v>
      </c>
      <c r="Q416" s="5" t="s">
        <v>113</v>
      </c>
      <c r="R416" s="5" t="n">
        <v>0</v>
      </c>
      <c r="S416" s="5" t="n">
        <v>60</v>
      </c>
      <c r="T416" s="12" t="n">
        <f aca="false">(O416-M416)/M416</f>
        <v>0.00590000000000008</v>
      </c>
      <c r="U416" s="8" t="n">
        <f aca="false">IF(AND(K416&lt;=I416,R416=0),1,0)</f>
        <v>1</v>
      </c>
      <c r="V416" s="10" t="n">
        <f aca="false">IF(Q416="No",P416,0)</f>
        <v>0</v>
      </c>
    </row>
    <row r="417" customFormat="false" ht="15" hidden="false" customHeight="false" outlineLevel="0" collapsed="false">
      <c r="A417" s="5" t="s">
        <v>551</v>
      </c>
      <c r="B417" s="5" t="s">
        <v>62</v>
      </c>
      <c r="C417" s="7" t="n">
        <v>45336</v>
      </c>
      <c r="D417" s="8" t="str">
        <f aca="false">INDEX(Dim_Supplier!$C$2:$C$21,MATCH(B417,Dim_Supplier!$A$2:$A$21,0))</f>
        <v>Packaging</v>
      </c>
      <c r="E417" s="8" t="str">
        <f aca="false">INDEX(Dim_Supplier!$B$2:$B$21,MATCH(B417,Dim_Supplier!$A$2:$A$21,0))</f>
        <v>Trillium Packaging Solutions</v>
      </c>
      <c r="F417" s="5" t="s">
        <v>119</v>
      </c>
      <c r="G417" s="5" t="s">
        <v>112</v>
      </c>
      <c r="H417" s="8" t="n">
        <f aca="false">INDEX(Lookup_Tables!$B$2:$B$5,MATCH(D417,Lookup_Tables!$A$2:$A$5,0))</f>
        <v>14</v>
      </c>
      <c r="I417" s="9" t="n">
        <f aca="false">C417+H417</f>
        <v>45350</v>
      </c>
      <c r="J417" s="5" t="n">
        <v>-3</v>
      </c>
      <c r="K417" s="9" t="n">
        <f aca="false">I417+J417</f>
        <v>45347</v>
      </c>
      <c r="L417" s="5" t="n">
        <v>1286</v>
      </c>
      <c r="M417" s="10" t="n">
        <f aca="false">INDEX(Dim_Supplier!$F$2:$F$21,MATCH(B417,Dim_Supplier!$A$2:$A$21,0))</f>
        <v>5.6</v>
      </c>
      <c r="N417" s="11" t="n">
        <v>0.0275</v>
      </c>
      <c r="O417" s="10" t="n">
        <f aca="false">M417*(1+N417)</f>
        <v>5.754</v>
      </c>
      <c r="P417" s="10" t="n">
        <f aca="false">O417*L417</f>
        <v>7399.644</v>
      </c>
      <c r="Q417" s="5" t="s">
        <v>113</v>
      </c>
      <c r="R417" s="5" t="n">
        <v>0</v>
      </c>
      <c r="S417" s="5" t="n">
        <v>45</v>
      </c>
      <c r="T417" s="12" t="n">
        <f aca="false">(O417-M417)/M417</f>
        <v>0.0275000000000001</v>
      </c>
      <c r="U417" s="8" t="n">
        <f aca="false">IF(AND(K417&lt;=I417,R417=0),1,0)</f>
        <v>1</v>
      </c>
      <c r="V417" s="10" t="n">
        <f aca="false">IF(Q417="No",P417,0)</f>
        <v>0</v>
      </c>
    </row>
    <row r="418" customFormat="false" ht="15" hidden="false" customHeight="false" outlineLevel="0" collapsed="false">
      <c r="A418" s="5" t="s">
        <v>552</v>
      </c>
      <c r="B418" s="5" t="s">
        <v>41</v>
      </c>
      <c r="C418" s="7" t="n">
        <v>45359</v>
      </c>
      <c r="D418" s="8" t="str">
        <f aca="false">INDEX(Dim_Supplier!$C$2:$C$21,MATCH(B418,Dim_Supplier!$A$2:$A$21,0))</f>
        <v>Raw Materials</v>
      </c>
      <c r="E418" s="8" t="str">
        <f aca="false">INDEX(Dim_Supplier!$B$2:$B$21,MATCH(B418,Dim_Supplier!$A$2:$A$21,0))</f>
        <v>Ontario Steel Partners</v>
      </c>
      <c r="F418" s="5" t="s">
        <v>115</v>
      </c>
      <c r="G418" s="5" t="s">
        <v>112</v>
      </c>
      <c r="H418" s="8" t="n">
        <f aca="false">INDEX(Lookup_Tables!$B$2:$B$5,MATCH(D418,Lookup_Tables!$A$2:$A$5,0))</f>
        <v>21</v>
      </c>
      <c r="I418" s="9" t="n">
        <f aca="false">C418+H418</f>
        <v>45380</v>
      </c>
      <c r="J418" s="5" t="n">
        <v>-2</v>
      </c>
      <c r="K418" s="9" t="n">
        <f aca="false">I418+J418</f>
        <v>45378</v>
      </c>
      <c r="L418" s="5" t="n">
        <v>312</v>
      </c>
      <c r="M418" s="10" t="n">
        <f aca="false">INDEX(Dim_Supplier!$F$2:$F$21,MATCH(B418,Dim_Supplier!$A$2:$A$21,0))</f>
        <v>58</v>
      </c>
      <c r="N418" s="11" t="n">
        <v>-0.0058</v>
      </c>
      <c r="O418" s="10" t="n">
        <f aca="false">M418*(1+N418)</f>
        <v>57.6636</v>
      </c>
      <c r="P418" s="10" t="n">
        <f aca="false">O418*L418</f>
        <v>17991.0432</v>
      </c>
      <c r="Q418" s="5" t="s">
        <v>113</v>
      </c>
      <c r="R418" s="5" t="n">
        <v>0</v>
      </c>
      <c r="S418" s="5" t="n">
        <v>60</v>
      </c>
      <c r="T418" s="12" t="n">
        <f aca="false">(O418-M418)/M418</f>
        <v>-0.00580000000000008</v>
      </c>
      <c r="U418" s="8" t="n">
        <f aca="false">IF(AND(K418&lt;=I418,R418=0),1,0)</f>
        <v>1</v>
      </c>
      <c r="V418" s="10" t="n">
        <f aca="false">IF(Q418="No",P418,0)</f>
        <v>0</v>
      </c>
    </row>
    <row r="419" customFormat="false" ht="15" hidden="false" customHeight="false" outlineLevel="0" collapsed="false">
      <c r="A419" s="5" t="s">
        <v>553</v>
      </c>
      <c r="B419" s="5" t="s">
        <v>77</v>
      </c>
      <c r="C419" s="7" t="n">
        <v>45737</v>
      </c>
      <c r="D419" s="8" t="str">
        <f aca="false">INDEX(Dim_Supplier!$C$2:$C$21,MATCH(B419,Dim_Supplier!$A$2:$A$21,0))</f>
        <v>MRO</v>
      </c>
      <c r="E419" s="8" t="str">
        <f aca="false">INDEX(Dim_Supplier!$B$2:$B$21,MATCH(B419,Dim_Supplier!$A$2:$A$21,0))</f>
        <v>Apex Industrial Supply</v>
      </c>
      <c r="F419" s="5" t="s">
        <v>127</v>
      </c>
      <c r="G419" s="5" t="s">
        <v>112</v>
      </c>
      <c r="H419" s="8" t="n">
        <f aca="false">INDEX(Lookup_Tables!$B$2:$B$5,MATCH(D419,Lookup_Tables!$A$2:$A$5,0))</f>
        <v>10</v>
      </c>
      <c r="I419" s="9" t="n">
        <f aca="false">C419+H419</f>
        <v>45747</v>
      </c>
      <c r="J419" s="5" t="n">
        <v>2</v>
      </c>
      <c r="K419" s="9" t="n">
        <f aca="false">I419+J419</f>
        <v>45749</v>
      </c>
      <c r="L419" s="5" t="n">
        <v>14</v>
      </c>
      <c r="M419" s="10" t="n">
        <f aca="false">INDEX(Dim_Supplier!$F$2:$F$21,MATCH(B419,Dim_Supplier!$A$2:$A$21,0))</f>
        <v>24.6</v>
      </c>
      <c r="N419" s="11" t="n">
        <v>0.0547</v>
      </c>
      <c r="O419" s="10" t="n">
        <f aca="false">M419*(1+N419)</f>
        <v>25.94562</v>
      </c>
      <c r="P419" s="10" t="n">
        <f aca="false">O419*L419</f>
        <v>363.23868</v>
      </c>
      <c r="Q419" s="5" t="s">
        <v>113</v>
      </c>
      <c r="R419" s="5" t="n">
        <v>0</v>
      </c>
      <c r="S419" s="5" t="n">
        <v>45</v>
      </c>
      <c r="T419" s="12" t="n">
        <f aca="false">(O419-M419)/M419</f>
        <v>0.0547</v>
      </c>
      <c r="U419" s="8" t="n">
        <f aca="false">IF(AND(K419&lt;=I419,R419=0),1,0)</f>
        <v>0</v>
      </c>
      <c r="V419" s="10" t="n">
        <f aca="false">IF(Q419="No",P419,0)</f>
        <v>0</v>
      </c>
    </row>
    <row r="420" customFormat="false" ht="15" hidden="false" customHeight="false" outlineLevel="0" collapsed="false">
      <c r="A420" s="5" t="s">
        <v>554</v>
      </c>
      <c r="B420" s="5" t="s">
        <v>68</v>
      </c>
      <c r="C420" s="7" t="n">
        <v>45880</v>
      </c>
      <c r="D420" s="8" t="str">
        <f aca="false">INDEX(Dim_Supplier!$C$2:$C$21,MATCH(B420,Dim_Supplier!$A$2:$A$21,0))</f>
        <v>MRO</v>
      </c>
      <c r="E420" s="8" t="str">
        <f aca="false">INDEX(Dim_Supplier!$B$2:$B$21,MATCH(B420,Dim_Supplier!$A$2:$A$21,0))</f>
        <v>Precision Tool &amp; Supply</v>
      </c>
      <c r="F420" s="5" t="s">
        <v>164</v>
      </c>
      <c r="G420" s="5" t="s">
        <v>120</v>
      </c>
      <c r="H420" s="8" t="n">
        <f aca="false">INDEX(Lookup_Tables!$B$2:$B$5,MATCH(D420,Lookup_Tables!$A$2:$A$5,0))</f>
        <v>10</v>
      </c>
      <c r="I420" s="9" t="n">
        <f aca="false">C420+H420</f>
        <v>45890</v>
      </c>
      <c r="J420" s="5" t="n">
        <v>-4</v>
      </c>
      <c r="K420" s="9" t="n">
        <f aca="false">I420+J420</f>
        <v>45886</v>
      </c>
      <c r="L420" s="5" t="n">
        <v>108</v>
      </c>
      <c r="M420" s="10" t="n">
        <f aca="false">INDEX(Dim_Supplier!$F$2:$F$21,MATCH(B420,Dim_Supplier!$A$2:$A$21,0))</f>
        <v>22.4</v>
      </c>
      <c r="N420" s="11" t="n">
        <v>0.022</v>
      </c>
      <c r="O420" s="10" t="n">
        <f aca="false">M420*(1+N420)</f>
        <v>22.8928</v>
      </c>
      <c r="P420" s="10" t="n">
        <f aca="false">O420*L420</f>
        <v>2472.4224</v>
      </c>
      <c r="Q420" s="5" t="s">
        <v>113</v>
      </c>
      <c r="R420" s="5" t="n">
        <v>0</v>
      </c>
      <c r="S420" s="5" t="n">
        <v>45</v>
      </c>
      <c r="T420" s="12" t="n">
        <f aca="false">(O420-M420)/M420</f>
        <v>0.022</v>
      </c>
      <c r="U420" s="8" t="n">
        <f aca="false">IF(AND(K420&lt;=I420,R420=0),1,0)</f>
        <v>1</v>
      </c>
      <c r="V420" s="10" t="n">
        <f aca="false">IF(Q420="No",P420,0)</f>
        <v>0</v>
      </c>
    </row>
    <row r="421" customFormat="false" ht="15" hidden="false" customHeight="false" outlineLevel="0" collapsed="false">
      <c r="A421" s="5" t="s">
        <v>555</v>
      </c>
      <c r="B421" s="5" t="s">
        <v>68</v>
      </c>
      <c r="C421" s="7" t="n">
        <v>45948</v>
      </c>
      <c r="D421" s="8" t="str">
        <f aca="false">INDEX(Dim_Supplier!$C$2:$C$21,MATCH(B421,Dim_Supplier!$A$2:$A$21,0))</f>
        <v>MRO</v>
      </c>
      <c r="E421" s="8" t="str">
        <f aca="false">INDEX(Dim_Supplier!$B$2:$B$21,MATCH(B421,Dim_Supplier!$A$2:$A$21,0))</f>
        <v>Precision Tool &amp; Supply</v>
      </c>
      <c r="F421" s="5" t="s">
        <v>132</v>
      </c>
      <c r="G421" s="5" t="s">
        <v>129</v>
      </c>
      <c r="H421" s="8" t="n">
        <f aca="false">INDEX(Lookup_Tables!$B$2:$B$5,MATCH(D421,Lookup_Tables!$A$2:$A$5,0))</f>
        <v>10</v>
      </c>
      <c r="I421" s="9" t="n">
        <f aca="false">C421+H421</f>
        <v>45958</v>
      </c>
      <c r="J421" s="5" t="n">
        <v>-3</v>
      </c>
      <c r="K421" s="9" t="n">
        <f aca="false">I421+J421</f>
        <v>45955</v>
      </c>
      <c r="L421" s="5" t="n">
        <v>184</v>
      </c>
      <c r="M421" s="10" t="n">
        <f aca="false">INDEX(Dim_Supplier!$F$2:$F$21,MATCH(B421,Dim_Supplier!$A$2:$A$21,0))</f>
        <v>22.4</v>
      </c>
      <c r="N421" s="11" t="n">
        <v>-0.0165</v>
      </c>
      <c r="O421" s="10" t="n">
        <f aca="false">M421*(1+N421)</f>
        <v>22.0304</v>
      </c>
      <c r="P421" s="10" t="n">
        <f aca="false">O421*L421</f>
        <v>4053.5936</v>
      </c>
      <c r="Q421" s="5" t="s">
        <v>113</v>
      </c>
      <c r="R421" s="5" t="n">
        <v>0</v>
      </c>
      <c r="S421" s="5" t="n">
        <v>45</v>
      </c>
      <c r="T421" s="12" t="n">
        <f aca="false">(O421-M421)/M421</f>
        <v>-0.0164999999999999</v>
      </c>
      <c r="U421" s="8" t="n">
        <f aca="false">IF(AND(K421&lt;=I421,R421=0),1,0)</f>
        <v>1</v>
      </c>
      <c r="V421" s="10" t="n">
        <f aca="false">IF(Q421="No",P421,0)</f>
        <v>0</v>
      </c>
    </row>
    <row r="422" customFormat="false" ht="15" hidden="false" customHeight="false" outlineLevel="0" collapsed="false">
      <c r="A422" s="5" t="s">
        <v>556</v>
      </c>
      <c r="B422" s="5" t="s">
        <v>54</v>
      </c>
      <c r="C422" s="7" t="n">
        <v>45994</v>
      </c>
      <c r="D422" s="8" t="str">
        <f aca="false">INDEX(Dim_Supplier!$C$2:$C$21,MATCH(B422,Dim_Supplier!$A$2:$A$21,0))</f>
        <v>Raw Materials</v>
      </c>
      <c r="E422" s="8" t="str">
        <f aca="false">INDEX(Dim_Supplier!$B$2:$B$21,MATCH(B422,Dim_Supplier!$A$2:$A$21,0))</f>
        <v>Northern Resin Solutions</v>
      </c>
      <c r="F422" s="5" t="s">
        <v>139</v>
      </c>
      <c r="G422" s="5" t="s">
        <v>129</v>
      </c>
      <c r="H422" s="8" t="n">
        <f aca="false">INDEX(Lookup_Tables!$B$2:$B$5,MATCH(D422,Lookup_Tables!$A$2:$A$5,0))</f>
        <v>21</v>
      </c>
      <c r="I422" s="9" t="n">
        <f aca="false">C422+H422</f>
        <v>46015</v>
      </c>
      <c r="J422" s="5" t="n">
        <v>-2</v>
      </c>
      <c r="K422" s="9" t="n">
        <f aca="false">I422+J422</f>
        <v>46013</v>
      </c>
      <c r="L422" s="5" t="n">
        <v>881</v>
      </c>
      <c r="M422" s="10" t="n">
        <f aca="false">INDEX(Dim_Supplier!$F$2:$F$21,MATCH(B422,Dim_Supplier!$A$2:$A$21,0))</f>
        <v>38.9</v>
      </c>
      <c r="N422" s="11" t="n">
        <v>0.0948</v>
      </c>
      <c r="O422" s="10" t="n">
        <f aca="false">M422*(1+N422)</f>
        <v>42.58772</v>
      </c>
      <c r="P422" s="10" t="n">
        <f aca="false">O422*L422</f>
        <v>37519.78132</v>
      </c>
      <c r="Q422" s="5" t="s">
        <v>113</v>
      </c>
      <c r="R422" s="5" t="n">
        <v>0</v>
      </c>
      <c r="S422" s="5" t="n">
        <v>30</v>
      </c>
      <c r="T422" s="12" t="n">
        <f aca="false">(O422-M422)/M422</f>
        <v>0.0948</v>
      </c>
      <c r="U422" s="8" t="n">
        <f aca="false">IF(AND(K422&lt;=I422,R422=0),1,0)</f>
        <v>1</v>
      </c>
      <c r="V422" s="10" t="n">
        <f aca="false">IF(Q422="No",P422,0)</f>
        <v>0</v>
      </c>
    </row>
    <row r="423" customFormat="false" ht="15" hidden="false" customHeight="false" outlineLevel="0" collapsed="false">
      <c r="A423" s="5" t="s">
        <v>557</v>
      </c>
      <c r="B423" s="5" t="s">
        <v>68</v>
      </c>
      <c r="C423" s="7" t="n">
        <v>45431</v>
      </c>
      <c r="D423" s="8" t="str">
        <f aca="false">INDEX(Dim_Supplier!$C$2:$C$21,MATCH(B423,Dim_Supplier!$A$2:$A$21,0))</f>
        <v>MRO</v>
      </c>
      <c r="E423" s="8" t="str">
        <f aca="false">INDEX(Dim_Supplier!$B$2:$B$21,MATCH(B423,Dim_Supplier!$A$2:$A$21,0))</f>
        <v>Precision Tool &amp; Supply</v>
      </c>
      <c r="F423" s="5" t="s">
        <v>179</v>
      </c>
      <c r="G423" s="5" t="s">
        <v>120</v>
      </c>
      <c r="H423" s="8" t="n">
        <f aca="false">INDEX(Lookup_Tables!$B$2:$B$5,MATCH(D423,Lookup_Tables!$A$2:$A$5,0))</f>
        <v>10</v>
      </c>
      <c r="I423" s="9" t="n">
        <f aca="false">C423+H423</f>
        <v>45441</v>
      </c>
      <c r="J423" s="5" t="n">
        <v>-2</v>
      </c>
      <c r="K423" s="9" t="n">
        <f aca="false">I423+J423</f>
        <v>45439</v>
      </c>
      <c r="L423" s="5" t="n">
        <v>178</v>
      </c>
      <c r="M423" s="10" t="n">
        <f aca="false">INDEX(Dim_Supplier!$F$2:$F$21,MATCH(B423,Dim_Supplier!$A$2:$A$21,0))</f>
        <v>22.4</v>
      </c>
      <c r="N423" s="11" t="n">
        <v>0.0072</v>
      </c>
      <c r="O423" s="10" t="n">
        <f aca="false">M423*(1+N423)</f>
        <v>22.56128</v>
      </c>
      <c r="P423" s="10" t="n">
        <f aca="false">O423*L423</f>
        <v>4015.90784</v>
      </c>
      <c r="Q423" s="5" t="s">
        <v>113</v>
      </c>
      <c r="R423" s="5" t="n">
        <v>0</v>
      </c>
      <c r="S423" s="5" t="n">
        <v>60</v>
      </c>
      <c r="T423" s="12" t="n">
        <f aca="false">(O423-M423)/M423</f>
        <v>0.00720000000000006</v>
      </c>
      <c r="U423" s="8" t="n">
        <f aca="false">IF(AND(K423&lt;=I423,R423=0),1,0)</f>
        <v>1</v>
      </c>
      <c r="V423" s="10" t="n">
        <f aca="false">IF(Q423="No",P423,0)</f>
        <v>0</v>
      </c>
    </row>
    <row r="424" customFormat="false" ht="15" hidden="false" customHeight="false" outlineLevel="0" collapsed="false">
      <c r="A424" s="5" t="s">
        <v>558</v>
      </c>
      <c r="B424" s="5" t="s">
        <v>73</v>
      </c>
      <c r="C424" s="7" t="n">
        <v>45303</v>
      </c>
      <c r="D424" s="8" t="str">
        <f aca="false">INDEX(Dim_Supplier!$C$2:$C$21,MATCH(B424,Dim_Supplier!$A$2:$A$21,0))</f>
        <v>MRO</v>
      </c>
      <c r="E424" s="8" t="str">
        <f aca="false">INDEX(Dim_Supplier!$B$2:$B$21,MATCH(B424,Dim_Supplier!$A$2:$A$21,0))</f>
        <v>Frontier MRO Solutions</v>
      </c>
      <c r="F424" s="5" t="s">
        <v>132</v>
      </c>
      <c r="G424" s="5" t="s">
        <v>112</v>
      </c>
      <c r="H424" s="8" t="n">
        <f aca="false">INDEX(Lookup_Tables!$B$2:$B$5,MATCH(D424,Lookup_Tables!$A$2:$A$5,0))</f>
        <v>10</v>
      </c>
      <c r="I424" s="9" t="n">
        <f aca="false">C424+H424</f>
        <v>45313</v>
      </c>
      <c r="J424" s="5" t="n">
        <v>5</v>
      </c>
      <c r="K424" s="9" t="n">
        <f aca="false">I424+J424</f>
        <v>45318</v>
      </c>
      <c r="L424" s="5" t="n">
        <v>157</v>
      </c>
      <c r="M424" s="10" t="n">
        <f aca="false">INDEX(Dim_Supplier!$F$2:$F$21,MATCH(B424,Dim_Supplier!$A$2:$A$21,0))</f>
        <v>15.9</v>
      </c>
      <c r="N424" s="11" t="n">
        <v>0.1514</v>
      </c>
      <c r="O424" s="10" t="n">
        <f aca="false">M424*(1+N424)</f>
        <v>18.30726</v>
      </c>
      <c r="P424" s="10" t="n">
        <f aca="false">O424*L424</f>
        <v>2874.23982</v>
      </c>
      <c r="Q424" s="5" t="s">
        <v>113</v>
      </c>
      <c r="R424" s="5" t="n">
        <v>0</v>
      </c>
      <c r="S424" s="5" t="n">
        <v>30</v>
      </c>
      <c r="T424" s="12" t="n">
        <f aca="false">(O424-M424)/M424</f>
        <v>0.1514</v>
      </c>
      <c r="U424" s="8" t="n">
        <f aca="false">IF(AND(K424&lt;=I424,R424=0),1,0)</f>
        <v>0</v>
      </c>
      <c r="V424" s="10" t="n">
        <f aca="false">IF(Q424="No",P424,0)</f>
        <v>0</v>
      </c>
    </row>
    <row r="425" customFormat="false" ht="15" hidden="false" customHeight="false" outlineLevel="0" collapsed="false">
      <c r="A425" s="5" t="s">
        <v>559</v>
      </c>
      <c r="B425" s="5" t="s">
        <v>52</v>
      </c>
      <c r="C425" s="7" t="n">
        <v>46051</v>
      </c>
      <c r="D425" s="8" t="str">
        <f aca="false">INDEX(Dim_Supplier!$C$2:$C$21,MATCH(B425,Dim_Supplier!$A$2:$A$21,0))</f>
        <v>Raw Materials</v>
      </c>
      <c r="E425" s="8" t="str">
        <f aca="false">INDEX(Dim_Supplier!$B$2:$B$21,MATCH(B425,Dim_Supplier!$A$2:$A$21,0))</f>
        <v>Laurentian Metals Inc.</v>
      </c>
      <c r="F425" s="5" t="s">
        <v>139</v>
      </c>
      <c r="G425" s="5" t="s">
        <v>112</v>
      </c>
      <c r="H425" s="8" t="n">
        <f aca="false">INDEX(Lookup_Tables!$B$2:$B$5,MATCH(D425,Lookup_Tables!$A$2:$A$5,0))</f>
        <v>21</v>
      </c>
      <c r="I425" s="9" t="n">
        <f aca="false">C425+H425</f>
        <v>46072</v>
      </c>
      <c r="J425" s="5" t="n">
        <v>-4</v>
      </c>
      <c r="K425" s="9" t="n">
        <f aca="false">I425+J425</f>
        <v>46068</v>
      </c>
      <c r="L425" s="5" t="n">
        <v>1149</v>
      </c>
      <c r="M425" s="10" t="n">
        <f aca="false">INDEX(Dim_Supplier!$F$2:$F$21,MATCH(B425,Dim_Supplier!$A$2:$A$21,0))</f>
        <v>61.2</v>
      </c>
      <c r="N425" s="11" t="n">
        <v>0.035</v>
      </c>
      <c r="O425" s="10" t="n">
        <f aca="false">M425*(1+N425)</f>
        <v>63.342</v>
      </c>
      <c r="P425" s="10" t="n">
        <f aca="false">O425*L425</f>
        <v>72779.958</v>
      </c>
      <c r="Q425" s="5" t="s">
        <v>113</v>
      </c>
      <c r="R425" s="5" t="n">
        <v>0</v>
      </c>
      <c r="S425" s="5" t="n">
        <v>45</v>
      </c>
      <c r="T425" s="12" t="n">
        <f aca="false">(O425-M425)/M425</f>
        <v>0.0349999999999999</v>
      </c>
      <c r="U425" s="8" t="n">
        <f aca="false">IF(AND(K425&lt;=I425,R425=0),1,0)</f>
        <v>1</v>
      </c>
      <c r="V425" s="10" t="n">
        <f aca="false">IF(Q425="No",P425,0)</f>
        <v>0</v>
      </c>
    </row>
    <row r="426" customFormat="false" ht="15" hidden="false" customHeight="false" outlineLevel="0" collapsed="false">
      <c r="A426" s="5" t="s">
        <v>560</v>
      </c>
      <c r="B426" s="5" t="s">
        <v>52</v>
      </c>
      <c r="C426" s="7" t="n">
        <v>45409</v>
      </c>
      <c r="D426" s="8" t="str">
        <f aca="false">INDEX(Dim_Supplier!$C$2:$C$21,MATCH(B426,Dim_Supplier!$A$2:$A$21,0))</f>
        <v>Raw Materials</v>
      </c>
      <c r="E426" s="8" t="str">
        <f aca="false">INDEX(Dim_Supplier!$B$2:$B$21,MATCH(B426,Dim_Supplier!$A$2:$A$21,0))</f>
        <v>Laurentian Metals Inc.</v>
      </c>
      <c r="F426" s="5" t="s">
        <v>115</v>
      </c>
      <c r="G426" s="5" t="s">
        <v>129</v>
      </c>
      <c r="H426" s="8" t="n">
        <f aca="false">INDEX(Lookup_Tables!$B$2:$B$5,MATCH(D426,Lookup_Tables!$A$2:$A$5,0))</f>
        <v>21</v>
      </c>
      <c r="I426" s="9" t="n">
        <f aca="false">C426+H426</f>
        <v>45430</v>
      </c>
      <c r="J426" s="5" t="n">
        <v>0</v>
      </c>
      <c r="K426" s="9" t="n">
        <f aca="false">I426+J426</f>
        <v>45430</v>
      </c>
      <c r="L426" s="5" t="n">
        <v>1224</v>
      </c>
      <c r="M426" s="10" t="n">
        <f aca="false">INDEX(Dim_Supplier!$F$2:$F$21,MATCH(B426,Dim_Supplier!$A$2:$A$21,0))</f>
        <v>61.2</v>
      </c>
      <c r="N426" s="11" t="n">
        <v>-0.0173</v>
      </c>
      <c r="O426" s="10" t="n">
        <f aca="false">M426*(1+N426)</f>
        <v>60.14124</v>
      </c>
      <c r="P426" s="10" t="n">
        <f aca="false">O426*L426</f>
        <v>73612.87776</v>
      </c>
      <c r="Q426" s="5" t="s">
        <v>113</v>
      </c>
      <c r="R426" s="5" t="n">
        <v>0</v>
      </c>
      <c r="S426" s="5" t="n">
        <v>30</v>
      </c>
      <c r="T426" s="12" t="n">
        <f aca="false">(O426-M426)/M426</f>
        <v>-0.0173</v>
      </c>
      <c r="U426" s="8" t="n">
        <f aca="false">IF(AND(K426&lt;=I426,R426=0),1,0)</f>
        <v>1</v>
      </c>
      <c r="V426" s="10" t="n">
        <f aca="false">IF(Q426="No",P426,0)</f>
        <v>0</v>
      </c>
    </row>
    <row r="427" customFormat="false" ht="15" hidden="false" customHeight="false" outlineLevel="0" collapsed="false">
      <c r="A427" s="5" t="s">
        <v>561</v>
      </c>
      <c r="B427" s="5" t="s">
        <v>41</v>
      </c>
      <c r="C427" s="7" t="n">
        <v>45392</v>
      </c>
      <c r="D427" s="8" t="str">
        <f aca="false">INDEX(Dim_Supplier!$C$2:$C$21,MATCH(B427,Dim_Supplier!$A$2:$A$21,0))</f>
        <v>Raw Materials</v>
      </c>
      <c r="E427" s="8" t="str">
        <f aca="false">INDEX(Dim_Supplier!$B$2:$B$21,MATCH(B427,Dim_Supplier!$A$2:$A$21,0))</f>
        <v>Ontario Steel Partners</v>
      </c>
      <c r="F427" s="5" t="s">
        <v>115</v>
      </c>
      <c r="G427" s="5" t="s">
        <v>125</v>
      </c>
      <c r="H427" s="8" t="n">
        <f aca="false">INDEX(Lookup_Tables!$B$2:$B$5,MATCH(D427,Lookup_Tables!$A$2:$A$5,0))</f>
        <v>21</v>
      </c>
      <c r="I427" s="9" t="n">
        <f aca="false">C427+H427</f>
        <v>45413</v>
      </c>
      <c r="J427" s="5" t="n">
        <v>-1</v>
      </c>
      <c r="K427" s="9" t="n">
        <f aca="false">I427+J427</f>
        <v>45412</v>
      </c>
      <c r="L427" s="5" t="n">
        <v>1474</v>
      </c>
      <c r="M427" s="10" t="n">
        <f aca="false">INDEX(Dim_Supplier!$F$2:$F$21,MATCH(B427,Dim_Supplier!$A$2:$A$21,0))</f>
        <v>58</v>
      </c>
      <c r="N427" s="11" t="n">
        <v>0.0044</v>
      </c>
      <c r="O427" s="10" t="n">
        <f aca="false">M427*(1+N427)</f>
        <v>58.2552</v>
      </c>
      <c r="P427" s="10" t="n">
        <f aca="false">O427*L427</f>
        <v>85868.1648</v>
      </c>
      <c r="Q427" s="5" t="s">
        <v>113</v>
      </c>
      <c r="R427" s="5" t="n">
        <v>0</v>
      </c>
      <c r="S427" s="5" t="n">
        <v>45</v>
      </c>
      <c r="T427" s="12" t="n">
        <f aca="false">(O427-M427)/M427</f>
        <v>0.00439999999999991</v>
      </c>
      <c r="U427" s="8" t="n">
        <f aca="false">IF(AND(K427&lt;=I427,R427=0),1,0)</f>
        <v>1</v>
      </c>
      <c r="V427" s="10" t="n">
        <f aca="false">IF(Q427="No",P427,0)</f>
        <v>0</v>
      </c>
    </row>
    <row r="428" customFormat="false" ht="15" hidden="false" customHeight="false" outlineLevel="0" collapsed="false">
      <c r="A428" s="5" t="s">
        <v>562</v>
      </c>
      <c r="B428" s="5" t="s">
        <v>86</v>
      </c>
      <c r="C428" s="7" t="n">
        <v>45617</v>
      </c>
      <c r="D428" s="8" t="str">
        <f aca="false">INDEX(Dim_Supplier!$C$2:$C$21,MATCH(B428,Dim_Supplier!$A$2:$A$21,0))</f>
        <v>Logistics</v>
      </c>
      <c r="E428" s="8" t="str">
        <f aca="false">INDEX(Dim_Supplier!$B$2:$B$21,MATCH(B428,Dim_Supplier!$A$2:$A$21,0))</f>
        <v>Blue Water Customs Brokerage</v>
      </c>
      <c r="F428" s="5" t="s">
        <v>237</v>
      </c>
      <c r="G428" s="5" t="s">
        <v>125</v>
      </c>
      <c r="H428" s="8" t="n">
        <f aca="false">INDEX(Lookup_Tables!$B$2:$B$5,MATCH(D428,Lookup_Tables!$A$2:$A$5,0))</f>
        <v>5</v>
      </c>
      <c r="I428" s="9" t="n">
        <f aca="false">C428+H428</f>
        <v>45622</v>
      </c>
      <c r="J428" s="5" t="n">
        <v>-3</v>
      </c>
      <c r="K428" s="9" t="n">
        <f aca="false">I428+J428</f>
        <v>45619</v>
      </c>
      <c r="L428" s="5" t="n">
        <v>45</v>
      </c>
      <c r="M428" s="10" t="n">
        <f aca="false">INDEX(Dim_Supplier!$F$2:$F$21,MATCH(B428,Dim_Supplier!$A$2:$A$21,0))</f>
        <v>175</v>
      </c>
      <c r="N428" s="11" t="n">
        <v>0.0359</v>
      </c>
      <c r="O428" s="10" t="n">
        <f aca="false">M428*(1+N428)</f>
        <v>181.2825</v>
      </c>
      <c r="P428" s="10" t="n">
        <f aca="false">O428*L428</f>
        <v>8157.7125</v>
      </c>
      <c r="Q428" s="5" t="s">
        <v>113</v>
      </c>
      <c r="R428" s="5" t="n">
        <v>0</v>
      </c>
      <c r="S428" s="5" t="n">
        <v>30</v>
      </c>
      <c r="T428" s="12" t="n">
        <f aca="false">(O428-M428)/M428</f>
        <v>0.0359</v>
      </c>
      <c r="U428" s="8" t="n">
        <f aca="false">IF(AND(K428&lt;=I428,R428=0),1,0)</f>
        <v>1</v>
      </c>
      <c r="V428" s="10" t="n">
        <f aca="false">IF(Q428="No",P428,0)</f>
        <v>0</v>
      </c>
    </row>
    <row r="429" customFormat="false" ht="15" hidden="false" customHeight="false" outlineLevel="0" collapsed="false">
      <c r="A429" s="5" t="s">
        <v>563</v>
      </c>
      <c r="B429" s="5" t="s">
        <v>57</v>
      </c>
      <c r="C429" s="7" t="n">
        <v>45730</v>
      </c>
      <c r="D429" s="8" t="str">
        <f aca="false">INDEX(Dim_Supplier!$C$2:$C$21,MATCH(B429,Dim_Supplier!$A$2:$A$21,0))</f>
        <v>Packaging</v>
      </c>
      <c r="E429" s="8" t="str">
        <f aca="false">INDEX(Dim_Supplier!$B$2:$B$21,MATCH(B429,Dim_Supplier!$A$2:$A$21,0))</f>
        <v>Great Lakes Packaging Co.</v>
      </c>
      <c r="F429" s="5" t="s">
        <v>158</v>
      </c>
      <c r="G429" s="5" t="s">
        <v>129</v>
      </c>
      <c r="H429" s="8" t="n">
        <f aca="false">INDEX(Lookup_Tables!$B$2:$B$5,MATCH(D429,Lookup_Tables!$A$2:$A$5,0))</f>
        <v>14</v>
      </c>
      <c r="I429" s="9" t="n">
        <f aca="false">C429+H429</f>
        <v>45744</v>
      </c>
      <c r="J429" s="5" t="n">
        <v>-4</v>
      </c>
      <c r="K429" s="9" t="n">
        <f aca="false">I429+J429</f>
        <v>45740</v>
      </c>
      <c r="L429" s="5" t="n">
        <v>4072</v>
      </c>
      <c r="M429" s="10" t="n">
        <f aca="false">INDEX(Dim_Supplier!$F$2:$F$21,MATCH(B429,Dim_Supplier!$A$2:$A$21,0))</f>
        <v>4.35</v>
      </c>
      <c r="N429" s="11" t="n">
        <v>0.0424</v>
      </c>
      <c r="O429" s="10" t="n">
        <f aca="false">M429*(1+N429)</f>
        <v>4.53444</v>
      </c>
      <c r="P429" s="10" t="n">
        <f aca="false">O429*L429</f>
        <v>18464.23968</v>
      </c>
      <c r="Q429" s="5" t="s">
        <v>113</v>
      </c>
      <c r="R429" s="5" t="n">
        <v>0</v>
      </c>
      <c r="S429" s="5" t="n">
        <v>45</v>
      </c>
      <c r="T429" s="12" t="n">
        <f aca="false">(O429-M429)/M429</f>
        <v>0.0424000000000001</v>
      </c>
      <c r="U429" s="8" t="n">
        <f aca="false">IF(AND(K429&lt;=I429,R429=0),1,0)</f>
        <v>1</v>
      </c>
      <c r="V429" s="10" t="n">
        <f aca="false">IF(Q429="No",P429,0)</f>
        <v>0</v>
      </c>
    </row>
    <row r="430" customFormat="false" ht="15" hidden="false" customHeight="false" outlineLevel="0" collapsed="false">
      <c r="A430" s="5" t="s">
        <v>564</v>
      </c>
      <c r="B430" s="5" t="s">
        <v>57</v>
      </c>
      <c r="C430" s="7" t="n">
        <v>45783</v>
      </c>
      <c r="D430" s="8" t="str">
        <f aca="false">INDEX(Dim_Supplier!$C$2:$C$21,MATCH(B430,Dim_Supplier!$A$2:$A$21,0))</f>
        <v>Packaging</v>
      </c>
      <c r="E430" s="8" t="str">
        <f aca="false">INDEX(Dim_Supplier!$B$2:$B$21,MATCH(B430,Dim_Supplier!$A$2:$A$21,0))</f>
        <v>Great Lakes Packaging Co.</v>
      </c>
      <c r="F430" s="5" t="s">
        <v>137</v>
      </c>
      <c r="G430" s="5" t="s">
        <v>125</v>
      </c>
      <c r="H430" s="8" t="n">
        <f aca="false">INDEX(Lookup_Tables!$B$2:$B$5,MATCH(D430,Lookup_Tables!$A$2:$A$5,0))</f>
        <v>14</v>
      </c>
      <c r="I430" s="9" t="n">
        <f aca="false">C430+H430</f>
        <v>45797</v>
      </c>
      <c r="J430" s="5" t="n">
        <v>-4</v>
      </c>
      <c r="K430" s="9" t="n">
        <f aca="false">I430+J430</f>
        <v>45793</v>
      </c>
      <c r="L430" s="5" t="n">
        <v>1391</v>
      </c>
      <c r="M430" s="10" t="n">
        <f aca="false">INDEX(Dim_Supplier!$F$2:$F$21,MATCH(B430,Dim_Supplier!$A$2:$A$21,0))</f>
        <v>4.35</v>
      </c>
      <c r="N430" s="11" t="n">
        <v>0.0232</v>
      </c>
      <c r="O430" s="10" t="n">
        <f aca="false">M430*(1+N430)</f>
        <v>4.45092</v>
      </c>
      <c r="P430" s="10" t="n">
        <f aca="false">O430*L430</f>
        <v>6191.22972</v>
      </c>
      <c r="Q430" s="5" t="s">
        <v>113</v>
      </c>
      <c r="R430" s="5" t="n">
        <v>0</v>
      </c>
      <c r="S430" s="5" t="n">
        <v>60</v>
      </c>
      <c r="T430" s="12" t="n">
        <f aca="false">(O430-M430)/M430</f>
        <v>0.0232000000000001</v>
      </c>
      <c r="U430" s="8" t="n">
        <f aca="false">IF(AND(K430&lt;=I430,R430=0),1,0)</f>
        <v>1</v>
      </c>
      <c r="V430" s="10" t="n">
        <f aca="false">IF(Q430="No",P430,0)</f>
        <v>0</v>
      </c>
    </row>
    <row r="431" customFormat="false" ht="15" hidden="false" customHeight="false" outlineLevel="0" collapsed="false">
      <c r="A431" s="5" t="s">
        <v>565</v>
      </c>
      <c r="B431" s="5" t="s">
        <v>82</v>
      </c>
      <c r="C431" s="7" t="n">
        <v>45435</v>
      </c>
      <c r="D431" s="8" t="str">
        <f aca="false">INDEX(Dim_Supplier!$C$2:$C$21,MATCH(B431,Dim_Supplier!$A$2:$A$21,0))</f>
        <v>Logistics</v>
      </c>
      <c r="E431" s="8" t="str">
        <f aca="false">INDEX(Dim_Supplier!$B$2:$B$21,MATCH(B431,Dim_Supplier!$A$2:$A$21,0))</f>
        <v>Maple Route Logistics</v>
      </c>
      <c r="F431" s="5" t="s">
        <v>185</v>
      </c>
      <c r="G431" s="5" t="s">
        <v>112</v>
      </c>
      <c r="H431" s="8" t="n">
        <f aca="false">INDEX(Lookup_Tables!$B$2:$B$5,MATCH(D431,Lookup_Tables!$A$2:$A$5,0))</f>
        <v>5</v>
      </c>
      <c r="I431" s="9" t="n">
        <f aca="false">C431+H431</f>
        <v>45440</v>
      </c>
      <c r="J431" s="5" t="n">
        <v>-1</v>
      </c>
      <c r="K431" s="9" t="n">
        <f aca="false">I431+J431</f>
        <v>45439</v>
      </c>
      <c r="L431" s="5" t="n">
        <v>5</v>
      </c>
      <c r="M431" s="10" t="n">
        <f aca="false">INDEX(Dim_Supplier!$F$2:$F$21,MATCH(B431,Dim_Supplier!$A$2:$A$21,0))</f>
        <v>285</v>
      </c>
      <c r="N431" s="11" t="n">
        <v>0.0716</v>
      </c>
      <c r="O431" s="10" t="n">
        <f aca="false">M431*(1+N431)</f>
        <v>305.406</v>
      </c>
      <c r="P431" s="10" t="n">
        <f aca="false">O431*L431</f>
        <v>1527.03</v>
      </c>
      <c r="Q431" s="5" t="s">
        <v>113</v>
      </c>
      <c r="R431" s="5" t="n">
        <v>0</v>
      </c>
      <c r="S431" s="5" t="n">
        <v>60</v>
      </c>
      <c r="T431" s="12" t="n">
        <f aca="false">(O431-M431)/M431</f>
        <v>0.0716</v>
      </c>
      <c r="U431" s="8" t="n">
        <f aca="false">IF(AND(K431&lt;=I431,R431=0),1,0)</f>
        <v>1</v>
      </c>
      <c r="V431" s="10" t="n">
        <f aca="false">IF(Q431="No",P431,0)</f>
        <v>0</v>
      </c>
    </row>
    <row r="432" customFormat="false" ht="15" hidden="false" customHeight="false" outlineLevel="0" collapsed="false">
      <c r="A432" s="5" t="s">
        <v>566</v>
      </c>
      <c r="B432" s="5" t="s">
        <v>71</v>
      </c>
      <c r="C432" s="7" t="n">
        <v>46124</v>
      </c>
      <c r="D432" s="8" t="str">
        <f aca="false">INDEX(Dim_Supplier!$C$2:$C$21,MATCH(B432,Dim_Supplier!$A$2:$A$21,0))</f>
        <v>MRO</v>
      </c>
      <c r="E432" s="8" t="str">
        <f aca="false">INDEX(Dim_Supplier!$B$2:$B$21,MATCH(B432,Dim_Supplier!$A$2:$A$21,0))</f>
        <v>CanSafe Equipment Ltd.</v>
      </c>
      <c r="F432" s="5" t="s">
        <v>132</v>
      </c>
      <c r="G432" s="5" t="s">
        <v>125</v>
      </c>
      <c r="H432" s="8" t="n">
        <f aca="false">INDEX(Lookup_Tables!$B$2:$B$5,MATCH(D432,Lookup_Tables!$A$2:$A$5,0))</f>
        <v>10</v>
      </c>
      <c r="I432" s="9" t="n">
        <f aca="false">C432+H432</f>
        <v>46134</v>
      </c>
      <c r="J432" s="5" t="n">
        <v>-1</v>
      </c>
      <c r="K432" s="9" t="n">
        <f aca="false">I432+J432</f>
        <v>46133</v>
      </c>
      <c r="L432" s="5" t="n">
        <v>14</v>
      </c>
      <c r="M432" s="10" t="n">
        <f aca="false">INDEX(Dim_Supplier!$F$2:$F$21,MATCH(B432,Dim_Supplier!$A$2:$A$21,0))</f>
        <v>18.75</v>
      </c>
      <c r="N432" s="11" t="n">
        <v>0.0163</v>
      </c>
      <c r="O432" s="10" t="n">
        <f aca="false">M432*(1+N432)</f>
        <v>19.055625</v>
      </c>
      <c r="P432" s="10" t="n">
        <f aca="false">O432*L432</f>
        <v>266.77875</v>
      </c>
      <c r="Q432" s="5" t="s">
        <v>113</v>
      </c>
      <c r="R432" s="5" t="n">
        <v>0</v>
      </c>
      <c r="S432" s="5" t="n">
        <v>60</v>
      </c>
      <c r="T432" s="12" t="n">
        <f aca="false">(O432-M432)/M432</f>
        <v>0.0163</v>
      </c>
      <c r="U432" s="8" t="n">
        <f aca="false">IF(AND(K432&lt;=I432,R432=0),1,0)</f>
        <v>1</v>
      </c>
      <c r="V432" s="10" t="n">
        <f aca="false">IF(Q432="No",P432,0)</f>
        <v>0</v>
      </c>
    </row>
    <row r="433" customFormat="false" ht="15" hidden="false" customHeight="false" outlineLevel="0" collapsed="false">
      <c r="A433" s="5" t="s">
        <v>567</v>
      </c>
      <c r="B433" s="5" t="s">
        <v>64</v>
      </c>
      <c r="C433" s="7" t="n">
        <v>46085</v>
      </c>
      <c r="D433" s="8" t="str">
        <f aca="false">INDEX(Dim_Supplier!$C$2:$C$21,MATCH(B433,Dim_Supplier!$A$2:$A$21,0))</f>
        <v>Packaging</v>
      </c>
      <c r="E433" s="8" t="str">
        <f aca="false">INDEX(Dim_Supplier!$B$2:$B$21,MATCH(B433,Dim_Supplier!$A$2:$A$21,0))</f>
        <v>Huron Pallet Works</v>
      </c>
      <c r="F433" s="5" t="s">
        <v>158</v>
      </c>
      <c r="G433" s="5" t="s">
        <v>120</v>
      </c>
      <c r="H433" s="8" t="n">
        <f aca="false">INDEX(Lookup_Tables!$B$2:$B$5,MATCH(D433,Lookup_Tables!$A$2:$A$5,0))</f>
        <v>14</v>
      </c>
      <c r="I433" s="9" t="n">
        <f aca="false">C433+H433</f>
        <v>46099</v>
      </c>
      <c r="J433" s="5" t="n">
        <v>2</v>
      </c>
      <c r="K433" s="9" t="n">
        <f aca="false">I433+J433</f>
        <v>46101</v>
      </c>
      <c r="L433" s="5" t="n">
        <v>2883</v>
      </c>
      <c r="M433" s="10" t="n">
        <f aca="false">INDEX(Dim_Supplier!$F$2:$F$21,MATCH(B433,Dim_Supplier!$A$2:$A$21,0))</f>
        <v>2.25</v>
      </c>
      <c r="N433" s="11" t="n">
        <v>0.1664</v>
      </c>
      <c r="O433" s="10" t="n">
        <f aca="false">M433*(1+N433)</f>
        <v>2.6244</v>
      </c>
      <c r="P433" s="10" t="n">
        <f aca="false">O433*L433</f>
        <v>7566.1452</v>
      </c>
      <c r="Q433" s="5" t="s">
        <v>113</v>
      </c>
      <c r="R433" s="5" t="n">
        <v>0</v>
      </c>
      <c r="S433" s="5" t="n">
        <v>30</v>
      </c>
      <c r="T433" s="12" t="n">
        <f aca="false">(O433-M433)/M433</f>
        <v>0.1664</v>
      </c>
      <c r="U433" s="8" t="n">
        <f aca="false">IF(AND(K433&lt;=I433,R433=0),1,0)</f>
        <v>0</v>
      </c>
      <c r="V433" s="10" t="n">
        <f aca="false">IF(Q433="No",P433,0)</f>
        <v>0</v>
      </c>
    </row>
    <row r="434" customFormat="false" ht="15" hidden="false" customHeight="false" outlineLevel="0" collapsed="false">
      <c r="A434" s="5" t="s">
        <v>568</v>
      </c>
      <c r="B434" s="5" t="s">
        <v>57</v>
      </c>
      <c r="C434" s="7" t="n">
        <v>45302</v>
      </c>
      <c r="D434" s="8" t="str">
        <f aca="false">INDEX(Dim_Supplier!$C$2:$C$21,MATCH(B434,Dim_Supplier!$A$2:$A$21,0))</f>
        <v>Packaging</v>
      </c>
      <c r="E434" s="8" t="str">
        <f aca="false">INDEX(Dim_Supplier!$B$2:$B$21,MATCH(B434,Dim_Supplier!$A$2:$A$21,0))</f>
        <v>Great Lakes Packaging Co.</v>
      </c>
      <c r="F434" s="5" t="s">
        <v>158</v>
      </c>
      <c r="G434" s="5" t="s">
        <v>112</v>
      </c>
      <c r="H434" s="8" t="n">
        <f aca="false">INDEX(Lookup_Tables!$B$2:$B$5,MATCH(D434,Lookup_Tables!$A$2:$A$5,0))</f>
        <v>14</v>
      </c>
      <c r="I434" s="9" t="n">
        <f aca="false">C434+H434</f>
        <v>45316</v>
      </c>
      <c r="J434" s="5" t="n">
        <v>-3</v>
      </c>
      <c r="K434" s="9" t="n">
        <f aca="false">I434+J434</f>
        <v>45313</v>
      </c>
      <c r="L434" s="5" t="n">
        <v>1804</v>
      </c>
      <c r="M434" s="10" t="n">
        <f aca="false">INDEX(Dim_Supplier!$F$2:$F$21,MATCH(B434,Dim_Supplier!$A$2:$A$21,0))</f>
        <v>4.35</v>
      </c>
      <c r="N434" s="11" t="n">
        <v>-0.001</v>
      </c>
      <c r="O434" s="10" t="n">
        <f aca="false">M434*(1+N434)</f>
        <v>4.34565</v>
      </c>
      <c r="P434" s="10" t="n">
        <f aca="false">O434*L434</f>
        <v>7839.5526</v>
      </c>
      <c r="Q434" s="5" t="s">
        <v>113</v>
      </c>
      <c r="R434" s="5" t="n">
        <v>0</v>
      </c>
      <c r="S434" s="5" t="n">
        <v>45</v>
      </c>
      <c r="T434" s="12" t="n">
        <f aca="false">(O434-M434)/M434</f>
        <v>-0.000999999999999916</v>
      </c>
      <c r="U434" s="8" t="n">
        <f aca="false">IF(AND(K434&lt;=I434,R434=0),1,0)</f>
        <v>1</v>
      </c>
      <c r="V434" s="10" t="n">
        <f aca="false">IF(Q434="No",P434,0)</f>
        <v>0</v>
      </c>
    </row>
    <row r="435" customFormat="false" ht="15" hidden="false" customHeight="false" outlineLevel="0" collapsed="false">
      <c r="A435" s="5" t="s">
        <v>569</v>
      </c>
      <c r="B435" s="5" t="s">
        <v>88</v>
      </c>
      <c r="C435" s="7" t="n">
        <v>46045</v>
      </c>
      <c r="D435" s="8" t="str">
        <f aca="false">INDEX(Dim_Supplier!$C$2:$C$21,MATCH(B435,Dim_Supplier!$A$2:$A$21,0))</f>
        <v>Logistics</v>
      </c>
      <c r="E435" s="8" t="str">
        <f aca="false">INDEX(Dim_Supplier!$B$2:$B$21,MATCH(B435,Dim_Supplier!$A$2:$A$21,0))</f>
        <v>Summit Last-Mile Delivery</v>
      </c>
      <c r="F435" s="5" t="s">
        <v>237</v>
      </c>
      <c r="G435" s="5" t="s">
        <v>120</v>
      </c>
      <c r="H435" s="8" t="n">
        <f aca="false">INDEX(Lookup_Tables!$B$2:$B$5,MATCH(D435,Lookup_Tables!$A$2:$A$5,0))</f>
        <v>5</v>
      </c>
      <c r="I435" s="9" t="n">
        <f aca="false">C435+H435</f>
        <v>46050</v>
      </c>
      <c r="J435" s="5" t="n">
        <v>2</v>
      </c>
      <c r="K435" s="9" t="n">
        <f aca="false">I435+J435</f>
        <v>46052</v>
      </c>
      <c r="L435" s="5" t="n">
        <v>15</v>
      </c>
      <c r="M435" s="10" t="n">
        <f aca="false">INDEX(Dim_Supplier!$F$2:$F$21,MATCH(B435,Dim_Supplier!$A$2:$A$21,0))</f>
        <v>95</v>
      </c>
      <c r="N435" s="11" t="n">
        <v>0.0485</v>
      </c>
      <c r="O435" s="10" t="n">
        <f aca="false">M435*(1+N435)</f>
        <v>99.6075</v>
      </c>
      <c r="P435" s="10" t="n">
        <f aca="false">O435*L435</f>
        <v>1494.1125</v>
      </c>
      <c r="Q435" s="5" t="s">
        <v>113</v>
      </c>
      <c r="R435" s="5" t="n">
        <v>0</v>
      </c>
      <c r="S435" s="5" t="n">
        <v>30</v>
      </c>
      <c r="T435" s="12" t="n">
        <f aca="false">(O435-M435)/M435</f>
        <v>0.0485</v>
      </c>
      <c r="U435" s="8" t="n">
        <f aca="false">IF(AND(K435&lt;=I435,R435=0),1,0)</f>
        <v>0</v>
      </c>
      <c r="V435" s="10" t="n">
        <f aca="false">IF(Q435="No",P435,0)</f>
        <v>0</v>
      </c>
    </row>
    <row r="436" customFormat="false" ht="15" hidden="false" customHeight="false" outlineLevel="0" collapsed="false">
      <c r="A436" s="5" t="s">
        <v>570</v>
      </c>
      <c r="B436" s="5" t="s">
        <v>52</v>
      </c>
      <c r="C436" s="7" t="n">
        <v>46102</v>
      </c>
      <c r="D436" s="8" t="str">
        <f aca="false">INDEX(Dim_Supplier!$C$2:$C$21,MATCH(B436,Dim_Supplier!$A$2:$A$21,0))</f>
        <v>Raw Materials</v>
      </c>
      <c r="E436" s="8" t="str">
        <f aca="false">INDEX(Dim_Supplier!$B$2:$B$21,MATCH(B436,Dim_Supplier!$A$2:$A$21,0))</f>
        <v>Laurentian Metals Inc.</v>
      </c>
      <c r="F436" s="5" t="s">
        <v>139</v>
      </c>
      <c r="G436" s="5" t="s">
        <v>125</v>
      </c>
      <c r="H436" s="8" t="n">
        <f aca="false">INDEX(Lookup_Tables!$B$2:$B$5,MATCH(D436,Lookup_Tables!$A$2:$A$5,0))</f>
        <v>21</v>
      </c>
      <c r="I436" s="9" t="n">
        <f aca="false">C436+H436</f>
        <v>46123</v>
      </c>
      <c r="J436" s="5" t="n">
        <v>-4</v>
      </c>
      <c r="K436" s="9" t="n">
        <f aca="false">I436+J436</f>
        <v>46119</v>
      </c>
      <c r="L436" s="5" t="n">
        <v>195</v>
      </c>
      <c r="M436" s="10" t="n">
        <f aca="false">INDEX(Dim_Supplier!$F$2:$F$21,MATCH(B436,Dim_Supplier!$A$2:$A$21,0))</f>
        <v>61.2</v>
      </c>
      <c r="N436" s="11" t="n">
        <v>0.0242</v>
      </c>
      <c r="O436" s="10" t="n">
        <f aca="false">M436*(1+N436)</f>
        <v>62.68104</v>
      </c>
      <c r="P436" s="10" t="n">
        <f aca="false">O436*L436</f>
        <v>12222.8028</v>
      </c>
      <c r="Q436" s="5" t="s">
        <v>113</v>
      </c>
      <c r="R436" s="5" t="n">
        <v>0</v>
      </c>
      <c r="S436" s="5" t="n">
        <v>30</v>
      </c>
      <c r="T436" s="12" t="n">
        <f aca="false">(O436-M436)/M436</f>
        <v>0.0242</v>
      </c>
      <c r="U436" s="8" t="n">
        <f aca="false">IF(AND(K436&lt;=I436,R436=0),1,0)</f>
        <v>1</v>
      </c>
      <c r="V436" s="10" t="n">
        <f aca="false">IF(Q436="No",P436,0)</f>
        <v>0</v>
      </c>
    </row>
    <row r="437" customFormat="false" ht="15" hidden="false" customHeight="false" outlineLevel="0" collapsed="false">
      <c r="A437" s="5" t="s">
        <v>571</v>
      </c>
      <c r="B437" s="5" t="s">
        <v>88</v>
      </c>
      <c r="C437" s="7" t="n">
        <v>45940</v>
      </c>
      <c r="D437" s="8" t="str">
        <f aca="false">INDEX(Dim_Supplier!$C$2:$C$21,MATCH(B437,Dim_Supplier!$A$2:$A$21,0))</f>
        <v>Logistics</v>
      </c>
      <c r="E437" s="8" t="str">
        <f aca="false">INDEX(Dim_Supplier!$B$2:$B$21,MATCH(B437,Dim_Supplier!$A$2:$A$21,0))</f>
        <v>Summit Last-Mile Delivery</v>
      </c>
      <c r="F437" s="5" t="s">
        <v>146</v>
      </c>
      <c r="G437" s="5" t="s">
        <v>120</v>
      </c>
      <c r="H437" s="8" t="n">
        <f aca="false">INDEX(Lookup_Tables!$B$2:$B$5,MATCH(D437,Lookup_Tables!$A$2:$A$5,0))</f>
        <v>5</v>
      </c>
      <c r="I437" s="9" t="n">
        <f aca="false">C437+H437</f>
        <v>45945</v>
      </c>
      <c r="J437" s="5" t="n">
        <v>-3</v>
      </c>
      <c r="K437" s="9" t="n">
        <f aca="false">I437+J437</f>
        <v>45942</v>
      </c>
      <c r="L437" s="5" t="n">
        <v>25</v>
      </c>
      <c r="M437" s="10" t="n">
        <f aca="false">INDEX(Dim_Supplier!$F$2:$F$21,MATCH(B437,Dim_Supplier!$A$2:$A$21,0))</f>
        <v>95</v>
      </c>
      <c r="N437" s="11" t="n">
        <v>0.0277</v>
      </c>
      <c r="O437" s="10" t="n">
        <f aca="false">M437*(1+N437)</f>
        <v>97.6315</v>
      </c>
      <c r="P437" s="10" t="n">
        <f aca="false">O437*L437</f>
        <v>2440.7875</v>
      </c>
      <c r="Q437" s="5" t="s">
        <v>113</v>
      </c>
      <c r="R437" s="5" t="n">
        <v>0</v>
      </c>
      <c r="S437" s="5" t="n">
        <v>45</v>
      </c>
      <c r="T437" s="12" t="n">
        <f aca="false">(O437-M437)/M437</f>
        <v>0.0277</v>
      </c>
      <c r="U437" s="8" t="n">
        <f aca="false">IF(AND(K437&lt;=I437,R437=0),1,0)</f>
        <v>1</v>
      </c>
      <c r="V437" s="10" t="n">
        <f aca="false">IF(Q437="No",P437,0)</f>
        <v>0</v>
      </c>
    </row>
    <row r="438" customFormat="false" ht="15" hidden="false" customHeight="false" outlineLevel="0" collapsed="false">
      <c r="A438" s="5" t="s">
        <v>572</v>
      </c>
      <c r="B438" s="5" t="s">
        <v>82</v>
      </c>
      <c r="C438" s="7" t="n">
        <v>45821</v>
      </c>
      <c r="D438" s="8" t="str">
        <f aca="false">INDEX(Dim_Supplier!$C$2:$C$21,MATCH(B438,Dim_Supplier!$A$2:$A$21,0))</f>
        <v>Logistics</v>
      </c>
      <c r="E438" s="8" t="str">
        <f aca="false">INDEX(Dim_Supplier!$B$2:$B$21,MATCH(B438,Dim_Supplier!$A$2:$A$21,0))</f>
        <v>Maple Route Logistics</v>
      </c>
      <c r="F438" s="5" t="s">
        <v>146</v>
      </c>
      <c r="G438" s="5" t="s">
        <v>125</v>
      </c>
      <c r="H438" s="8" t="n">
        <f aca="false">INDEX(Lookup_Tables!$B$2:$B$5,MATCH(D438,Lookup_Tables!$A$2:$A$5,0))</f>
        <v>5</v>
      </c>
      <c r="I438" s="9" t="n">
        <f aca="false">C438+H438</f>
        <v>45826</v>
      </c>
      <c r="J438" s="5" t="n">
        <v>0</v>
      </c>
      <c r="K438" s="9" t="n">
        <f aca="false">I438+J438</f>
        <v>45826</v>
      </c>
      <c r="L438" s="5" t="n">
        <v>26</v>
      </c>
      <c r="M438" s="10" t="n">
        <f aca="false">INDEX(Dim_Supplier!$F$2:$F$21,MATCH(B438,Dim_Supplier!$A$2:$A$21,0))</f>
        <v>285</v>
      </c>
      <c r="N438" s="11" t="n">
        <v>0.0276</v>
      </c>
      <c r="O438" s="10" t="n">
        <f aca="false">M438*(1+N438)</f>
        <v>292.866</v>
      </c>
      <c r="P438" s="10" t="n">
        <f aca="false">O438*L438</f>
        <v>7614.516</v>
      </c>
      <c r="Q438" s="5" t="s">
        <v>113</v>
      </c>
      <c r="R438" s="5" t="n">
        <v>0</v>
      </c>
      <c r="S438" s="5" t="n">
        <v>30</v>
      </c>
      <c r="T438" s="12" t="n">
        <f aca="false">(O438-M438)/M438</f>
        <v>0.0276000000000002</v>
      </c>
      <c r="U438" s="8" t="n">
        <f aca="false">IF(AND(K438&lt;=I438,R438=0),1,0)</f>
        <v>1</v>
      </c>
      <c r="V438" s="10" t="n">
        <f aca="false">IF(Q438="No",P438,0)</f>
        <v>0</v>
      </c>
    </row>
    <row r="439" customFormat="false" ht="15" hidden="false" customHeight="false" outlineLevel="0" collapsed="false">
      <c r="A439" s="5" t="s">
        <v>573</v>
      </c>
      <c r="B439" s="5" t="s">
        <v>64</v>
      </c>
      <c r="C439" s="7" t="n">
        <v>45910</v>
      </c>
      <c r="D439" s="8" t="str">
        <f aca="false">INDEX(Dim_Supplier!$C$2:$C$21,MATCH(B439,Dim_Supplier!$A$2:$A$21,0))</f>
        <v>Packaging</v>
      </c>
      <c r="E439" s="8" t="str">
        <f aca="false">INDEX(Dim_Supplier!$B$2:$B$21,MATCH(B439,Dim_Supplier!$A$2:$A$21,0))</f>
        <v>Huron Pallet Works</v>
      </c>
      <c r="F439" s="5" t="s">
        <v>117</v>
      </c>
      <c r="G439" s="5" t="s">
        <v>112</v>
      </c>
      <c r="H439" s="8" t="n">
        <f aca="false">INDEX(Lookup_Tables!$B$2:$B$5,MATCH(D439,Lookup_Tables!$A$2:$A$5,0))</f>
        <v>14</v>
      </c>
      <c r="I439" s="9" t="n">
        <f aca="false">C439+H439</f>
        <v>45924</v>
      </c>
      <c r="J439" s="5" t="n">
        <v>4</v>
      </c>
      <c r="K439" s="9" t="n">
        <f aca="false">I439+J439</f>
        <v>45928</v>
      </c>
      <c r="L439" s="5" t="n">
        <v>4715</v>
      </c>
      <c r="M439" s="10" t="n">
        <f aca="false">INDEX(Dim_Supplier!$F$2:$F$21,MATCH(B439,Dim_Supplier!$A$2:$A$21,0))</f>
        <v>2.25</v>
      </c>
      <c r="N439" s="11" t="n">
        <v>0.1453</v>
      </c>
      <c r="O439" s="10" t="n">
        <f aca="false">M439*(1+N439)</f>
        <v>2.576925</v>
      </c>
      <c r="P439" s="10" t="n">
        <f aca="false">O439*L439</f>
        <v>12150.201375</v>
      </c>
      <c r="Q439" s="5" t="s">
        <v>133</v>
      </c>
      <c r="R439" s="5" t="n">
        <v>0</v>
      </c>
      <c r="S439" s="5" t="n">
        <v>30</v>
      </c>
      <c r="T439" s="12" t="n">
        <f aca="false">(O439-M439)/M439</f>
        <v>0.1453</v>
      </c>
      <c r="U439" s="8" t="n">
        <f aca="false">IF(AND(K439&lt;=I439,R439=0),1,0)</f>
        <v>0</v>
      </c>
      <c r="V439" s="10" t="n">
        <f aca="false">IF(Q439="No",P439,0)</f>
        <v>12150.201375</v>
      </c>
    </row>
    <row r="440" customFormat="false" ht="15" hidden="false" customHeight="false" outlineLevel="0" collapsed="false">
      <c r="A440" s="5" t="s">
        <v>574</v>
      </c>
      <c r="B440" s="5" t="s">
        <v>57</v>
      </c>
      <c r="C440" s="7" t="n">
        <v>46026</v>
      </c>
      <c r="D440" s="8" t="str">
        <f aca="false">INDEX(Dim_Supplier!$C$2:$C$21,MATCH(B440,Dim_Supplier!$A$2:$A$21,0))</f>
        <v>Packaging</v>
      </c>
      <c r="E440" s="8" t="str">
        <f aca="false">INDEX(Dim_Supplier!$B$2:$B$21,MATCH(B440,Dim_Supplier!$A$2:$A$21,0))</f>
        <v>Great Lakes Packaging Co.</v>
      </c>
      <c r="F440" s="5" t="s">
        <v>117</v>
      </c>
      <c r="G440" s="5" t="s">
        <v>112</v>
      </c>
      <c r="H440" s="8" t="n">
        <f aca="false">INDEX(Lookup_Tables!$B$2:$B$5,MATCH(D440,Lookup_Tables!$A$2:$A$5,0))</f>
        <v>14</v>
      </c>
      <c r="I440" s="9" t="n">
        <f aca="false">C440+H440</f>
        <v>46040</v>
      </c>
      <c r="J440" s="5" t="n">
        <v>-4</v>
      </c>
      <c r="K440" s="9" t="n">
        <f aca="false">I440+J440</f>
        <v>46036</v>
      </c>
      <c r="L440" s="5" t="n">
        <v>1428</v>
      </c>
      <c r="M440" s="10" t="n">
        <f aca="false">INDEX(Dim_Supplier!$F$2:$F$21,MATCH(B440,Dim_Supplier!$A$2:$A$21,0))</f>
        <v>4.35</v>
      </c>
      <c r="N440" s="11" t="n">
        <v>0.0192</v>
      </c>
      <c r="O440" s="10" t="n">
        <f aca="false">M440*(1+N440)</f>
        <v>4.43352</v>
      </c>
      <c r="P440" s="10" t="n">
        <f aca="false">O440*L440</f>
        <v>6331.06656</v>
      </c>
      <c r="Q440" s="5" t="s">
        <v>113</v>
      </c>
      <c r="R440" s="5" t="n">
        <v>0</v>
      </c>
      <c r="S440" s="5" t="n">
        <v>30</v>
      </c>
      <c r="T440" s="12" t="n">
        <f aca="false">(O440-M440)/M440</f>
        <v>0.0192</v>
      </c>
      <c r="U440" s="8" t="n">
        <f aca="false">IF(AND(K440&lt;=I440,R440=0),1,0)</f>
        <v>1</v>
      </c>
      <c r="V440" s="10" t="n">
        <f aca="false">IF(Q440="No",P440,0)</f>
        <v>0</v>
      </c>
    </row>
    <row r="441" customFormat="false" ht="15" hidden="false" customHeight="false" outlineLevel="0" collapsed="false">
      <c r="A441" s="5" t="s">
        <v>575</v>
      </c>
      <c r="B441" s="5" t="s">
        <v>49</v>
      </c>
      <c r="C441" s="7" t="n">
        <v>46145</v>
      </c>
      <c r="D441" s="8" t="str">
        <f aca="false">INDEX(Dim_Supplier!$C$2:$C$21,MATCH(B441,Dim_Supplier!$A$2:$A$21,0))</f>
        <v>Raw Materials</v>
      </c>
      <c r="E441" s="8" t="str">
        <f aca="false">INDEX(Dim_Supplier!$B$2:$B$21,MATCH(B441,Dim_Supplier!$A$2:$A$21,0))</f>
        <v>Great Lakes Polymer Co.</v>
      </c>
      <c r="F441" s="5" t="s">
        <v>142</v>
      </c>
      <c r="G441" s="5" t="s">
        <v>129</v>
      </c>
      <c r="H441" s="8" t="n">
        <f aca="false">INDEX(Lookup_Tables!$B$2:$B$5,MATCH(D441,Lookup_Tables!$A$2:$A$5,0))</f>
        <v>21</v>
      </c>
      <c r="I441" s="9" t="n">
        <f aca="false">C441+H441</f>
        <v>46166</v>
      </c>
      <c r="J441" s="5" t="n">
        <v>4</v>
      </c>
      <c r="K441" s="9" t="n">
        <f aca="false">I441+J441</f>
        <v>46170</v>
      </c>
      <c r="L441" s="5" t="n">
        <v>1313</v>
      </c>
      <c r="M441" s="10" t="n">
        <f aca="false">INDEX(Dim_Supplier!$F$2:$F$21,MATCH(B441,Dim_Supplier!$A$2:$A$21,0))</f>
        <v>32.75</v>
      </c>
      <c r="N441" s="11" t="n">
        <v>0.1305</v>
      </c>
      <c r="O441" s="10" t="n">
        <f aca="false">M441*(1+N441)</f>
        <v>37.023875</v>
      </c>
      <c r="P441" s="10" t="n">
        <f aca="false">O441*L441</f>
        <v>48612.347875</v>
      </c>
      <c r="Q441" s="5" t="s">
        <v>113</v>
      </c>
      <c r="R441" s="5" t="n">
        <v>0</v>
      </c>
      <c r="S441" s="5" t="n">
        <v>30</v>
      </c>
      <c r="T441" s="12" t="n">
        <f aca="false">(O441-M441)/M441</f>
        <v>0.1305</v>
      </c>
      <c r="U441" s="8" t="n">
        <f aca="false">IF(AND(K441&lt;=I441,R441=0),1,0)</f>
        <v>0</v>
      </c>
      <c r="V441" s="10" t="n">
        <f aca="false">IF(Q441="No",P441,0)</f>
        <v>0</v>
      </c>
    </row>
    <row r="442" customFormat="false" ht="15" hidden="false" customHeight="false" outlineLevel="0" collapsed="false">
      <c r="A442" s="5" t="s">
        <v>576</v>
      </c>
      <c r="B442" s="5" t="s">
        <v>68</v>
      </c>
      <c r="C442" s="7" t="n">
        <v>45349</v>
      </c>
      <c r="D442" s="8" t="str">
        <f aca="false">INDEX(Dim_Supplier!$C$2:$C$21,MATCH(B442,Dim_Supplier!$A$2:$A$21,0))</f>
        <v>MRO</v>
      </c>
      <c r="E442" s="8" t="str">
        <f aca="false">INDEX(Dim_Supplier!$B$2:$B$21,MATCH(B442,Dim_Supplier!$A$2:$A$21,0))</f>
        <v>Precision Tool &amp; Supply</v>
      </c>
      <c r="F442" s="5" t="s">
        <v>164</v>
      </c>
      <c r="G442" s="5" t="s">
        <v>120</v>
      </c>
      <c r="H442" s="8" t="n">
        <f aca="false">INDEX(Lookup_Tables!$B$2:$B$5,MATCH(D442,Lookup_Tables!$A$2:$A$5,0))</f>
        <v>10</v>
      </c>
      <c r="I442" s="9" t="n">
        <f aca="false">C442+H442</f>
        <v>45359</v>
      </c>
      <c r="J442" s="5" t="n">
        <v>-1</v>
      </c>
      <c r="K442" s="9" t="n">
        <f aca="false">I442+J442</f>
        <v>45358</v>
      </c>
      <c r="L442" s="5" t="n">
        <v>108</v>
      </c>
      <c r="M442" s="10" t="n">
        <f aca="false">INDEX(Dim_Supplier!$F$2:$F$21,MATCH(B442,Dim_Supplier!$A$2:$A$21,0))</f>
        <v>22.4</v>
      </c>
      <c r="N442" s="11" t="n">
        <v>-0.0013</v>
      </c>
      <c r="O442" s="10" t="n">
        <f aca="false">M442*(1+N442)</f>
        <v>22.37088</v>
      </c>
      <c r="P442" s="10" t="n">
        <f aca="false">O442*L442</f>
        <v>2416.05504</v>
      </c>
      <c r="Q442" s="5" t="s">
        <v>113</v>
      </c>
      <c r="R442" s="5" t="n">
        <v>0</v>
      </c>
      <c r="S442" s="5" t="n">
        <v>30</v>
      </c>
      <c r="T442" s="12" t="n">
        <f aca="false">(O442-M442)/M442</f>
        <v>-0.00129999999999995</v>
      </c>
      <c r="U442" s="8" t="n">
        <f aca="false">IF(AND(K442&lt;=I442,R442=0),1,0)</f>
        <v>1</v>
      </c>
      <c r="V442" s="10" t="n">
        <f aca="false">IF(Q442="No",P442,0)</f>
        <v>0</v>
      </c>
    </row>
    <row r="443" customFormat="false" ht="15" hidden="false" customHeight="false" outlineLevel="0" collapsed="false">
      <c r="A443" s="5" t="s">
        <v>577</v>
      </c>
      <c r="B443" s="5" t="s">
        <v>77</v>
      </c>
      <c r="C443" s="7" t="n">
        <v>45969</v>
      </c>
      <c r="D443" s="8" t="str">
        <f aca="false">INDEX(Dim_Supplier!$C$2:$C$21,MATCH(B443,Dim_Supplier!$A$2:$A$21,0))</f>
        <v>MRO</v>
      </c>
      <c r="E443" s="8" t="str">
        <f aca="false">INDEX(Dim_Supplier!$B$2:$B$21,MATCH(B443,Dim_Supplier!$A$2:$A$21,0))</f>
        <v>Apex Industrial Supply</v>
      </c>
      <c r="F443" s="5" t="s">
        <v>111</v>
      </c>
      <c r="G443" s="5" t="s">
        <v>129</v>
      </c>
      <c r="H443" s="8" t="n">
        <f aca="false">INDEX(Lookup_Tables!$B$2:$B$5,MATCH(D443,Lookup_Tables!$A$2:$A$5,0))</f>
        <v>10</v>
      </c>
      <c r="I443" s="9" t="n">
        <f aca="false">C443+H443</f>
        <v>45979</v>
      </c>
      <c r="J443" s="5" t="n">
        <v>0</v>
      </c>
      <c r="K443" s="9" t="n">
        <f aca="false">I443+J443</f>
        <v>45979</v>
      </c>
      <c r="L443" s="5" t="n">
        <v>125</v>
      </c>
      <c r="M443" s="10" t="n">
        <f aca="false">INDEX(Dim_Supplier!$F$2:$F$21,MATCH(B443,Dim_Supplier!$A$2:$A$21,0))</f>
        <v>24.6</v>
      </c>
      <c r="N443" s="11" t="n">
        <v>0.0767</v>
      </c>
      <c r="O443" s="10" t="n">
        <f aca="false">M443*(1+N443)</f>
        <v>26.48682</v>
      </c>
      <c r="P443" s="10" t="n">
        <f aca="false">O443*L443</f>
        <v>3310.8525</v>
      </c>
      <c r="Q443" s="5" t="s">
        <v>133</v>
      </c>
      <c r="R443" s="5" t="n">
        <v>0</v>
      </c>
      <c r="S443" s="5" t="n">
        <v>60</v>
      </c>
      <c r="T443" s="12" t="n">
        <f aca="false">(O443-M443)/M443</f>
        <v>0.0767</v>
      </c>
      <c r="U443" s="8" t="n">
        <f aca="false">IF(AND(K443&lt;=I443,R443=0),1,0)</f>
        <v>1</v>
      </c>
      <c r="V443" s="10" t="n">
        <f aca="false">IF(Q443="No",P443,0)</f>
        <v>3310.8525</v>
      </c>
    </row>
    <row r="444" customFormat="false" ht="15" hidden="false" customHeight="false" outlineLevel="0" collapsed="false">
      <c r="A444" s="5" t="s">
        <v>578</v>
      </c>
      <c r="B444" s="5" t="s">
        <v>71</v>
      </c>
      <c r="C444" s="7" t="n">
        <v>46105</v>
      </c>
      <c r="D444" s="8" t="str">
        <f aca="false">INDEX(Dim_Supplier!$C$2:$C$21,MATCH(B444,Dim_Supplier!$A$2:$A$21,0))</f>
        <v>MRO</v>
      </c>
      <c r="E444" s="8" t="str">
        <f aca="false">INDEX(Dim_Supplier!$B$2:$B$21,MATCH(B444,Dim_Supplier!$A$2:$A$21,0))</f>
        <v>CanSafe Equipment Ltd.</v>
      </c>
      <c r="F444" s="5" t="s">
        <v>132</v>
      </c>
      <c r="G444" s="5" t="s">
        <v>112</v>
      </c>
      <c r="H444" s="8" t="n">
        <f aca="false">INDEX(Lookup_Tables!$B$2:$B$5,MATCH(D444,Lookup_Tables!$A$2:$A$5,0))</f>
        <v>10</v>
      </c>
      <c r="I444" s="9" t="n">
        <f aca="false">C444+H444</f>
        <v>46115</v>
      </c>
      <c r="J444" s="5" t="n">
        <v>-3</v>
      </c>
      <c r="K444" s="9" t="n">
        <f aca="false">I444+J444</f>
        <v>46112</v>
      </c>
      <c r="L444" s="5" t="n">
        <v>47</v>
      </c>
      <c r="M444" s="10" t="n">
        <f aca="false">INDEX(Dim_Supplier!$F$2:$F$21,MATCH(B444,Dim_Supplier!$A$2:$A$21,0))</f>
        <v>18.75</v>
      </c>
      <c r="N444" s="11" t="n">
        <v>0.0133</v>
      </c>
      <c r="O444" s="10" t="n">
        <f aca="false">M444*(1+N444)</f>
        <v>18.999375</v>
      </c>
      <c r="P444" s="10" t="n">
        <f aca="false">O444*L444</f>
        <v>892.970625</v>
      </c>
      <c r="Q444" s="5" t="s">
        <v>113</v>
      </c>
      <c r="R444" s="5" t="n">
        <v>0</v>
      </c>
      <c r="S444" s="5" t="n">
        <v>30</v>
      </c>
      <c r="T444" s="12" t="n">
        <f aca="false">(O444-M444)/M444</f>
        <v>0.0133</v>
      </c>
      <c r="U444" s="8" t="n">
        <f aca="false">IF(AND(K444&lt;=I444,R444=0),1,0)</f>
        <v>1</v>
      </c>
      <c r="V444" s="10" t="n">
        <f aca="false">IF(Q444="No",P444,0)</f>
        <v>0</v>
      </c>
    </row>
    <row r="445" customFormat="false" ht="15" hidden="false" customHeight="false" outlineLevel="0" collapsed="false">
      <c r="A445" s="5" t="s">
        <v>579</v>
      </c>
      <c r="B445" s="5" t="s">
        <v>71</v>
      </c>
      <c r="C445" s="7" t="n">
        <v>45527</v>
      </c>
      <c r="D445" s="8" t="str">
        <f aca="false">INDEX(Dim_Supplier!$C$2:$C$21,MATCH(B445,Dim_Supplier!$A$2:$A$21,0))</f>
        <v>MRO</v>
      </c>
      <c r="E445" s="8" t="str">
        <f aca="false">INDEX(Dim_Supplier!$B$2:$B$21,MATCH(B445,Dim_Supplier!$A$2:$A$21,0))</f>
        <v>CanSafe Equipment Ltd.</v>
      </c>
      <c r="F445" s="5" t="s">
        <v>179</v>
      </c>
      <c r="G445" s="5" t="s">
        <v>125</v>
      </c>
      <c r="H445" s="8" t="n">
        <f aca="false">INDEX(Lookup_Tables!$B$2:$B$5,MATCH(D445,Lookup_Tables!$A$2:$A$5,0))</f>
        <v>10</v>
      </c>
      <c r="I445" s="9" t="n">
        <f aca="false">C445+H445</f>
        <v>45537</v>
      </c>
      <c r="J445" s="5" t="n">
        <v>-1</v>
      </c>
      <c r="K445" s="9" t="n">
        <f aca="false">I445+J445</f>
        <v>45536</v>
      </c>
      <c r="L445" s="5" t="n">
        <v>138</v>
      </c>
      <c r="M445" s="10" t="n">
        <f aca="false">INDEX(Dim_Supplier!$F$2:$F$21,MATCH(B445,Dim_Supplier!$A$2:$A$21,0))</f>
        <v>18.75</v>
      </c>
      <c r="N445" s="11" t="n">
        <v>0.0327</v>
      </c>
      <c r="O445" s="10" t="n">
        <f aca="false">M445*(1+N445)</f>
        <v>19.363125</v>
      </c>
      <c r="P445" s="10" t="n">
        <f aca="false">O445*L445</f>
        <v>2672.11125</v>
      </c>
      <c r="Q445" s="5" t="s">
        <v>113</v>
      </c>
      <c r="R445" s="5" t="n">
        <v>0</v>
      </c>
      <c r="S445" s="5" t="n">
        <v>30</v>
      </c>
      <c r="T445" s="12" t="n">
        <f aca="false">(O445-M445)/M445</f>
        <v>0.0327</v>
      </c>
      <c r="U445" s="8" t="n">
        <f aca="false">IF(AND(K445&lt;=I445,R445=0),1,0)</f>
        <v>1</v>
      </c>
      <c r="V445" s="10" t="n">
        <f aca="false">IF(Q445="No",P445,0)</f>
        <v>0</v>
      </c>
    </row>
    <row r="446" customFormat="false" ht="15" hidden="false" customHeight="false" outlineLevel="0" collapsed="false">
      <c r="A446" s="5" t="s">
        <v>580</v>
      </c>
      <c r="B446" s="5" t="s">
        <v>46</v>
      </c>
      <c r="C446" s="7" t="n">
        <v>45390</v>
      </c>
      <c r="D446" s="8" t="str">
        <f aca="false">INDEX(Dim_Supplier!$C$2:$C$21,MATCH(B446,Dim_Supplier!$A$2:$A$21,0))</f>
        <v>Raw Materials</v>
      </c>
      <c r="E446" s="8" t="str">
        <f aca="false">INDEX(Dim_Supplier!$B$2:$B$21,MATCH(B446,Dim_Supplier!$A$2:$A$21,0))</f>
        <v>Niagara Alloy Supply</v>
      </c>
      <c r="F446" s="5" t="s">
        <v>115</v>
      </c>
      <c r="G446" s="5" t="s">
        <v>125</v>
      </c>
      <c r="H446" s="8" t="n">
        <f aca="false">INDEX(Lookup_Tables!$B$2:$B$5,MATCH(D446,Lookup_Tables!$A$2:$A$5,0))</f>
        <v>21</v>
      </c>
      <c r="I446" s="9" t="n">
        <f aca="false">C446+H446</f>
        <v>45411</v>
      </c>
      <c r="J446" s="5" t="n">
        <v>1</v>
      </c>
      <c r="K446" s="9" t="n">
        <f aca="false">I446+J446</f>
        <v>45412</v>
      </c>
      <c r="L446" s="5" t="n">
        <v>1897</v>
      </c>
      <c r="M446" s="10" t="n">
        <f aca="false">INDEX(Dim_Supplier!$F$2:$F$21,MATCH(B446,Dim_Supplier!$A$2:$A$21,0))</f>
        <v>46.5</v>
      </c>
      <c r="N446" s="11" t="n">
        <v>0.0143</v>
      </c>
      <c r="O446" s="10" t="n">
        <f aca="false">M446*(1+N446)</f>
        <v>47.16495</v>
      </c>
      <c r="P446" s="10" t="n">
        <f aca="false">O446*L446</f>
        <v>89471.91015</v>
      </c>
      <c r="Q446" s="5" t="s">
        <v>113</v>
      </c>
      <c r="R446" s="5" t="n">
        <v>0</v>
      </c>
      <c r="S446" s="5" t="n">
        <v>30</v>
      </c>
      <c r="T446" s="12" t="n">
        <f aca="false">(O446-M446)/M446</f>
        <v>0.0142999999999999</v>
      </c>
      <c r="U446" s="8" t="n">
        <f aca="false">IF(AND(K446&lt;=I446,R446=0),1,0)</f>
        <v>0</v>
      </c>
      <c r="V446" s="10" t="n">
        <f aca="false">IF(Q446="No",P446,0)</f>
        <v>0</v>
      </c>
    </row>
    <row r="447" customFormat="false" ht="15" hidden="false" customHeight="false" outlineLevel="0" collapsed="false">
      <c r="A447" s="5" t="s">
        <v>581</v>
      </c>
      <c r="B447" s="5" t="s">
        <v>64</v>
      </c>
      <c r="C447" s="7" t="n">
        <v>45425</v>
      </c>
      <c r="D447" s="8" t="str">
        <f aca="false">INDEX(Dim_Supplier!$C$2:$C$21,MATCH(B447,Dim_Supplier!$A$2:$A$21,0))</f>
        <v>Packaging</v>
      </c>
      <c r="E447" s="8" t="str">
        <f aca="false">INDEX(Dim_Supplier!$B$2:$B$21,MATCH(B447,Dim_Supplier!$A$2:$A$21,0))</f>
        <v>Huron Pallet Works</v>
      </c>
      <c r="F447" s="5" t="s">
        <v>122</v>
      </c>
      <c r="G447" s="5" t="s">
        <v>129</v>
      </c>
      <c r="H447" s="8" t="n">
        <f aca="false">INDEX(Lookup_Tables!$B$2:$B$5,MATCH(D447,Lookup_Tables!$A$2:$A$5,0))</f>
        <v>14</v>
      </c>
      <c r="I447" s="9" t="n">
        <f aca="false">C447+H447</f>
        <v>45439</v>
      </c>
      <c r="J447" s="5" t="n">
        <v>8</v>
      </c>
      <c r="K447" s="9" t="n">
        <f aca="false">I447+J447</f>
        <v>45447</v>
      </c>
      <c r="L447" s="5" t="n">
        <v>4034</v>
      </c>
      <c r="M447" s="10" t="n">
        <f aca="false">INDEX(Dim_Supplier!$F$2:$F$21,MATCH(B447,Dim_Supplier!$A$2:$A$21,0))</f>
        <v>2.25</v>
      </c>
      <c r="N447" s="11" t="n">
        <v>0.1192</v>
      </c>
      <c r="O447" s="10" t="n">
        <f aca="false">M447*(1+N447)</f>
        <v>2.5182</v>
      </c>
      <c r="P447" s="10" t="n">
        <f aca="false">O447*L447</f>
        <v>10158.4188</v>
      </c>
      <c r="Q447" s="5" t="s">
        <v>133</v>
      </c>
      <c r="R447" s="5" t="n">
        <v>0</v>
      </c>
      <c r="S447" s="5" t="n">
        <v>30</v>
      </c>
      <c r="T447" s="12" t="n">
        <f aca="false">(O447-M447)/M447</f>
        <v>0.1192</v>
      </c>
      <c r="U447" s="8" t="n">
        <f aca="false">IF(AND(K447&lt;=I447,R447=0),1,0)</f>
        <v>0</v>
      </c>
      <c r="V447" s="10" t="n">
        <f aca="false">IF(Q447="No",P447,0)</f>
        <v>10158.4188</v>
      </c>
    </row>
    <row r="448" customFormat="false" ht="15" hidden="false" customHeight="false" outlineLevel="0" collapsed="false">
      <c r="A448" s="5" t="s">
        <v>582</v>
      </c>
      <c r="B448" s="5" t="s">
        <v>68</v>
      </c>
      <c r="C448" s="7" t="n">
        <v>45526</v>
      </c>
      <c r="D448" s="8" t="str">
        <f aca="false">INDEX(Dim_Supplier!$C$2:$C$21,MATCH(B448,Dim_Supplier!$A$2:$A$21,0))</f>
        <v>MRO</v>
      </c>
      <c r="E448" s="8" t="str">
        <f aca="false">INDEX(Dim_Supplier!$B$2:$B$21,MATCH(B448,Dim_Supplier!$A$2:$A$21,0))</f>
        <v>Precision Tool &amp; Supply</v>
      </c>
      <c r="F448" s="5" t="s">
        <v>179</v>
      </c>
      <c r="G448" s="5" t="s">
        <v>125</v>
      </c>
      <c r="H448" s="8" t="n">
        <f aca="false">INDEX(Lookup_Tables!$B$2:$B$5,MATCH(D448,Lookup_Tables!$A$2:$A$5,0))</f>
        <v>10</v>
      </c>
      <c r="I448" s="9" t="n">
        <f aca="false">C448+H448</f>
        <v>45536</v>
      </c>
      <c r="J448" s="5" t="n">
        <v>-4</v>
      </c>
      <c r="K448" s="9" t="n">
        <f aca="false">I448+J448</f>
        <v>45532</v>
      </c>
      <c r="L448" s="5" t="n">
        <v>199</v>
      </c>
      <c r="M448" s="10" t="n">
        <f aca="false">INDEX(Dim_Supplier!$F$2:$F$21,MATCH(B448,Dim_Supplier!$A$2:$A$21,0))</f>
        <v>22.4</v>
      </c>
      <c r="N448" s="11" t="n">
        <v>0.0392</v>
      </c>
      <c r="O448" s="10" t="n">
        <f aca="false">M448*(1+N448)</f>
        <v>23.27808</v>
      </c>
      <c r="P448" s="10" t="n">
        <f aca="false">O448*L448</f>
        <v>4632.33792</v>
      </c>
      <c r="Q448" s="5" t="s">
        <v>113</v>
      </c>
      <c r="R448" s="5" t="n">
        <v>0</v>
      </c>
      <c r="S448" s="5" t="n">
        <v>30</v>
      </c>
      <c r="T448" s="12" t="n">
        <f aca="false">(O448-M448)/M448</f>
        <v>0.0391999999999999</v>
      </c>
      <c r="U448" s="8" t="n">
        <f aca="false">IF(AND(K448&lt;=I448,R448=0),1,0)</f>
        <v>1</v>
      </c>
      <c r="V448" s="10" t="n">
        <f aca="false">IF(Q448="No",P448,0)</f>
        <v>0</v>
      </c>
    </row>
    <row r="449" customFormat="false" ht="15" hidden="false" customHeight="false" outlineLevel="0" collapsed="false">
      <c r="A449" s="5" t="s">
        <v>583</v>
      </c>
      <c r="B449" s="5" t="s">
        <v>52</v>
      </c>
      <c r="C449" s="7" t="n">
        <v>46076</v>
      </c>
      <c r="D449" s="8" t="str">
        <f aca="false">INDEX(Dim_Supplier!$C$2:$C$21,MATCH(B449,Dim_Supplier!$A$2:$A$21,0))</f>
        <v>Raw Materials</v>
      </c>
      <c r="E449" s="8" t="str">
        <f aca="false">INDEX(Dim_Supplier!$B$2:$B$21,MATCH(B449,Dim_Supplier!$A$2:$A$21,0))</f>
        <v>Laurentian Metals Inc.</v>
      </c>
      <c r="F449" s="5" t="s">
        <v>115</v>
      </c>
      <c r="G449" s="5" t="s">
        <v>129</v>
      </c>
      <c r="H449" s="8" t="n">
        <f aca="false">INDEX(Lookup_Tables!$B$2:$B$5,MATCH(D449,Lookup_Tables!$A$2:$A$5,0))</f>
        <v>21</v>
      </c>
      <c r="I449" s="9" t="n">
        <f aca="false">C449+H449</f>
        <v>46097</v>
      </c>
      <c r="J449" s="5" t="n">
        <v>-4</v>
      </c>
      <c r="K449" s="9" t="n">
        <f aca="false">I449+J449</f>
        <v>46093</v>
      </c>
      <c r="L449" s="5" t="n">
        <v>936</v>
      </c>
      <c r="M449" s="10" t="n">
        <f aca="false">INDEX(Dim_Supplier!$F$2:$F$21,MATCH(B449,Dim_Supplier!$A$2:$A$21,0))</f>
        <v>61.2</v>
      </c>
      <c r="N449" s="11" t="n">
        <v>0.06</v>
      </c>
      <c r="O449" s="10" t="n">
        <f aca="false">M449*(1+N449)</f>
        <v>64.872</v>
      </c>
      <c r="P449" s="10" t="n">
        <f aca="false">O449*L449</f>
        <v>60720.192</v>
      </c>
      <c r="Q449" s="5" t="s">
        <v>113</v>
      </c>
      <c r="R449" s="5" t="n">
        <v>1</v>
      </c>
      <c r="S449" s="5" t="n">
        <v>45</v>
      </c>
      <c r="T449" s="12" t="n">
        <f aca="false">(O449-M449)/M449</f>
        <v>0.06</v>
      </c>
      <c r="U449" s="8" t="n">
        <f aca="false">IF(AND(K449&lt;=I449,R449=0),1,0)</f>
        <v>0</v>
      </c>
      <c r="V449" s="10" t="n">
        <f aca="false">IF(Q449="No",P449,0)</f>
        <v>0</v>
      </c>
    </row>
    <row r="450" customFormat="false" ht="15" hidden="false" customHeight="false" outlineLevel="0" collapsed="false">
      <c r="A450" s="5" t="s">
        <v>584</v>
      </c>
      <c r="B450" s="5" t="s">
        <v>46</v>
      </c>
      <c r="C450" s="7" t="n">
        <v>45299</v>
      </c>
      <c r="D450" s="8" t="str">
        <f aca="false">INDEX(Dim_Supplier!$C$2:$C$21,MATCH(B450,Dim_Supplier!$A$2:$A$21,0))</f>
        <v>Raw Materials</v>
      </c>
      <c r="E450" s="8" t="str">
        <f aca="false">INDEX(Dim_Supplier!$B$2:$B$21,MATCH(B450,Dim_Supplier!$A$2:$A$21,0))</f>
        <v>Niagara Alloy Supply</v>
      </c>
      <c r="F450" s="5" t="s">
        <v>142</v>
      </c>
      <c r="G450" s="5" t="s">
        <v>112</v>
      </c>
      <c r="H450" s="8" t="n">
        <f aca="false">INDEX(Lookup_Tables!$B$2:$B$5,MATCH(D450,Lookup_Tables!$A$2:$A$5,0))</f>
        <v>21</v>
      </c>
      <c r="I450" s="9" t="n">
        <f aca="false">C450+H450</f>
        <v>45320</v>
      </c>
      <c r="J450" s="5" t="n">
        <v>-2</v>
      </c>
      <c r="K450" s="9" t="n">
        <f aca="false">I450+J450</f>
        <v>45318</v>
      </c>
      <c r="L450" s="5" t="n">
        <v>841</v>
      </c>
      <c r="M450" s="10" t="n">
        <f aca="false">INDEX(Dim_Supplier!$F$2:$F$21,MATCH(B450,Dim_Supplier!$A$2:$A$21,0))</f>
        <v>46.5</v>
      </c>
      <c r="N450" s="11" t="n">
        <v>0.0139</v>
      </c>
      <c r="O450" s="10" t="n">
        <f aca="false">M450*(1+N450)</f>
        <v>47.14635</v>
      </c>
      <c r="P450" s="10" t="n">
        <f aca="false">O450*L450</f>
        <v>39650.08035</v>
      </c>
      <c r="Q450" s="5" t="s">
        <v>113</v>
      </c>
      <c r="R450" s="5" t="n">
        <v>0</v>
      </c>
      <c r="S450" s="5" t="n">
        <v>45</v>
      </c>
      <c r="T450" s="12" t="n">
        <f aca="false">(O450-M450)/M450</f>
        <v>0.0139</v>
      </c>
      <c r="U450" s="8" t="n">
        <f aca="false">IF(AND(K450&lt;=I450,R450=0),1,0)</f>
        <v>1</v>
      </c>
      <c r="V450" s="10" t="n">
        <f aca="false">IF(Q450="No",P450,0)</f>
        <v>0</v>
      </c>
    </row>
    <row r="451" customFormat="false" ht="15" hidden="false" customHeight="false" outlineLevel="0" collapsed="false">
      <c r="A451" s="5" t="s">
        <v>585</v>
      </c>
      <c r="B451" s="5" t="s">
        <v>54</v>
      </c>
      <c r="C451" s="7" t="n">
        <v>45840</v>
      </c>
      <c r="D451" s="8" t="str">
        <f aca="false">INDEX(Dim_Supplier!$C$2:$C$21,MATCH(B451,Dim_Supplier!$A$2:$A$21,0))</f>
        <v>Raw Materials</v>
      </c>
      <c r="E451" s="8" t="str">
        <f aca="false">INDEX(Dim_Supplier!$B$2:$B$21,MATCH(B451,Dim_Supplier!$A$2:$A$21,0))</f>
        <v>Northern Resin Solutions</v>
      </c>
      <c r="F451" s="5" t="s">
        <v>142</v>
      </c>
      <c r="G451" s="5" t="s">
        <v>120</v>
      </c>
      <c r="H451" s="8" t="n">
        <f aca="false">INDEX(Lookup_Tables!$B$2:$B$5,MATCH(D451,Lookup_Tables!$A$2:$A$5,0))</f>
        <v>21</v>
      </c>
      <c r="I451" s="9" t="n">
        <f aca="false">C451+H451</f>
        <v>45861</v>
      </c>
      <c r="J451" s="5" t="n">
        <v>-4</v>
      </c>
      <c r="K451" s="9" t="n">
        <f aca="false">I451+J451</f>
        <v>45857</v>
      </c>
      <c r="L451" s="5" t="n">
        <v>913</v>
      </c>
      <c r="M451" s="10" t="n">
        <f aca="false">INDEX(Dim_Supplier!$F$2:$F$21,MATCH(B451,Dim_Supplier!$A$2:$A$21,0))</f>
        <v>38.9</v>
      </c>
      <c r="N451" s="11" t="n">
        <v>0.0099</v>
      </c>
      <c r="O451" s="10" t="n">
        <f aca="false">M451*(1+N451)</f>
        <v>39.28511</v>
      </c>
      <c r="P451" s="10" t="n">
        <f aca="false">O451*L451</f>
        <v>35867.30543</v>
      </c>
      <c r="Q451" s="5" t="s">
        <v>113</v>
      </c>
      <c r="R451" s="5" t="n">
        <v>0</v>
      </c>
      <c r="S451" s="5" t="n">
        <v>45</v>
      </c>
      <c r="T451" s="12" t="n">
        <f aca="false">(O451-M451)/M451</f>
        <v>0.00989999999999993</v>
      </c>
      <c r="U451" s="8" t="n">
        <f aca="false">IF(AND(K451&lt;=I451,R451=0),1,0)</f>
        <v>1</v>
      </c>
      <c r="V451" s="10" t="n">
        <f aca="false">IF(Q451="No",P451,0)</f>
        <v>0</v>
      </c>
    </row>
    <row r="452" customFormat="false" ht="15" hidden="false" customHeight="false" outlineLevel="0" collapsed="false">
      <c r="A452" s="5" t="s">
        <v>586</v>
      </c>
      <c r="B452" s="5" t="s">
        <v>64</v>
      </c>
      <c r="C452" s="7" t="n">
        <v>45671</v>
      </c>
      <c r="D452" s="8" t="str">
        <f aca="false">INDEX(Dim_Supplier!$C$2:$C$21,MATCH(B452,Dim_Supplier!$A$2:$A$21,0))</f>
        <v>Packaging</v>
      </c>
      <c r="E452" s="8" t="str">
        <f aca="false">INDEX(Dim_Supplier!$B$2:$B$21,MATCH(B452,Dim_Supplier!$A$2:$A$21,0))</f>
        <v>Huron Pallet Works</v>
      </c>
      <c r="F452" s="5" t="s">
        <v>122</v>
      </c>
      <c r="G452" s="5" t="s">
        <v>125</v>
      </c>
      <c r="H452" s="8" t="n">
        <f aca="false">INDEX(Lookup_Tables!$B$2:$B$5,MATCH(D452,Lookup_Tables!$A$2:$A$5,0))</f>
        <v>14</v>
      </c>
      <c r="I452" s="9" t="n">
        <f aca="false">C452+H452</f>
        <v>45685</v>
      </c>
      <c r="J452" s="5" t="n">
        <v>5</v>
      </c>
      <c r="K452" s="9" t="n">
        <f aca="false">I452+J452</f>
        <v>45690</v>
      </c>
      <c r="L452" s="5" t="n">
        <v>3320</v>
      </c>
      <c r="M452" s="10" t="n">
        <f aca="false">INDEX(Dim_Supplier!$F$2:$F$21,MATCH(B452,Dim_Supplier!$A$2:$A$21,0))</f>
        <v>2.25</v>
      </c>
      <c r="N452" s="11" t="n">
        <v>0.1571</v>
      </c>
      <c r="O452" s="10" t="n">
        <f aca="false">M452*(1+N452)</f>
        <v>2.603475</v>
      </c>
      <c r="P452" s="10" t="n">
        <f aca="false">O452*L452</f>
        <v>8643.537</v>
      </c>
      <c r="Q452" s="5" t="s">
        <v>133</v>
      </c>
      <c r="R452" s="5" t="n">
        <v>0</v>
      </c>
      <c r="S452" s="5" t="n">
        <v>30</v>
      </c>
      <c r="T452" s="12" t="n">
        <f aca="false">(O452-M452)/M452</f>
        <v>0.1571</v>
      </c>
      <c r="U452" s="8" t="n">
        <f aca="false">IF(AND(K452&lt;=I452,R452=0),1,0)</f>
        <v>0</v>
      </c>
      <c r="V452" s="10" t="n">
        <f aca="false">IF(Q452="No",P452,0)</f>
        <v>8643.537</v>
      </c>
    </row>
    <row r="453" customFormat="false" ht="15" hidden="false" customHeight="false" outlineLevel="0" collapsed="false">
      <c r="A453" s="5" t="s">
        <v>587</v>
      </c>
      <c r="B453" s="5" t="s">
        <v>82</v>
      </c>
      <c r="C453" s="7" t="n">
        <v>45413</v>
      </c>
      <c r="D453" s="8" t="str">
        <f aca="false">INDEX(Dim_Supplier!$C$2:$C$21,MATCH(B453,Dim_Supplier!$A$2:$A$21,0))</f>
        <v>Logistics</v>
      </c>
      <c r="E453" s="8" t="str">
        <f aca="false">INDEX(Dim_Supplier!$B$2:$B$21,MATCH(B453,Dim_Supplier!$A$2:$A$21,0))</f>
        <v>Maple Route Logistics</v>
      </c>
      <c r="F453" s="5" t="s">
        <v>154</v>
      </c>
      <c r="G453" s="5" t="s">
        <v>125</v>
      </c>
      <c r="H453" s="8" t="n">
        <f aca="false">INDEX(Lookup_Tables!$B$2:$B$5,MATCH(D453,Lookup_Tables!$A$2:$A$5,0))</f>
        <v>5</v>
      </c>
      <c r="I453" s="9" t="n">
        <f aca="false">C453+H453</f>
        <v>45418</v>
      </c>
      <c r="J453" s="5" t="n">
        <v>0</v>
      </c>
      <c r="K453" s="9" t="n">
        <f aca="false">I453+J453</f>
        <v>45418</v>
      </c>
      <c r="L453" s="5" t="n">
        <v>7</v>
      </c>
      <c r="M453" s="10" t="n">
        <f aca="false">INDEX(Dim_Supplier!$F$2:$F$21,MATCH(B453,Dim_Supplier!$A$2:$A$21,0))</f>
        <v>285</v>
      </c>
      <c r="N453" s="11" t="n">
        <v>-0.0178</v>
      </c>
      <c r="O453" s="10" t="n">
        <f aca="false">M453*(1+N453)</f>
        <v>279.927</v>
      </c>
      <c r="P453" s="10" t="n">
        <f aca="false">O453*L453</f>
        <v>1959.489</v>
      </c>
      <c r="Q453" s="5" t="s">
        <v>113</v>
      </c>
      <c r="R453" s="5" t="n">
        <v>0</v>
      </c>
      <c r="S453" s="5" t="n">
        <v>30</v>
      </c>
      <c r="T453" s="12" t="n">
        <f aca="false">(O453-M453)/M453</f>
        <v>-0.0178000000000001</v>
      </c>
      <c r="U453" s="8" t="n">
        <f aca="false">IF(AND(K453&lt;=I453,R453=0),1,0)</f>
        <v>1</v>
      </c>
      <c r="V453" s="10" t="n">
        <f aca="false">IF(Q453="No",P453,0)</f>
        <v>0</v>
      </c>
    </row>
    <row r="454" customFormat="false" ht="15" hidden="false" customHeight="false" outlineLevel="0" collapsed="false">
      <c r="A454" s="5" t="s">
        <v>588</v>
      </c>
      <c r="B454" s="5" t="s">
        <v>68</v>
      </c>
      <c r="C454" s="7" t="n">
        <v>46005</v>
      </c>
      <c r="D454" s="8" t="str">
        <f aca="false">INDEX(Dim_Supplier!$C$2:$C$21,MATCH(B454,Dim_Supplier!$A$2:$A$21,0))</f>
        <v>MRO</v>
      </c>
      <c r="E454" s="8" t="str">
        <f aca="false">INDEX(Dim_Supplier!$B$2:$B$21,MATCH(B454,Dim_Supplier!$A$2:$A$21,0))</f>
        <v>Precision Tool &amp; Supply</v>
      </c>
      <c r="F454" s="5" t="s">
        <v>127</v>
      </c>
      <c r="G454" s="5" t="s">
        <v>112</v>
      </c>
      <c r="H454" s="8" t="n">
        <f aca="false">INDEX(Lookup_Tables!$B$2:$B$5,MATCH(D454,Lookup_Tables!$A$2:$A$5,0))</f>
        <v>10</v>
      </c>
      <c r="I454" s="9" t="n">
        <f aca="false">C454+H454</f>
        <v>46015</v>
      </c>
      <c r="J454" s="5" t="n">
        <v>-4</v>
      </c>
      <c r="K454" s="9" t="n">
        <f aca="false">I454+J454</f>
        <v>46011</v>
      </c>
      <c r="L454" s="5" t="n">
        <v>28</v>
      </c>
      <c r="M454" s="10" t="n">
        <f aca="false">INDEX(Dim_Supplier!$F$2:$F$21,MATCH(B454,Dim_Supplier!$A$2:$A$21,0))</f>
        <v>22.4</v>
      </c>
      <c r="N454" s="11" t="n">
        <v>0.0282</v>
      </c>
      <c r="O454" s="10" t="n">
        <f aca="false">M454*(1+N454)</f>
        <v>23.03168</v>
      </c>
      <c r="P454" s="10" t="n">
        <f aca="false">O454*L454</f>
        <v>644.88704</v>
      </c>
      <c r="Q454" s="5" t="s">
        <v>113</v>
      </c>
      <c r="R454" s="5" t="n">
        <v>0</v>
      </c>
      <c r="S454" s="5" t="n">
        <v>45</v>
      </c>
      <c r="T454" s="12" t="n">
        <f aca="false">(O454-M454)/M454</f>
        <v>0.0282</v>
      </c>
      <c r="U454" s="8" t="n">
        <f aca="false">IF(AND(K454&lt;=I454,R454=0),1,0)</f>
        <v>1</v>
      </c>
      <c r="V454" s="10" t="n">
        <f aca="false">IF(Q454="No",P454,0)</f>
        <v>0</v>
      </c>
    </row>
    <row r="455" customFormat="false" ht="15" hidden="false" customHeight="false" outlineLevel="0" collapsed="false">
      <c r="A455" s="5" t="s">
        <v>589</v>
      </c>
      <c r="B455" s="5" t="s">
        <v>46</v>
      </c>
      <c r="C455" s="7" t="n">
        <v>45561</v>
      </c>
      <c r="D455" s="8" t="str">
        <f aca="false">INDEX(Dim_Supplier!$C$2:$C$21,MATCH(B455,Dim_Supplier!$A$2:$A$21,0))</f>
        <v>Raw Materials</v>
      </c>
      <c r="E455" s="8" t="str">
        <f aca="false">INDEX(Dim_Supplier!$B$2:$B$21,MATCH(B455,Dim_Supplier!$A$2:$A$21,0))</f>
        <v>Niagara Alloy Supply</v>
      </c>
      <c r="F455" s="5" t="s">
        <v>115</v>
      </c>
      <c r="G455" s="5" t="s">
        <v>120</v>
      </c>
      <c r="H455" s="8" t="n">
        <f aca="false">INDEX(Lookup_Tables!$B$2:$B$5,MATCH(D455,Lookup_Tables!$A$2:$A$5,0))</f>
        <v>21</v>
      </c>
      <c r="I455" s="9" t="n">
        <f aca="false">C455+H455</f>
        <v>45582</v>
      </c>
      <c r="J455" s="5" t="n">
        <v>-1</v>
      </c>
      <c r="K455" s="9" t="n">
        <f aca="false">I455+J455</f>
        <v>45581</v>
      </c>
      <c r="L455" s="5" t="n">
        <v>887</v>
      </c>
      <c r="M455" s="10" t="n">
        <f aca="false">INDEX(Dim_Supplier!$F$2:$F$21,MATCH(B455,Dim_Supplier!$A$2:$A$21,0))</f>
        <v>46.5</v>
      </c>
      <c r="N455" s="11" t="n">
        <v>0.0327</v>
      </c>
      <c r="O455" s="10" t="n">
        <f aca="false">M455*(1+N455)</f>
        <v>48.02055</v>
      </c>
      <c r="P455" s="10" t="n">
        <f aca="false">O455*L455</f>
        <v>42594.22785</v>
      </c>
      <c r="Q455" s="5" t="s">
        <v>133</v>
      </c>
      <c r="R455" s="5" t="n">
        <v>0</v>
      </c>
      <c r="S455" s="5" t="n">
        <v>45</v>
      </c>
      <c r="T455" s="12" t="n">
        <f aca="false">(O455-M455)/M455</f>
        <v>0.0327</v>
      </c>
      <c r="U455" s="8" t="n">
        <f aca="false">IF(AND(K455&lt;=I455,R455=0),1,0)</f>
        <v>1</v>
      </c>
      <c r="V455" s="10" t="n">
        <f aca="false">IF(Q455="No",P455,0)</f>
        <v>42594.22785</v>
      </c>
    </row>
    <row r="456" customFormat="false" ht="15" hidden="false" customHeight="false" outlineLevel="0" collapsed="false">
      <c r="A456" s="5" t="s">
        <v>590</v>
      </c>
      <c r="B456" s="5" t="s">
        <v>54</v>
      </c>
      <c r="C456" s="7" t="n">
        <v>45903</v>
      </c>
      <c r="D456" s="8" t="str">
        <f aca="false">INDEX(Dim_Supplier!$C$2:$C$21,MATCH(B456,Dim_Supplier!$A$2:$A$21,0))</f>
        <v>Raw Materials</v>
      </c>
      <c r="E456" s="8" t="str">
        <f aca="false">INDEX(Dim_Supplier!$B$2:$B$21,MATCH(B456,Dim_Supplier!$A$2:$A$21,0))</f>
        <v>Northern Resin Solutions</v>
      </c>
      <c r="F456" s="5" t="s">
        <v>148</v>
      </c>
      <c r="G456" s="5" t="s">
        <v>112</v>
      </c>
      <c r="H456" s="8" t="n">
        <f aca="false">INDEX(Lookup_Tables!$B$2:$B$5,MATCH(D456,Lookup_Tables!$A$2:$A$5,0))</f>
        <v>21</v>
      </c>
      <c r="I456" s="9" t="n">
        <f aca="false">C456+H456</f>
        <v>45924</v>
      </c>
      <c r="J456" s="5" t="n">
        <v>-2</v>
      </c>
      <c r="K456" s="9" t="n">
        <f aca="false">I456+J456</f>
        <v>45922</v>
      </c>
      <c r="L456" s="5" t="n">
        <v>513</v>
      </c>
      <c r="M456" s="10" t="n">
        <f aca="false">INDEX(Dim_Supplier!$F$2:$F$21,MATCH(B456,Dim_Supplier!$A$2:$A$21,0))</f>
        <v>38.9</v>
      </c>
      <c r="N456" s="11" t="n">
        <v>0.0334</v>
      </c>
      <c r="O456" s="10" t="n">
        <f aca="false">M456*(1+N456)</f>
        <v>40.19926</v>
      </c>
      <c r="P456" s="10" t="n">
        <f aca="false">O456*L456</f>
        <v>20622.22038</v>
      </c>
      <c r="Q456" s="5" t="s">
        <v>133</v>
      </c>
      <c r="R456" s="5" t="n">
        <v>0</v>
      </c>
      <c r="S456" s="5" t="n">
        <v>45</v>
      </c>
      <c r="T456" s="12" t="n">
        <f aca="false">(O456-M456)/M456</f>
        <v>0.0334000000000001</v>
      </c>
      <c r="U456" s="8" t="n">
        <f aca="false">IF(AND(K456&lt;=I456,R456=0),1,0)</f>
        <v>1</v>
      </c>
      <c r="V456" s="10" t="n">
        <f aca="false">IF(Q456="No",P456,0)</f>
        <v>20622.22038</v>
      </c>
    </row>
    <row r="457" customFormat="false" ht="15" hidden="false" customHeight="false" outlineLevel="0" collapsed="false">
      <c r="A457" s="5" t="s">
        <v>591</v>
      </c>
      <c r="B457" s="5" t="s">
        <v>52</v>
      </c>
      <c r="C457" s="7" t="n">
        <v>46094</v>
      </c>
      <c r="D457" s="8" t="str">
        <f aca="false">INDEX(Dim_Supplier!$C$2:$C$21,MATCH(B457,Dim_Supplier!$A$2:$A$21,0))</f>
        <v>Raw Materials</v>
      </c>
      <c r="E457" s="8" t="str">
        <f aca="false">INDEX(Dim_Supplier!$B$2:$B$21,MATCH(B457,Dim_Supplier!$A$2:$A$21,0))</f>
        <v>Laurentian Metals Inc.</v>
      </c>
      <c r="F457" s="5" t="s">
        <v>144</v>
      </c>
      <c r="G457" s="5" t="s">
        <v>112</v>
      </c>
      <c r="H457" s="8" t="n">
        <f aca="false">INDEX(Lookup_Tables!$B$2:$B$5,MATCH(D457,Lookup_Tables!$A$2:$A$5,0))</f>
        <v>21</v>
      </c>
      <c r="I457" s="9" t="n">
        <f aca="false">C457+H457</f>
        <v>46115</v>
      </c>
      <c r="J457" s="5" t="n">
        <v>-4</v>
      </c>
      <c r="K457" s="9" t="n">
        <f aca="false">I457+J457</f>
        <v>46111</v>
      </c>
      <c r="L457" s="5" t="n">
        <v>836</v>
      </c>
      <c r="M457" s="10" t="n">
        <f aca="false">INDEX(Dim_Supplier!$F$2:$F$21,MATCH(B457,Dim_Supplier!$A$2:$A$21,0))</f>
        <v>61.2</v>
      </c>
      <c r="N457" s="11" t="n">
        <v>0.0002</v>
      </c>
      <c r="O457" s="10" t="n">
        <f aca="false">M457*(1+N457)</f>
        <v>61.21224</v>
      </c>
      <c r="P457" s="10" t="n">
        <f aca="false">O457*L457</f>
        <v>51173.43264</v>
      </c>
      <c r="Q457" s="5" t="s">
        <v>113</v>
      </c>
      <c r="R457" s="5" t="n">
        <v>21</v>
      </c>
      <c r="S457" s="5" t="n">
        <v>30</v>
      </c>
      <c r="T457" s="12" t="n">
        <f aca="false">(O457-M457)/M457</f>
        <v>0.000199999999999975</v>
      </c>
      <c r="U457" s="8" t="n">
        <f aca="false">IF(AND(K457&lt;=I457,R457=0),1,0)</f>
        <v>0</v>
      </c>
      <c r="V457" s="10" t="n">
        <f aca="false">IF(Q457="No",P457,0)</f>
        <v>0</v>
      </c>
    </row>
    <row r="458" customFormat="false" ht="15" hidden="false" customHeight="false" outlineLevel="0" collapsed="false">
      <c r="A458" s="5" t="s">
        <v>592</v>
      </c>
      <c r="B458" s="5" t="s">
        <v>54</v>
      </c>
      <c r="C458" s="7" t="n">
        <v>45701</v>
      </c>
      <c r="D458" s="8" t="str">
        <f aca="false">INDEX(Dim_Supplier!$C$2:$C$21,MATCH(B458,Dim_Supplier!$A$2:$A$21,0))</f>
        <v>Raw Materials</v>
      </c>
      <c r="E458" s="8" t="str">
        <f aca="false">INDEX(Dim_Supplier!$B$2:$B$21,MATCH(B458,Dim_Supplier!$A$2:$A$21,0))</f>
        <v>Northern Resin Solutions</v>
      </c>
      <c r="F458" s="5" t="s">
        <v>139</v>
      </c>
      <c r="G458" s="5" t="s">
        <v>125</v>
      </c>
      <c r="H458" s="8" t="n">
        <f aca="false">INDEX(Lookup_Tables!$B$2:$B$5,MATCH(D458,Lookup_Tables!$A$2:$A$5,0))</f>
        <v>21</v>
      </c>
      <c r="I458" s="9" t="n">
        <f aca="false">C458+H458</f>
        <v>45722</v>
      </c>
      <c r="J458" s="5" t="n">
        <v>-2</v>
      </c>
      <c r="K458" s="9" t="n">
        <f aca="false">I458+J458</f>
        <v>45720</v>
      </c>
      <c r="L458" s="5" t="n">
        <v>131</v>
      </c>
      <c r="M458" s="10" t="n">
        <f aca="false">INDEX(Dim_Supplier!$F$2:$F$21,MATCH(B458,Dim_Supplier!$A$2:$A$21,0))</f>
        <v>38.9</v>
      </c>
      <c r="N458" s="11" t="n">
        <v>0.0575</v>
      </c>
      <c r="O458" s="10" t="n">
        <f aca="false">M458*(1+N458)</f>
        <v>41.13675</v>
      </c>
      <c r="P458" s="10" t="n">
        <f aca="false">O458*L458</f>
        <v>5388.91425</v>
      </c>
      <c r="Q458" s="5" t="s">
        <v>113</v>
      </c>
      <c r="R458" s="5" t="n">
        <v>0</v>
      </c>
      <c r="S458" s="5" t="n">
        <v>30</v>
      </c>
      <c r="T458" s="12" t="n">
        <f aca="false">(O458-M458)/M458</f>
        <v>0.0575</v>
      </c>
      <c r="U458" s="8" t="n">
        <f aca="false">IF(AND(K458&lt;=I458,R458=0),1,0)</f>
        <v>1</v>
      </c>
      <c r="V458" s="10" t="n">
        <f aca="false">IF(Q458="No",P458,0)</f>
        <v>0</v>
      </c>
    </row>
    <row r="459" customFormat="false" ht="15" hidden="false" customHeight="false" outlineLevel="0" collapsed="false">
      <c r="A459" s="5" t="s">
        <v>593</v>
      </c>
      <c r="B459" s="5" t="s">
        <v>54</v>
      </c>
      <c r="C459" s="7" t="n">
        <v>46141</v>
      </c>
      <c r="D459" s="8" t="str">
        <f aca="false">INDEX(Dim_Supplier!$C$2:$C$21,MATCH(B459,Dim_Supplier!$A$2:$A$21,0))</f>
        <v>Raw Materials</v>
      </c>
      <c r="E459" s="8" t="str">
        <f aca="false">INDEX(Dim_Supplier!$B$2:$B$21,MATCH(B459,Dim_Supplier!$A$2:$A$21,0))</f>
        <v>Northern Resin Solutions</v>
      </c>
      <c r="F459" s="5" t="s">
        <v>144</v>
      </c>
      <c r="G459" s="5" t="s">
        <v>120</v>
      </c>
      <c r="H459" s="8" t="n">
        <f aca="false">INDEX(Lookup_Tables!$B$2:$B$5,MATCH(D459,Lookup_Tables!$A$2:$A$5,0))</f>
        <v>21</v>
      </c>
      <c r="I459" s="9" t="n">
        <f aca="false">C459+H459</f>
        <v>46162</v>
      </c>
      <c r="J459" s="5" t="n">
        <v>-3</v>
      </c>
      <c r="K459" s="9" t="n">
        <f aca="false">I459+J459</f>
        <v>46159</v>
      </c>
      <c r="L459" s="5" t="n">
        <v>563</v>
      </c>
      <c r="M459" s="10" t="n">
        <f aca="false">INDEX(Dim_Supplier!$F$2:$F$21,MATCH(B459,Dim_Supplier!$A$2:$A$21,0))</f>
        <v>38.9</v>
      </c>
      <c r="N459" s="11" t="n">
        <v>0.0801</v>
      </c>
      <c r="O459" s="10" t="n">
        <f aca="false">M459*(1+N459)</f>
        <v>42.01589</v>
      </c>
      <c r="P459" s="10" t="n">
        <f aca="false">O459*L459</f>
        <v>23654.94607</v>
      </c>
      <c r="Q459" s="5" t="s">
        <v>113</v>
      </c>
      <c r="R459" s="5" t="n">
        <v>0</v>
      </c>
      <c r="S459" s="5" t="n">
        <v>60</v>
      </c>
      <c r="T459" s="12" t="n">
        <f aca="false">(O459-M459)/M459</f>
        <v>0.0801</v>
      </c>
      <c r="U459" s="8" t="n">
        <f aca="false">IF(AND(K459&lt;=I459,R459=0),1,0)</f>
        <v>1</v>
      </c>
      <c r="V459" s="10" t="n">
        <f aca="false">IF(Q459="No",P459,0)</f>
        <v>0</v>
      </c>
    </row>
    <row r="460" customFormat="false" ht="15" hidden="false" customHeight="false" outlineLevel="0" collapsed="false">
      <c r="A460" s="5" t="s">
        <v>594</v>
      </c>
      <c r="B460" s="5" t="s">
        <v>68</v>
      </c>
      <c r="C460" s="7" t="n">
        <v>45559</v>
      </c>
      <c r="D460" s="8" t="str">
        <f aca="false">INDEX(Dim_Supplier!$C$2:$C$21,MATCH(B460,Dim_Supplier!$A$2:$A$21,0))</f>
        <v>MRO</v>
      </c>
      <c r="E460" s="8" t="str">
        <f aca="false">INDEX(Dim_Supplier!$B$2:$B$21,MATCH(B460,Dim_Supplier!$A$2:$A$21,0))</f>
        <v>Precision Tool &amp; Supply</v>
      </c>
      <c r="F460" s="5" t="s">
        <v>164</v>
      </c>
      <c r="G460" s="5" t="s">
        <v>125</v>
      </c>
      <c r="H460" s="8" t="n">
        <f aca="false">INDEX(Lookup_Tables!$B$2:$B$5,MATCH(D460,Lookup_Tables!$A$2:$A$5,0))</f>
        <v>10</v>
      </c>
      <c r="I460" s="9" t="n">
        <f aca="false">C460+H460</f>
        <v>45569</v>
      </c>
      <c r="J460" s="5" t="n">
        <v>-4</v>
      </c>
      <c r="K460" s="9" t="n">
        <f aca="false">I460+J460</f>
        <v>45565</v>
      </c>
      <c r="L460" s="5" t="n">
        <v>133</v>
      </c>
      <c r="M460" s="10" t="n">
        <f aca="false">INDEX(Dim_Supplier!$F$2:$F$21,MATCH(B460,Dim_Supplier!$A$2:$A$21,0))</f>
        <v>22.4</v>
      </c>
      <c r="N460" s="11" t="n">
        <v>0.009</v>
      </c>
      <c r="O460" s="10" t="n">
        <f aca="false">M460*(1+N460)</f>
        <v>22.6016</v>
      </c>
      <c r="P460" s="10" t="n">
        <f aca="false">O460*L460</f>
        <v>3006.0128</v>
      </c>
      <c r="Q460" s="5" t="s">
        <v>113</v>
      </c>
      <c r="R460" s="5" t="n">
        <v>0</v>
      </c>
      <c r="S460" s="5" t="n">
        <v>60</v>
      </c>
      <c r="T460" s="12" t="n">
        <f aca="false">(O460-M460)/M460</f>
        <v>0.00899999999999996</v>
      </c>
      <c r="U460" s="8" t="n">
        <f aca="false">IF(AND(K460&lt;=I460,R460=0),1,0)</f>
        <v>1</v>
      </c>
      <c r="V460" s="10" t="n">
        <f aca="false">IF(Q460="No",P460,0)</f>
        <v>0</v>
      </c>
    </row>
    <row r="461" customFormat="false" ht="15" hidden="false" customHeight="false" outlineLevel="0" collapsed="false">
      <c r="A461" s="5" t="s">
        <v>595</v>
      </c>
      <c r="B461" s="5" t="s">
        <v>86</v>
      </c>
      <c r="C461" s="7" t="n">
        <v>46189</v>
      </c>
      <c r="D461" s="8" t="str">
        <f aca="false">INDEX(Dim_Supplier!$C$2:$C$21,MATCH(B461,Dim_Supplier!$A$2:$A$21,0))</f>
        <v>Logistics</v>
      </c>
      <c r="E461" s="8" t="str">
        <f aca="false">INDEX(Dim_Supplier!$B$2:$B$21,MATCH(B461,Dim_Supplier!$A$2:$A$21,0))</f>
        <v>Blue Water Customs Brokerage</v>
      </c>
      <c r="F461" s="5" t="s">
        <v>185</v>
      </c>
      <c r="G461" s="5" t="s">
        <v>120</v>
      </c>
      <c r="H461" s="8" t="n">
        <f aca="false">INDEX(Lookup_Tables!$B$2:$B$5,MATCH(D461,Lookup_Tables!$A$2:$A$5,0))</f>
        <v>5</v>
      </c>
      <c r="I461" s="9" t="n">
        <f aca="false">C461+H461</f>
        <v>46194</v>
      </c>
      <c r="J461" s="5" t="n">
        <v>-4</v>
      </c>
      <c r="K461" s="9" t="n">
        <f aca="false">I461+J461</f>
        <v>46190</v>
      </c>
      <c r="L461" s="5" t="n">
        <v>37</v>
      </c>
      <c r="M461" s="10" t="n">
        <f aca="false">INDEX(Dim_Supplier!$F$2:$F$21,MATCH(B461,Dim_Supplier!$A$2:$A$21,0))</f>
        <v>175</v>
      </c>
      <c r="N461" s="11" t="n">
        <v>-0.0389</v>
      </c>
      <c r="O461" s="10" t="n">
        <f aca="false">M461*(1+N461)</f>
        <v>168.1925</v>
      </c>
      <c r="P461" s="10" t="n">
        <f aca="false">O461*L461</f>
        <v>6223.1225</v>
      </c>
      <c r="Q461" s="5" t="s">
        <v>113</v>
      </c>
      <c r="R461" s="5" t="n">
        <v>0</v>
      </c>
      <c r="S461" s="5" t="n">
        <v>30</v>
      </c>
      <c r="T461" s="12" t="n">
        <f aca="false">(O461-M461)/M461</f>
        <v>-0.0389</v>
      </c>
      <c r="U461" s="8" t="n">
        <f aca="false">IF(AND(K461&lt;=I461,R461=0),1,0)</f>
        <v>1</v>
      </c>
      <c r="V461" s="10" t="n">
        <f aca="false">IF(Q461="No",P461,0)</f>
        <v>0</v>
      </c>
    </row>
    <row r="462" customFormat="false" ht="15" hidden="false" customHeight="false" outlineLevel="0" collapsed="false">
      <c r="A462" s="5" t="s">
        <v>596</v>
      </c>
      <c r="B462" s="5" t="s">
        <v>79</v>
      </c>
      <c r="C462" s="7" t="n">
        <v>45989</v>
      </c>
      <c r="D462" s="8" t="str">
        <f aca="false">INDEX(Dim_Supplier!$C$2:$C$21,MATCH(B462,Dim_Supplier!$A$2:$A$21,0))</f>
        <v>Logistics</v>
      </c>
      <c r="E462" s="8" t="str">
        <f aca="false">INDEX(Dim_Supplier!$B$2:$B$21,MATCH(B462,Dim_Supplier!$A$2:$A$21,0))</f>
        <v>Niagara Freight Solutions</v>
      </c>
      <c r="F462" s="5" t="s">
        <v>237</v>
      </c>
      <c r="G462" s="5" t="s">
        <v>129</v>
      </c>
      <c r="H462" s="8" t="n">
        <f aca="false">INDEX(Lookup_Tables!$B$2:$B$5,MATCH(D462,Lookup_Tables!$A$2:$A$5,0))</f>
        <v>5</v>
      </c>
      <c r="I462" s="9" t="n">
        <f aca="false">C462+H462</f>
        <v>45994</v>
      </c>
      <c r="J462" s="5" t="n">
        <v>-4</v>
      </c>
      <c r="K462" s="9" t="n">
        <f aca="false">I462+J462</f>
        <v>45990</v>
      </c>
      <c r="L462" s="5" t="n">
        <v>25</v>
      </c>
      <c r="M462" s="10" t="n">
        <f aca="false">INDEX(Dim_Supplier!$F$2:$F$21,MATCH(B462,Dim_Supplier!$A$2:$A$21,0))</f>
        <v>340</v>
      </c>
      <c r="N462" s="11" t="n">
        <v>0.0117</v>
      </c>
      <c r="O462" s="10" t="n">
        <f aca="false">M462*(1+N462)</f>
        <v>343.978</v>
      </c>
      <c r="P462" s="10" t="n">
        <f aca="false">O462*L462</f>
        <v>8599.45</v>
      </c>
      <c r="Q462" s="5" t="s">
        <v>113</v>
      </c>
      <c r="R462" s="5" t="n">
        <v>0</v>
      </c>
      <c r="S462" s="5" t="n">
        <v>45</v>
      </c>
      <c r="T462" s="12" t="n">
        <f aca="false">(O462-M462)/M462</f>
        <v>0.0117</v>
      </c>
      <c r="U462" s="8" t="n">
        <f aca="false">IF(AND(K462&lt;=I462,R462=0),1,0)</f>
        <v>1</v>
      </c>
      <c r="V462" s="10" t="n">
        <f aca="false">IF(Q462="No",P462,0)</f>
        <v>0</v>
      </c>
    </row>
    <row r="463" customFormat="false" ht="15" hidden="false" customHeight="false" outlineLevel="0" collapsed="false">
      <c r="A463" s="5" t="s">
        <v>597</v>
      </c>
      <c r="B463" s="5" t="s">
        <v>52</v>
      </c>
      <c r="C463" s="7" t="n">
        <v>45615</v>
      </c>
      <c r="D463" s="8" t="str">
        <f aca="false">INDEX(Dim_Supplier!$C$2:$C$21,MATCH(B463,Dim_Supplier!$A$2:$A$21,0))</f>
        <v>Raw Materials</v>
      </c>
      <c r="E463" s="8" t="str">
        <f aca="false">INDEX(Dim_Supplier!$B$2:$B$21,MATCH(B463,Dim_Supplier!$A$2:$A$21,0))</f>
        <v>Laurentian Metals Inc.</v>
      </c>
      <c r="F463" s="5" t="s">
        <v>142</v>
      </c>
      <c r="G463" s="5" t="s">
        <v>120</v>
      </c>
      <c r="H463" s="8" t="n">
        <f aca="false">INDEX(Lookup_Tables!$B$2:$B$5,MATCH(D463,Lookup_Tables!$A$2:$A$5,0))</f>
        <v>21</v>
      </c>
      <c r="I463" s="9" t="n">
        <f aca="false">C463+H463</f>
        <v>45636</v>
      </c>
      <c r="J463" s="5" t="n">
        <v>-3</v>
      </c>
      <c r="K463" s="9" t="n">
        <f aca="false">I463+J463</f>
        <v>45633</v>
      </c>
      <c r="L463" s="5" t="n">
        <v>1804</v>
      </c>
      <c r="M463" s="10" t="n">
        <f aca="false">INDEX(Dim_Supplier!$F$2:$F$21,MATCH(B463,Dim_Supplier!$A$2:$A$21,0))</f>
        <v>61.2</v>
      </c>
      <c r="N463" s="11" t="n">
        <v>0.0197</v>
      </c>
      <c r="O463" s="10" t="n">
        <f aca="false">M463*(1+N463)</f>
        <v>62.40564</v>
      </c>
      <c r="P463" s="10" t="n">
        <f aca="false">O463*L463</f>
        <v>112579.77456</v>
      </c>
      <c r="Q463" s="5" t="s">
        <v>113</v>
      </c>
      <c r="R463" s="5" t="n">
        <v>0</v>
      </c>
      <c r="S463" s="5" t="n">
        <v>30</v>
      </c>
      <c r="T463" s="12" t="n">
        <f aca="false">(O463-M463)/M463</f>
        <v>0.0197</v>
      </c>
      <c r="U463" s="8" t="n">
        <f aca="false">IF(AND(K463&lt;=I463,R463=0),1,0)</f>
        <v>1</v>
      </c>
      <c r="V463" s="10" t="n">
        <f aca="false">IF(Q463="No",P463,0)</f>
        <v>0</v>
      </c>
    </row>
    <row r="464" customFormat="false" ht="15" hidden="false" customHeight="false" outlineLevel="0" collapsed="false">
      <c r="A464" s="5" t="s">
        <v>598</v>
      </c>
      <c r="B464" s="5" t="s">
        <v>77</v>
      </c>
      <c r="C464" s="7" t="n">
        <v>45642</v>
      </c>
      <c r="D464" s="8" t="str">
        <f aca="false">INDEX(Dim_Supplier!$C$2:$C$21,MATCH(B464,Dim_Supplier!$A$2:$A$21,0))</f>
        <v>MRO</v>
      </c>
      <c r="E464" s="8" t="str">
        <f aca="false">INDEX(Dim_Supplier!$B$2:$B$21,MATCH(B464,Dim_Supplier!$A$2:$A$21,0))</f>
        <v>Apex Industrial Supply</v>
      </c>
      <c r="F464" s="5" t="s">
        <v>127</v>
      </c>
      <c r="G464" s="5" t="s">
        <v>112</v>
      </c>
      <c r="H464" s="8" t="n">
        <f aca="false">INDEX(Lookup_Tables!$B$2:$B$5,MATCH(D464,Lookup_Tables!$A$2:$A$5,0))</f>
        <v>10</v>
      </c>
      <c r="I464" s="9" t="n">
        <f aca="false">C464+H464</f>
        <v>45652</v>
      </c>
      <c r="J464" s="5" t="n">
        <v>-3</v>
      </c>
      <c r="K464" s="9" t="n">
        <f aca="false">I464+J464</f>
        <v>45649</v>
      </c>
      <c r="L464" s="5" t="n">
        <v>151</v>
      </c>
      <c r="M464" s="10" t="n">
        <f aca="false">INDEX(Dim_Supplier!$F$2:$F$21,MATCH(B464,Dim_Supplier!$A$2:$A$21,0))</f>
        <v>24.6</v>
      </c>
      <c r="N464" s="11" t="n">
        <v>0.0527</v>
      </c>
      <c r="O464" s="10" t="n">
        <f aca="false">M464*(1+N464)</f>
        <v>25.89642</v>
      </c>
      <c r="P464" s="10" t="n">
        <f aca="false">O464*L464</f>
        <v>3910.35942</v>
      </c>
      <c r="Q464" s="5" t="s">
        <v>113</v>
      </c>
      <c r="R464" s="5" t="n">
        <v>0</v>
      </c>
      <c r="S464" s="5" t="n">
        <v>45</v>
      </c>
      <c r="T464" s="12" t="n">
        <f aca="false">(O464-M464)/M464</f>
        <v>0.0526999999999999</v>
      </c>
      <c r="U464" s="8" t="n">
        <f aca="false">IF(AND(K464&lt;=I464,R464=0),1,0)</f>
        <v>1</v>
      </c>
      <c r="V464" s="10" t="n">
        <f aca="false">IF(Q464="No",P464,0)</f>
        <v>0</v>
      </c>
    </row>
    <row r="465" customFormat="false" ht="15" hidden="false" customHeight="false" outlineLevel="0" collapsed="false">
      <c r="A465" s="5" t="s">
        <v>599</v>
      </c>
      <c r="B465" s="5" t="s">
        <v>86</v>
      </c>
      <c r="C465" s="7" t="n">
        <v>45802</v>
      </c>
      <c r="D465" s="8" t="str">
        <f aca="false">INDEX(Dim_Supplier!$C$2:$C$21,MATCH(B465,Dim_Supplier!$A$2:$A$21,0))</f>
        <v>Logistics</v>
      </c>
      <c r="E465" s="8" t="str">
        <f aca="false">INDEX(Dim_Supplier!$B$2:$B$21,MATCH(B465,Dim_Supplier!$A$2:$A$21,0))</f>
        <v>Blue Water Customs Brokerage</v>
      </c>
      <c r="F465" s="5" t="s">
        <v>154</v>
      </c>
      <c r="G465" s="5" t="s">
        <v>112</v>
      </c>
      <c r="H465" s="8" t="n">
        <f aca="false">INDEX(Lookup_Tables!$B$2:$B$5,MATCH(D465,Lookup_Tables!$A$2:$A$5,0))</f>
        <v>5</v>
      </c>
      <c r="I465" s="9" t="n">
        <f aca="false">C465+H465</f>
        <v>45807</v>
      </c>
      <c r="J465" s="5" t="n">
        <v>-2</v>
      </c>
      <c r="K465" s="9" t="n">
        <f aca="false">I465+J465</f>
        <v>45805</v>
      </c>
      <c r="L465" s="5" t="n">
        <v>14</v>
      </c>
      <c r="M465" s="10" t="n">
        <f aca="false">INDEX(Dim_Supplier!$F$2:$F$21,MATCH(B465,Dim_Supplier!$A$2:$A$21,0))</f>
        <v>175</v>
      </c>
      <c r="N465" s="11" t="n">
        <v>-0.0304</v>
      </c>
      <c r="O465" s="10" t="n">
        <f aca="false">M465*(1+N465)</f>
        <v>169.68</v>
      </c>
      <c r="P465" s="10" t="n">
        <f aca="false">O465*L465</f>
        <v>2375.52</v>
      </c>
      <c r="Q465" s="5" t="s">
        <v>113</v>
      </c>
      <c r="R465" s="5" t="n">
        <v>0</v>
      </c>
      <c r="S465" s="5" t="n">
        <v>60</v>
      </c>
      <c r="T465" s="12" t="n">
        <f aca="false">(O465-M465)/M465</f>
        <v>-0.0304</v>
      </c>
      <c r="U465" s="8" t="n">
        <f aca="false">IF(AND(K465&lt;=I465,R465=0),1,0)</f>
        <v>1</v>
      </c>
      <c r="V465" s="10" t="n">
        <f aca="false">IF(Q465="No",P465,0)</f>
        <v>0</v>
      </c>
    </row>
    <row r="466" customFormat="false" ht="15" hidden="false" customHeight="false" outlineLevel="0" collapsed="false">
      <c r="A466" s="5" t="s">
        <v>600</v>
      </c>
      <c r="B466" s="5" t="s">
        <v>57</v>
      </c>
      <c r="C466" s="7" t="n">
        <v>46089</v>
      </c>
      <c r="D466" s="8" t="str">
        <f aca="false">INDEX(Dim_Supplier!$C$2:$C$21,MATCH(B466,Dim_Supplier!$A$2:$A$21,0))</f>
        <v>Packaging</v>
      </c>
      <c r="E466" s="8" t="str">
        <f aca="false">INDEX(Dim_Supplier!$B$2:$B$21,MATCH(B466,Dim_Supplier!$A$2:$A$21,0))</f>
        <v>Great Lakes Packaging Co.</v>
      </c>
      <c r="F466" s="5" t="s">
        <v>117</v>
      </c>
      <c r="G466" s="5" t="s">
        <v>129</v>
      </c>
      <c r="H466" s="8" t="n">
        <f aca="false">INDEX(Lookup_Tables!$B$2:$B$5,MATCH(D466,Lookup_Tables!$A$2:$A$5,0))</f>
        <v>14</v>
      </c>
      <c r="I466" s="9" t="n">
        <f aca="false">C466+H466</f>
        <v>46103</v>
      </c>
      <c r="J466" s="5" t="n">
        <v>0</v>
      </c>
      <c r="K466" s="9" t="n">
        <f aca="false">I466+J466</f>
        <v>46103</v>
      </c>
      <c r="L466" s="5" t="n">
        <v>4535</v>
      </c>
      <c r="M466" s="10" t="n">
        <f aca="false">INDEX(Dim_Supplier!$F$2:$F$21,MATCH(B466,Dim_Supplier!$A$2:$A$21,0))</f>
        <v>4.35</v>
      </c>
      <c r="N466" s="11" t="n">
        <v>-0.0044</v>
      </c>
      <c r="O466" s="10" t="n">
        <f aca="false">M466*(1+N466)</f>
        <v>4.33086</v>
      </c>
      <c r="P466" s="10" t="n">
        <f aca="false">O466*L466</f>
        <v>19640.4501</v>
      </c>
      <c r="Q466" s="5" t="s">
        <v>113</v>
      </c>
      <c r="R466" s="5" t="n">
        <v>0</v>
      </c>
      <c r="S466" s="5" t="n">
        <v>45</v>
      </c>
      <c r="T466" s="12" t="n">
        <f aca="false">(O466-M466)/M466</f>
        <v>-0.00440000000000004</v>
      </c>
      <c r="U466" s="8" t="n">
        <f aca="false">IF(AND(K466&lt;=I466,R466=0),1,0)</f>
        <v>1</v>
      </c>
      <c r="V466" s="10" t="n">
        <f aca="false">IF(Q466="No",P466,0)</f>
        <v>0</v>
      </c>
    </row>
    <row r="467" customFormat="false" ht="15" hidden="false" customHeight="false" outlineLevel="0" collapsed="false">
      <c r="A467" s="5" t="s">
        <v>601</v>
      </c>
      <c r="B467" s="5" t="s">
        <v>41</v>
      </c>
      <c r="C467" s="7" t="n">
        <v>45785</v>
      </c>
      <c r="D467" s="8" t="str">
        <f aca="false">INDEX(Dim_Supplier!$C$2:$C$21,MATCH(B467,Dim_Supplier!$A$2:$A$21,0))</f>
        <v>Raw Materials</v>
      </c>
      <c r="E467" s="8" t="str">
        <f aca="false">INDEX(Dim_Supplier!$B$2:$B$21,MATCH(B467,Dim_Supplier!$A$2:$A$21,0))</f>
        <v>Ontario Steel Partners</v>
      </c>
      <c r="F467" s="5" t="s">
        <v>139</v>
      </c>
      <c r="G467" s="5" t="s">
        <v>120</v>
      </c>
      <c r="H467" s="8" t="n">
        <f aca="false">INDEX(Lookup_Tables!$B$2:$B$5,MATCH(D467,Lookup_Tables!$A$2:$A$5,0))</f>
        <v>21</v>
      </c>
      <c r="I467" s="9" t="n">
        <f aca="false">C467+H467</f>
        <v>45806</v>
      </c>
      <c r="J467" s="5" t="n">
        <v>-4</v>
      </c>
      <c r="K467" s="9" t="n">
        <f aca="false">I467+J467</f>
        <v>45802</v>
      </c>
      <c r="L467" s="5" t="n">
        <v>1937</v>
      </c>
      <c r="M467" s="10" t="n">
        <f aca="false">INDEX(Dim_Supplier!$F$2:$F$21,MATCH(B467,Dim_Supplier!$A$2:$A$21,0))</f>
        <v>58</v>
      </c>
      <c r="N467" s="11" t="n">
        <v>0.0128</v>
      </c>
      <c r="O467" s="10" t="n">
        <f aca="false">M467*(1+N467)</f>
        <v>58.7424</v>
      </c>
      <c r="P467" s="10" t="n">
        <f aca="false">O467*L467</f>
        <v>113784.0288</v>
      </c>
      <c r="Q467" s="5" t="s">
        <v>113</v>
      </c>
      <c r="R467" s="5" t="n">
        <v>0</v>
      </c>
      <c r="S467" s="5" t="n">
        <v>30</v>
      </c>
      <c r="T467" s="12" t="n">
        <f aca="false">(O467-M467)/M467</f>
        <v>0.0127999999999999</v>
      </c>
      <c r="U467" s="8" t="n">
        <f aca="false">IF(AND(K467&lt;=I467,R467=0),1,0)</f>
        <v>1</v>
      </c>
      <c r="V467" s="10" t="n">
        <f aca="false">IF(Q467="No",P467,0)</f>
        <v>0</v>
      </c>
    </row>
    <row r="468" customFormat="false" ht="15" hidden="false" customHeight="false" outlineLevel="0" collapsed="false">
      <c r="A468" s="5" t="s">
        <v>602</v>
      </c>
      <c r="B468" s="5" t="s">
        <v>79</v>
      </c>
      <c r="C468" s="7" t="n">
        <v>45815</v>
      </c>
      <c r="D468" s="8" t="str">
        <f aca="false">INDEX(Dim_Supplier!$C$2:$C$21,MATCH(B468,Dim_Supplier!$A$2:$A$21,0))</f>
        <v>Logistics</v>
      </c>
      <c r="E468" s="8" t="str">
        <f aca="false">INDEX(Dim_Supplier!$B$2:$B$21,MATCH(B468,Dim_Supplier!$A$2:$A$21,0))</f>
        <v>Niagara Freight Solutions</v>
      </c>
      <c r="F468" s="5" t="s">
        <v>146</v>
      </c>
      <c r="G468" s="5" t="s">
        <v>125</v>
      </c>
      <c r="H468" s="8" t="n">
        <f aca="false">INDEX(Lookup_Tables!$B$2:$B$5,MATCH(D468,Lookup_Tables!$A$2:$A$5,0))</f>
        <v>5</v>
      </c>
      <c r="I468" s="9" t="n">
        <f aca="false">C468+H468</f>
        <v>45820</v>
      </c>
      <c r="J468" s="5" t="n">
        <v>-2</v>
      </c>
      <c r="K468" s="9" t="n">
        <f aca="false">I468+J468</f>
        <v>45818</v>
      </c>
      <c r="L468" s="5" t="n">
        <v>4</v>
      </c>
      <c r="M468" s="10" t="n">
        <f aca="false">INDEX(Dim_Supplier!$F$2:$F$21,MATCH(B468,Dim_Supplier!$A$2:$A$21,0))</f>
        <v>340</v>
      </c>
      <c r="N468" s="11" t="n">
        <v>0.0358</v>
      </c>
      <c r="O468" s="10" t="n">
        <f aca="false">M468*(1+N468)</f>
        <v>352.172</v>
      </c>
      <c r="P468" s="10" t="n">
        <f aca="false">O468*L468</f>
        <v>1408.688</v>
      </c>
      <c r="Q468" s="5" t="s">
        <v>113</v>
      </c>
      <c r="R468" s="5" t="n">
        <v>0</v>
      </c>
      <c r="S468" s="5" t="n">
        <v>60</v>
      </c>
      <c r="T468" s="12" t="n">
        <f aca="false">(O468-M468)/M468</f>
        <v>0.0358000000000001</v>
      </c>
      <c r="U468" s="8" t="n">
        <f aca="false">IF(AND(K468&lt;=I468,R468=0),1,0)</f>
        <v>1</v>
      </c>
      <c r="V468" s="10" t="n">
        <f aca="false">IF(Q468="No",P468,0)</f>
        <v>0</v>
      </c>
    </row>
    <row r="469" customFormat="false" ht="15" hidden="false" customHeight="false" outlineLevel="0" collapsed="false">
      <c r="A469" s="5" t="s">
        <v>603</v>
      </c>
      <c r="B469" s="5" t="s">
        <v>41</v>
      </c>
      <c r="C469" s="7" t="n">
        <v>45647</v>
      </c>
      <c r="D469" s="8" t="str">
        <f aca="false">INDEX(Dim_Supplier!$C$2:$C$21,MATCH(B469,Dim_Supplier!$A$2:$A$21,0))</f>
        <v>Raw Materials</v>
      </c>
      <c r="E469" s="8" t="str">
        <f aca="false">INDEX(Dim_Supplier!$B$2:$B$21,MATCH(B469,Dim_Supplier!$A$2:$A$21,0))</f>
        <v>Ontario Steel Partners</v>
      </c>
      <c r="F469" s="5" t="s">
        <v>142</v>
      </c>
      <c r="G469" s="5" t="s">
        <v>112</v>
      </c>
      <c r="H469" s="8" t="n">
        <f aca="false">INDEX(Lookup_Tables!$B$2:$B$5,MATCH(D469,Lookup_Tables!$A$2:$A$5,0))</f>
        <v>21</v>
      </c>
      <c r="I469" s="9" t="n">
        <f aca="false">C469+H469</f>
        <v>45668</v>
      </c>
      <c r="J469" s="5" t="n">
        <v>-4</v>
      </c>
      <c r="K469" s="9" t="n">
        <f aca="false">I469+J469</f>
        <v>45664</v>
      </c>
      <c r="L469" s="5" t="n">
        <v>1161</v>
      </c>
      <c r="M469" s="10" t="n">
        <f aca="false">INDEX(Dim_Supplier!$F$2:$F$21,MATCH(B469,Dim_Supplier!$A$2:$A$21,0))</f>
        <v>58</v>
      </c>
      <c r="N469" s="11" t="n">
        <v>0.0127</v>
      </c>
      <c r="O469" s="10" t="n">
        <f aca="false">M469*(1+N469)</f>
        <v>58.7366</v>
      </c>
      <c r="P469" s="10" t="n">
        <f aca="false">O469*L469</f>
        <v>68193.1926</v>
      </c>
      <c r="Q469" s="5" t="s">
        <v>113</v>
      </c>
      <c r="R469" s="5" t="n">
        <v>0</v>
      </c>
      <c r="S469" s="5" t="n">
        <v>30</v>
      </c>
      <c r="T469" s="12" t="n">
        <f aca="false">(O469-M469)/M469</f>
        <v>0.0126999999999999</v>
      </c>
      <c r="U469" s="8" t="n">
        <f aca="false">IF(AND(K469&lt;=I469,R469=0),1,0)</f>
        <v>1</v>
      </c>
      <c r="V469" s="10" t="n">
        <f aca="false">IF(Q469="No",P469,0)</f>
        <v>0</v>
      </c>
    </row>
    <row r="470" customFormat="false" ht="15" hidden="false" customHeight="false" outlineLevel="0" collapsed="false">
      <c r="A470" s="5" t="s">
        <v>604</v>
      </c>
      <c r="B470" s="5" t="s">
        <v>52</v>
      </c>
      <c r="C470" s="7" t="n">
        <v>45886</v>
      </c>
      <c r="D470" s="8" t="str">
        <f aca="false">INDEX(Dim_Supplier!$C$2:$C$21,MATCH(B470,Dim_Supplier!$A$2:$A$21,0))</f>
        <v>Raw Materials</v>
      </c>
      <c r="E470" s="8" t="str">
        <f aca="false">INDEX(Dim_Supplier!$B$2:$B$21,MATCH(B470,Dim_Supplier!$A$2:$A$21,0))</f>
        <v>Laurentian Metals Inc.</v>
      </c>
      <c r="F470" s="5" t="s">
        <v>148</v>
      </c>
      <c r="G470" s="5" t="s">
        <v>120</v>
      </c>
      <c r="H470" s="8" t="n">
        <f aca="false">INDEX(Lookup_Tables!$B$2:$B$5,MATCH(D470,Lookup_Tables!$A$2:$A$5,0))</f>
        <v>21</v>
      </c>
      <c r="I470" s="9" t="n">
        <f aca="false">C470+H470</f>
        <v>45907</v>
      </c>
      <c r="J470" s="5" t="n">
        <v>-4</v>
      </c>
      <c r="K470" s="9" t="n">
        <f aca="false">I470+J470</f>
        <v>45903</v>
      </c>
      <c r="L470" s="5" t="n">
        <v>483</v>
      </c>
      <c r="M470" s="10" t="n">
        <f aca="false">INDEX(Dim_Supplier!$F$2:$F$21,MATCH(B470,Dim_Supplier!$A$2:$A$21,0))</f>
        <v>61.2</v>
      </c>
      <c r="N470" s="11" t="n">
        <v>0.0504</v>
      </c>
      <c r="O470" s="10" t="n">
        <f aca="false">M470*(1+N470)</f>
        <v>64.28448</v>
      </c>
      <c r="P470" s="10" t="n">
        <f aca="false">O470*L470</f>
        <v>31049.40384</v>
      </c>
      <c r="Q470" s="5" t="s">
        <v>113</v>
      </c>
      <c r="R470" s="5" t="n">
        <v>0</v>
      </c>
      <c r="S470" s="5" t="n">
        <v>30</v>
      </c>
      <c r="T470" s="12" t="n">
        <f aca="false">(O470-M470)/M470</f>
        <v>0.0504</v>
      </c>
      <c r="U470" s="8" t="n">
        <f aca="false">IF(AND(K470&lt;=I470,R470=0),1,0)</f>
        <v>1</v>
      </c>
      <c r="V470" s="10" t="n">
        <f aca="false">IF(Q470="No",P470,0)</f>
        <v>0</v>
      </c>
    </row>
    <row r="471" customFormat="false" ht="15" hidden="false" customHeight="false" outlineLevel="0" collapsed="false">
      <c r="A471" s="5" t="s">
        <v>605</v>
      </c>
      <c r="B471" s="5" t="s">
        <v>71</v>
      </c>
      <c r="C471" s="7" t="n">
        <v>45666</v>
      </c>
      <c r="D471" s="8" t="str">
        <f aca="false">INDEX(Dim_Supplier!$C$2:$C$21,MATCH(B471,Dim_Supplier!$A$2:$A$21,0))</f>
        <v>MRO</v>
      </c>
      <c r="E471" s="8" t="str">
        <f aca="false">INDEX(Dim_Supplier!$B$2:$B$21,MATCH(B471,Dim_Supplier!$A$2:$A$21,0))</f>
        <v>CanSafe Equipment Ltd.</v>
      </c>
      <c r="F471" s="5" t="s">
        <v>164</v>
      </c>
      <c r="G471" s="5" t="s">
        <v>125</v>
      </c>
      <c r="H471" s="8" t="n">
        <f aca="false">INDEX(Lookup_Tables!$B$2:$B$5,MATCH(D471,Lookup_Tables!$A$2:$A$5,0))</f>
        <v>10</v>
      </c>
      <c r="I471" s="9" t="n">
        <f aca="false">C471+H471</f>
        <v>45676</v>
      </c>
      <c r="J471" s="5" t="n">
        <v>-3</v>
      </c>
      <c r="K471" s="9" t="n">
        <f aca="false">I471+J471</f>
        <v>45673</v>
      </c>
      <c r="L471" s="5" t="n">
        <v>197</v>
      </c>
      <c r="M471" s="10" t="n">
        <f aca="false">INDEX(Dim_Supplier!$F$2:$F$21,MATCH(B471,Dim_Supplier!$A$2:$A$21,0))</f>
        <v>18.75</v>
      </c>
      <c r="N471" s="11" t="n">
        <v>0.0396</v>
      </c>
      <c r="O471" s="10" t="n">
        <f aca="false">M471*(1+N471)</f>
        <v>19.4925</v>
      </c>
      <c r="P471" s="10" t="n">
        <f aca="false">O471*L471</f>
        <v>3840.0225</v>
      </c>
      <c r="Q471" s="5" t="s">
        <v>113</v>
      </c>
      <c r="R471" s="5" t="n">
        <v>0</v>
      </c>
      <c r="S471" s="5" t="n">
        <v>30</v>
      </c>
      <c r="T471" s="12" t="n">
        <f aca="false">(O471-M471)/M471</f>
        <v>0.0396</v>
      </c>
      <c r="U471" s="8" t="n">
        <f aca="false">IF(AND(K471&lt;=I471,R471=0),1,0)</f>
        <v>1</v>
      </c>
      <c r="V471" s="10" t="n">
        <f aca="false">IF(Q471="No",P471,0)</f>
        <v>0</v>
      </c>
    </row>
    <row r="472" customFormat="false" ht="15" hidden="false" customHeight="false" outlineLevel="0" collapsed="false">
      <c r="A472" s="5" t="s">
        <v>606</v>
      </c>
      <c r="B472" s="5" t="s">
        <v>52</v>
      </c>
      <c r="C472" s="7" t="n">
        <v>45426</v>
      </c>
      <c r="D472" s="8" t="str">
        <f aca="false">INDEX(Dim_Supplier!$C$2:$C$21,MATCH(B472,Dim_Supplier!$A$2:$A$21,0))</f>
        <v>Raw Materials</v>
      </c>
      <c r="E472" s="8" t="str">
        <f aca="false">INDEX(Dim_Supplier!$B$2:$B$21,MATCH(B472,Dim_Supplier!$A$2:$A$21,0))</f>
        <v>Laurentian Metals Inc.</v>
      </c>
      <c r="F472" s="5" t="s">
        <v>144</v>
      </c>
      <c r="G472" s="5" t="s">
        <v>112</v>
      </c>
      <c r="H472" s="8" t="n">
        <f aca="false">INDEX(Lookup_Tables!$B$2:$B$5,MATCH(D472,Lookup_Tables!$A$2:$A$5,0))</f>
        <v>21</v>
      </c>
      <c r="I472" s="9" t="n">
        <f aca="false">C472+H472</f>
        <v>45447</v>
      </c>
      <c r="J472" s="5" t="n">
        <v>-2</v>
      </c>
      <c r="K472" s="9" t="n">
        <f aca="false">I472+J472</f>
        <v>45445</v>
      </c>
      <c r="L472" s="5" t="n">
        <v>1746</v>
      </c>
      <c r="M472" s="10" t="n">
        <f aca="false">INDEX(Dim_Supplier!$F$2:$F$21,MATCH(B472,Dim_Supplier!$A$2:$A$21,0))</f>
        <v>61.2</v>
      </c>
      <c r="N472" s="11" t="n">
        <v>-0.0094</v>
      </c>
      <c r="O472" s="10" t="n">
        <f aca="false">M472*(1+N472)</f>
        <v>60.62472</v>
      </c>
      <c r="P472" s="10" t="n">
        <f aca="false">O472*L472</f>
        <v>105850.76112</v>
      </c>
      <c r="Q472" s="5" t="s">
        <v>113</v>
      </c>
      <c r="R472" s="5" t="n">
        <v>0</v>
      </c>
      <c r="S472" s="5" t="n">
        <v>30</v>
      </c>
      <c r="T472" s="12" t="n">
        <f aca="false">(O472-M472)/M472</f>
        <v>-0.00939999999999999</v>
      </c>
      <c r="U472" s="8" t="n">
        <f aca="false">IF(AND(K472&lt;=I472,R472=0),1,0)</f>
        <v>1</v>
      </c>
      <c r="V472" s="10" t="n">
        <f aca="false">IF(Q472="No",P472,0)</f>
        <v>0</v>
      </c>
    </row>
    <row r="473" customFormat="false" ht="15" hidden="false" customHeight="false" outlineLevel="0" collapsed="false">
      <c r="A473" s="5" t="s">
        <v>607</v>
      </c>
      <c r="B473" s="5" t="s">
        <v>46</v>
      </c>
      <c r="C473" s="7" t="n">
        <v>46048</v>
      </c>
      <c r="D473" s="8" t="str">
        <f aca="false">INDEX(Dim_Supplier!$C$2:$C$21,MATCH(B473,Dim_Supplier!$A$2:$A$21,0))</f>
        <v>Raw Materials</v>
      </c>
      <c r="E473" s="8" t="str">
        <f aca="false">INDEX(Dim_Supplier!$B$2:$B$21,MATCH(B473,Dim_Supplier!$A$2:$A$21,0))</f>
        <v>Niagara Alloy Supply</v>
      </c>
      <c r="F473" s="5" t="s">
        <v>115</v>
      </c>
      <c r="G473" s="5" t="s">
        <v>125</v>
      </c>
      <c r="H473" s="8" t="n">
        <f aca="false">INDEX(Lookup_Tables!$B$2:$B$5,MATCH(D473,Lookup_Tables!$A$2:$A$5,0))</f>
        <v>21</v>
      </c>
      <c r="I473" s="9" t="n">
        <f aca="false">C473+H473</f>
        <v>46069</v>
      </c>
      <c r="J473" s="5" t="n">
        <v>-1</v>
      </c>
      <c r="K473" s="9" t="n">
        <f aca="false">I473+J473</f>
        <v>46068</v>
      </c>
      <c r="L473" s="5" t="n">
        <v>1123</v>
      </c>
      <c r="M473" s="10" t="n">
        <f aca="false">INDEX(Dim_Supplier!$F$2:$F$21,MATCH(B473,Dim_Supplier!$A$2:$A$21,0))</f>
        <v>46.5</v>
      </c>
      <c r="N473" s="11" t="n">
        <v>0.0183</v>
      </c>
      <c r="O473" s="10" t="n">
        <f aca="false">M473*(1+N473)</f>
        <v>47.35095</v>
      </c>
      <c r="P473" s="10" t="n">
        <f aca="false">O473*L473</f>
        <v>53175.11685</v>
      </c>
      <c r="Q473" s="5" t="s">
        <v>113</v>
      </c>
      <c r="R473" s="5" t="n">
        <v>0</v>
      </c>
      <c r="S473" s="5" t="n">
        <v>45</v>
      </c>
      <c r="T473" s="12" t="n">
        <f aca="false">(O473-M473)/M473</f>
        <v>0.0182999999999999</v>
      </c>
      <c r="U473" s="8" t="n">
        <f aca="false">IF(AND(K473&lt;=I473,R473=0),1,0)</f>
        <v>1</v>
      </c>
      <c r="V473" s="10" t="n">
        <f aca="false">IF(Q473="No",P473,0)</f>
        <v>0</v>
      </c>
    </row>
    <row r="474" customFormat="false" ht="15" hidden="false" customHeight="false" outlineLevel="0" collapsed="false">
      <c r="A474" s="5" t="s">
        <v>608</v>
      </c>
      <c r="B474" s="5" t="s">
        <v>68</v>
      </c>
      <c r="C474" s="7" t="n">
        <v>45615</v>
      </c>
      <c r="D474" s="8" t="str">
        <f aca="false">INDEX(Dim_Supplier!$C$2:$C$21,MATCH(B474,Dim_Supplier!$A$2:$A$21,0))</f>
        <v>MRO</v>
      </c>
      <c r="E474" s="8" t="str">
        <f aca="false">INDEX(Dim_Supplier!$B$2:$B$21,MATCH(B474,Dim_Supplier!$A$2:$A$21,0))</f>
        <v>Precision Tool &amp; Supply</v>
      </c>
      <c r="F474" s="5" t="s">
        <v>179</v>
      </c>
      <c r="G474" s="5" t="s">
        <v>120</v>
      </c>
      <c r="H474" s="8" t="n">
        <f aca="false">INDEX(Lookup_Tables!$B$2:$B$5,MATCH(D474,Lookup_Tables!$A$2:$A$5,0))</f>
        <v>10</v>
      </c>
      <c r="I474" s="9" t="n">
        <f aca="false">C474+H474</f>
        <v>45625</v>
      </c>
      <c r="J474" s="5" t="n">
        <v>-3</v>
      </c>
      <c r="K474" s="9" t="n">
        <f aca="false">I474+J474</f>
        <v>45622</v>
      </c>
      <c r="L474" s="5" t="n">
        <v>17</v>
      </c>
      <c r="M474" s="10" t="n">
        <f aca="false">INDEX(Dim_Supplier!$F$2:$F$21,MATCH(B474,Dim_Supplier!$A$2:$A$21,0))</f>
        <v>22.4</v>
      </c>
      <c r="N474" s="11" t="n">
        <v>0.0496</v>
      </c>
      <c r="O474" s="10" t="n">
        <f aca="false">M474*(1+N474)</f>
        <v>23.51104</v>
      </c>
      <c r="P474" s="10" t="n">
        <f aca="false">O474*L474</f>
        <v>399.68768</v>
      </c>
      <c r="Q474" s="5" t="s">
        <v>113</v>
      </c>
      <c r="R474" s="5" t="n">
        <v>0</v>
      </c>
      <c r="S474" s="5" t="n">
        <v>30</v>
      </c>
      <c r="T474" s="12" t="n">
        <f aca="false">(O474-M474)/M474</f>
        <v>0.0496000000000001</v>
      </c>
      <c r="U474" s="8" t="n">
        <f aca="false">IF(AND(K474&lt;=I474,R474=0),1,0)</f>
        <v>1</v>
      </c>
      <c r="V474" s="10" t="n">
        <f aca="false">IF(Q474="No",P474,0)</f>
        <v>0</v>
      </c>
    </row>
    <row r="475" customFormat="false" ht="15" hidden="false" customHeight="false" outlineLevel="0" collapsed="false">
      <c r="A475" s="5" t="s">
        <v>609</v>
      </c>
      <c r="B475" s="5" t="s">
        <v>79</v>
      </c>
      <c r="C475" s="7" t="n">
        <v>45779</v>
      </c>
      <c r="D475" s="8" t="str">
        <f aca="false">INDEX(Dim_Supplier!$C$2:$C$21,MATCH(B475,Dim_Supplier!$A$2:$A$21,0))</f>
        <v>Logistics</v>
      </c>
      <c r="E475" s="8" t="str">
        <f aca="false">INDEX(Dim_Supplier!$B$2:$B$21,MATCH(B475,Dim_Supplier!$A$2:$A$21,0))</f>
        <v>Niagara Freight Solutions</v>
      </c>
      <c r="F475" s="5" t="s">
        <v>124</v>
      </c>
      <c r="G475" s="5" t="s">
        <v>125</v>
      </c>
      <c r="H475" s="8" t="n">
        <f aca="false">INDEX(Lookup_Tables!$B$2:$B$5,MATCH(D475,Lookup_Tables!$A$2:$A$5,0))</f>
        <v>5</v>
      </c>
      <c r="I475" s="9" t="n">
        <f aca="false">C475+H475</f>
        <v>45784</v>
      </c>
      <c r="J475" s="5" t="n">
        <v>-2</v>
      </c>
      <c r="K475" s="9" t="n">
        <f aca="false">I475+J475</f>
        <v>45782</v>
      </c>
      <c r="L475" s="5" t="n">
        <v>24</v>
      </c>
      <c r="M475" s="10" t="n">
        <f aca="false">INDEX(Dim_Supplier!$F$2:$F$21,MATCH(B475,Dim_Supplier!$A$2:$A$21,0))</f>
        <v>340</v>
      </c>
      <c r="N475" s="11" t="n">
        <v>-0.0055</v>
      </c>
      <c r="O475" s="10" t="n">
        <f aca="false">M475*(1+N475)</f>
        <v>338.13</v>
      </c>
      <c r="P475" s="10" t="n">
        <f aca="false">O475*L475</f>
        <v>8115.12</v>
      </c>
      <c r="Q475" s="5" t="s">
        <v>113</v>
      </c>
      <c r="R475" s="5" t="n">
        <v>0</v>
      </c>
      <c r="S475" s="5" t="n">
        <v>30</v>
      </c>
      <c r="T475" s="12" t="n">
        <f aca="false">(O475-M475)/M475</f>
        <v>-0.00550000000000001</v>
      </c>
      <c r="U475" s="8" t="n">
        <f aca="false">IF(AND(K475&lt;=I475,R475=0),1,0)</f>
        <v>1</v>
      </c>
      <c r="V475" s="10" t="n">
        <f aca="false">IF(Q475="No",P475,0)</f>
        <v>0</v>
      </c>
    </row>
    <row r="476" customFormat="false" ht="15" hidden="false" customHeight="false" outlineLevel="0" collapsed="false">
      <c r="A476" s="5" t="s">
        <v>610</v>
      </c>
      <c r="B476" s="5" t="s">
        <v>41</v>
      </c>
      <c r="C476" s="7" t="n">
        <v>45416</v>
      </c>
      <c r="D476" s="8" t="str">
        <f aca="false">INDEX(Dim_Supplier!$C$2:$C$21,MATCH(B476,Dim_Supplier!$A$2:$A$21,0))</f>
        <v>Raw Materials</v>
      </c>
      <c r="E476" s="8" t="str">
        <f aca="false">INDEX(Dim_Supplier!$B$2:$B$21,MATCH(B476,Dim_Supplier!$A$2:$A$21,0))</f>
        <v>Ontario Steel Partners</v>
      </c>
      <c r="F476" s="5" t="s">
        <v>139</v>
      </c>
      <c r="G476" s="5" t="s">
        <v>112</v>
      </c>
      <c r="H476" s="8" t="n">
        <f aca="false">INDEX(Lookup_Tables!$B$2:$B$5,MATCH(D476,Lookup_Tables!$A$2:$A$5,0))</f>
        <v>21</v>
      </c>
      <c r="I476" s="9" t="n">
        <f aca="false">C476+H476</f>
        <v>45437</v>
      </c>
      <c r="J476" s="5" t="n">
        <v>-4</v>
      </c>
      <c r="K476" s="9" t="n">
        <f aca="false">I476+J476</f>
        <v>45433</v>
      </c>
      <c r="L476" s="5" t="n">
        <v>1202</v>
      </c>
      <c r="M476" s="10" t="n">
        <f aca="false">INDEX(Dim_Supplier!$F$2:$F$21,MATCH(B476,Dim_Supplier!$A$2:$A$21,0))</f>
        <v>58</v>
      </c>
      <c r="N476" s="11" t="n">
        <v>-0.0035</v>
      </c>
      <c r="O476" s="10" t="n">
        <f aca="false">M476*(1+N476)</f>
        <v>57.797</v>
      </c>
      <c r="P476" s="10" t="n">
        <f aca="false">O476*L476</f>
        <v>69471.994</v>
      </c>
      <c r="Q476" s="5" t="s">
        <v>113</v>
      </c>
      <c r="R476" s="5" t="n">
        <v>0</v>
      </c>
      <c r="S476" s="5" t="n">
        <v>30</v>
      </c>
      <c r="T476" s="12" t="n">
        <f aca="false">(O476-M476)/M476</f>
        <v>-0.00349999999999993</v>
      </c>
      <c r="U476" s="8" t="n">
        <f aca="false">IF(AND(K476&lt;=I476,R476=0),1,0)</f>
        <v>1</v>
      </c>
      <c r="V476" s="10" t="n">
        <f aca="false">IF(Q476="No",P476,0)</f>
        <v>0</v>
      </c>
    </row>
    <row r="477" customFormat="false" ht="15" hidden="false" customHeight="false" outlineLevel="0" collapsed="false">
      <c r="A477" s="5" t="s">
        <v>611</v>
      </c>
      <c r="B477" s="5" t="s">
        <v>75</v>
      </c>
      <c r="C477" s="7" t="n">
        <v>45791</v>
      </c>
      <c r="D477" s="8" t="str">
        <f aca="false">INDEX(Dim_Supplier!$C$2:$C$21,MATCH(B477,Dim_Supplier!$A$2:$A$21,0))</f>
        <v>MRO</v>
      </c>
      <c r="E477" s="8" t="str">
        <f aca="false">INDEX(Dim_Supplier!$B$2:$B$21,MATCH(B477,Dim_Supplier!$A$2:$A$21,0))</f>
        <v>Sterling Lubricants Inc.</v>
      </c>
      <c r="F477" s="5" t="s">
        <v>179</v>
      </c>
      <c r="G477" s="5" t="s">
        <v>129</v>
      </c>
      <c r="H477" s="8" t="n">
        <f aca="false">INDEX(Lookup_Tables!$B$2:$B$5,MATCH(D477,Lookup_Tables!$A$2:$A$5,0))</f>
        <v>10</v>
      </c>
      <c r="I477" s="9" t="n">
        <f aca="false">C477+H477</f>
        <v>45801</v>
      </c>
      <c r="J477" s="5" t="n">
        <v>-4</v>
      </c>
      <c r="K477" s="9" t="n">
        <f aca="false">I477+J477</f>
        <v>45797</v>
      </c>
      <c r="L477" s="5" t="n">
        <v>166</v>
      </c>
      <c r="M477" s="10" t="n">
        <f aca="false">INDEX(Dim_Supplier!$F$2:$F$21,MATCH(B477,Dim_Supplier!$A$2:$A$21,0))</f>
        <v>27.1</v>
      </c>
      <c r="N477" s="11" t="n">
        <v>0.0312</v>
      </c>
      <c r="O477" s="10" t="n">
        <f aca="false">M477*(1+N477)</f>
        <v>27.94552</v>
      </c>
      <c r="P477" s="10" t="n">
        <f aca="false">O477*L477</f>
        <v>4638.95632</v>
      </c>
      <c r="Q477" s="5" t="s">
        <v>133</v>
      </c>
      <c r="R477" s="5" t="n">
        <v>0</v>
      </c>
      <c r="S477" s="5" t="n">
        <v>45</v>
      </c>
      <c r="T477" s="12" t="n">
        <f aca="false">(O477-M477)/M477</f>
        <v>0.0311999999999999</v>
      </c>
      <c r="U477" s="8" t="n">
        <f aca="false">IF(AND(K477&lt;=I477,R477=0),1,0)</f>
        <v>1</v>
      </c>
      <c r="V477" s="10" t="n">
        <f aca="false">IF(Q477="No",P477,0)</f>
        <v>4638.95632</v>
      </c>
    </row>
    <row r="478" customFormat="false" ht="15" hidden="false" customHeight="false" outlineLevel="0" collapsed="false">
      <c r="A478" s="5" t="s">
        <v>612</v>
      </c>
      <c r="B478" s="5" t="s">
        <v>86</v>
      </c>
      <c r="C478" s="7" t="n">
        <v>45723</v>
      </c>
      <c r="D478" s="8" t="str">
        <f aca="false">INDEX(Dim_Supplier!$C$2:$C$21,MATCH(B478,Dim_Supplier!$A$2:$A$21,0))</f>
        <v>Logistics</v>
      </c>
      <c r="E478" s="8" t="str">
        <f aca="false">INDEX(Dim_Supplier!$B$2:$B$21,MATCH(B478,Dim_Supplier!$A$2:$A$21,0))</f>
        <v>Blue Water Customs Brokerage</v>
      </c>
      <c r="F478" s="5" t="s">
        <v>185</v>
      </c>
      <c r="G478" s="5" t="s">
        <v>125</v>
      </c>
      <c r="H478" s="8" t="n">
        <f aca="false">INDEX(Lookup_Tables!$B$2:$B$5,MATCH(D478,Lookup_Tables!$A$2:$A$5,0))</f>
        <v>5</v>
      </c>
      <c r="I478" s="9" t="n">
        <f aca="false">C478+H478</f>
        <v>45728</v>
      </c>
      <c r="J478" s="5" t="n">
        <v>-2</v>
      </c>
      <c r="K478" s="9" t="n">
        <f aca="false">I478+J478</f>
        <v>45726</v>
      </c>
      <c r="L478" s="5" t="n">
        <v>11</v>
      </c>
      <c r="M478" s="10" t="n">
        <f aca="false">INDEX(Dim_Supplier!$F$2:$F$21,MATCH(B478,Dim_Supplier!$A$2:$A$21,0))</f>
        <v>175</v>
      </c>
      <c r="N478" s="11" t="n">
        <v>0.0037</v>
      </c>
      <c r="O478" s="10" t="n">
        <f aca="false">M478*(1+N478)</f>
        <v>175.6475</v>
      </c>
      <c r="P478" s="10" t="n">
        <f aca="false">O478*L478</f>
        <v>1932.1225</v>
      </c>
      <c r="Q478" s="5" t="s">
        <v>113</v>
      </c>
      <c r="R478" s="5" t="n">
        <v>0</v>
      </c>
      <c r="S478" s="5" t="n">
        <v>45</v>
      </c>
      <c r="T478" s="12" t="n">
        <f aca="false">(O478-M478)/M478</f>
        <v>0.00370000000000005</v>
      </c>
      <c r="U478" s="8" t="n">
        <f aca="false">IF(AND(K478&lt;=I478,R478=0),1,0)</f>
        <v>1</v>
      </c>
      <c r="V478" s="10" t="n">
        <f aca="false">IF(Q478="No",P478,0)</f>
        <v>0</v>
      </c>
    </row>
    <row r="479" customFormat="false" ht="15" hidden="false" customHeight="false" outlineLevel="0" collapsed="false">
      <c r="A479" s="5" t="s">
        <v>613</v>
      </c>
      <c r="B479" s="5" t="s">
        <v>75</v>
      </c>
      <c r="C479" s="7" t="n">
        <v>45911</v>
      </c>
      <c r="D479" s="8" t="str">
        <f aca="false">INDEX(Dim_Supplier!$C$2:$C$21,MATCH(B479,Dim_Supplier!$A$2:$A$21,0))</f>
        <v>MRO</v>
      </c>
      <c r="E479" s="8" t="str">
        <f aca="false">INDEX(Dim_Supplier!$B$2:$B$21,MATCH(B479,Dim_Supplier!$A$2:$A$21,0))</f>
        <v>Sterling Lubricants Inc.</v>
      </c>
      <c r="F479" s="5" t="s">
        <v>179</v>
      </c>
      <c r="G479" s="5" t="s">
        <v>120</v>
      </c>
      <c r="H479" s="8" t="n">
        <f aca="false">INDEX(Lookup_Tables!$B$2:$B$5,MATCH(D479,Lookup_Tables!$A$2:$A$5,0))</f>
        <v>10</v>
      </c>
      <c r="I479" s="9" t="n">
        <f aca="false">C479+H479</f>
        <v>45921</v>
      </c>
      <c r="J479" s="5" t="n">
        <v>0</v>
      </c>
      <c r="K479" s="9" t="n">
        <f aca="false">I479+J479</f>
        <v>45921</v>
      </c>
      <c r="L479" s="5" t="n">
        <v>97</v>
      </c>
      <c r="M479" s="10" t="n">
        <f aca="false">INDEX(Dim_Supplier!$F$2:$F$21,MATCH(B479,Dim_Supplier!$A$2:$A$21,0))</f>
        <v>27.1</v>
      </c>
      <c r="N479" s="11" t="n">
        <v>-0.0026</v>
      </c>
      <c r="O479" s="10" t="n">
        <f aca="false">M479*(1+N479)</f>
        <v>27.02954</v>
      </c>
      <c r="P479" s="10" t="n">
        <f aca="false">O479*L479</f>
        <v>2621.86538</v>
      </c>
      <c r="Q479" s="5" t="s">
        <v>113</v>
      </c>
      <c r="R479" s="5" t="n">
        <v>0</v>
      </c>
      <c r="S479" s="5" t="n">
        <v>30</v>
      </c>
      <c r="T479" s="12" t="n">
        <f aca="false">(O479-M479)/M479</f>
        <v>-0.00260000000000002</v>
      </c>
      <c r="U479" s="8" t="n">
        <f aca="false">IF(AND(K479&lt;=I479,R479=0),1,0)</f>
        <v>1</v>
      </c>
      <c r="V479" s="10" t="n">
        <f aca="false">IF(Q479="No",P479,0)</f>
        <v>0</v>
      </c>
    </row>
    <row r="480" customFormat="false" ht="15" hidden="false" customHeight="false" outlineLevel="0" collapsed="false">
      <c r="A480" s="5" t="s">
        <v>614</v>
      </c>
      <c r="B480" s="5" t="s">
        <v>49</v>
      </c>
      <c r="C480" s="7" t="n">
        <v>46166</v>
      </c>
      <c r="D480" s="8" t="str">
        <f aca="false">INDEX(Dim_Supplier!$C$2:$C$21,MATCH(B480,Dim_Supplier!$A$2:$A$21,0))</f>
        <v>Raw Materials</v>
      </c>
      <c r="E480" s="8" t="str">
        <f aca="false">INDEX(Dim_Supplier!$B$2:$B$21,MATCH(B480,Dim_Supplier!$A$2:$A$21,0))</f>
        <v>Great Lakes Polymer Co.</v>
      </c>
      <c r="F480" s="5" t="s">
        <v>148</v>
      </c>
      <c r="G480" s="5" t="s">
        <v>112</v>
      </c>
      <c r="H480" s="8" t="n">
        <f aca="false">INDEX(Lookup_Tables!$B$2:$B$5,MATCH(D480,Lookup_Tables!$A$2:$A$5,0))</f>
        <v>21</v>
      </c>
      <c r="I480" s="9" t="n">
        <f aca="false">C480+H480</f>
        <v>46187</v>
      </c>
      <c r="J480" s="5" t="n">
        <v>4</v>
      </c>
      <c r="K480" s="9" t="n">
        <f aca="false">I480+J480</f>
        <v>46191</v>
      </c>
      <c r="L480" s="5" t="n">
        <v>1623</v>
      </c>
      <c r="M480" s="10" t="n">
        <f aca="false">INDEX(Dim_Supplier!$F$2:$F$21,MATCH(B480,Dim_Supplier!$A$2:$A$21,0))</f>
        <v>32.75</v>
      </c>
      <c r="N480" s="11" t="n">
        <v>0.0908</v>
      </c>
      <c r="O480" s="10" t="n">
        <f aca="false">M480*(1+N480)</f>
        <v>35.7237</v>
      </c>
      <c r="P480" s="10" t="n">
        <f aca="false">O480*L480</f>
        <v>57979.5651</v>
      </c>
      <c r="Q480" s="5" t="s">
        <v>133</v>
      </c>
      <c r="R480" s="5" t="n">
        <v>0</v>
      </c>
      <c r="S480" s="5" t="n">
        <v>30</v>
      </c>
      <c r="T480" s="12" t="n">
        <f aca="false">(O480-M480)/M480</f>
        <v>0.0908</v>
      </c>
      <c r="U480" s="8" t="n">
        <f aca="false">IF(AND(K480&lt;=I480,R480=0),1,0)</f>
        <v>0</v>
      </c>
      <c r="V480" s="10" t="n">
        <f aca="false">IF(Q480="No",P480,0)</f>
        <v>57979.5651</v>
      </c>
    </row>
    <row r="481" customFormat="false" ht="15" hidden="false" customHeight="false" outlineLevel="0" collapsed="false">
      <c r="A481" s="5" t="s">
        <v>615</v>
      </c>
      <c r="B481" s="5" t="s">
        <v>46</v>
      </c>
      <c r="C481" s="7" t="n">
        <v>45357</v>
      </c>
      <c r="D481" s="8" t="str">
        <f aca="false">INDEX(Dim_Supplier!$C$2:$C$21,MATCH(B481,Dim_Supplier!$A$2:$A$21,0))</f>
        <v>Raw Materials</v>
      </c>
      <c r="E481" s="8" t="str">
        <f aca="false">INDEX(Dim_Supplier!$B$2:$B$21,MATCH(B481,Dim_Supplier!$A$2:$A$21,0))</f>
        <v>Niagara Alloy Supply</v>
      </c>
      <c r="F481" s="5" t="s">
        <v>142</v>
      </c>
      <c r="G481" s="5" t="s">
        <v>129</v>
      </c>
      <c r="H481" s="8" t="n">
        <f aca="false">INDEX(Lookup_Tables!$B$2:$B$5,MATCH(D481,Lookup_Tables!$A$2:$A$5,0))</f>
        <v>21</v>
      </c>
      <c r="I481" s="9" t="n">
        <f aca="false">C481+H481</f>
        <v>45378</v>
      </c>
      <c r="J481" s="5" t="n">
        <v>1</v>
      </c>
      <c r="K481" s="9" t="n">
        <f aca="false">I481+J481</f>
        <v>45379</v>
      </c>
      <c r="L481" s="5" t="n">
        <v>1666</v>
      </c>
      <c r="M481" s="10" t="n">
        <f aca="false">INDEX(Dim_Supplier!$F$2:$F$21,MATCH(B481,Dim_Supplier!$A$2:$A$21,0))</f>
        <v>46.5</v>
      </c>
      <c r="N481" s="11" t="n">
        <v>0.0333</v>
      </c>
      <c r="O481" s="10" t="n">
        <f aca="false">M481*(1+N481)</f>
        <v>48.04845</v>
      </c>
      <c r="P481" s="10" t="n">
        <f aca="false">O481*L481</f>
        <v>80048.7177</v>
      </c>
      <c r="Q481" s="5" t="s">
        <v>133</v>
      </c>
      <c r="R481" s="5" t="n">
        <v>0</v>
      </c>
      <c r="S481" s="5" t="n">
        <v>45</v>
      </c>
      <c r="T481" s="12" t="n">
        <f aca="false">(O481-M481)/M481</f>
        <v>0.0333000000000001</v>
      </c>
      <c r="U481" s="8" t="n">
        <f aca="false">IF(AND(K481&lt;=I481,R481=0),1,0)</f>
        <v>0</v>
      </c>
      <c r="V481" s="10" t="n">
        <f aca="false">IF(Q481="No",P481,0)</f>
        <v>80048.7177</v>
      </c>
    </row>
    <row r="482" customFormat="false" ht="15" hidden="false" customHeight="false" outlineLevel="0" collapsed="false">
      <c r="A482" s="5" t="s">
        <v>616</v>
      </c>
      <c r="B482" s="5" t="s">
        <v>41</v>
      </c>
      <c r="C482" s="7" t="n">
        <v>46198</v>
      </c>
      <c r="D482" s="8" t="str">
        <f aca="false">INDEX(Dim_Supplier!$C$2:$C$21,MATCH(B482,Dim_Supplier!$A$2:$A$21,0))</f>
        <v>Raw Materials</v>
      </c>
      <c r="E482" s="8" t="str">
        <f aca="false">INDEX(Dim_Supplier!$B$2:$B$21,MATCH(B482,Dim_Supplier!$A$2:$A$21,0))</f>
        <v>Ontario Steel Partners</v>
      </c>
      <c r="F482" s="5" t="s">
        <v>142</v>
      </c>
      <c r="G482" s="5" t="s">
        <v>120</v>
      </c>
      <c r="H482" s="8" t="n">
        <f aca="false">INDEX(Lookup_Tables!$B$2:$B$5,MATCH(D482,Lookup_Tables!$A$2:$A$5,0))</f>
        <v>21</v>
      </c>
      <c r="I482" s="9" t="n">
        <f aca="false">C482+H482</f>
        <v>46219</v>
      </c>
      <c r="J482" s="5" t="n">
        <v>-3</v>
      </c>
      <c r="K482" s="9" t="n">
        <f aca="false">I482+J482</f>
        <v>46216</v>
      </c>
      <c r="L482" s="5" t="n">
        <v>1007</v>
      </c>
      <c r="M482" s="10" t="n">
        <f aca="false">INDEX(Dim_Supplier!$F$2:$F$21,MATCH(B482,Dim_Supplier!$A$2:$A$21,0))</f>
        <v>58</v>
      </c>
      <c r="N482" s="11" t="n">
        <v>0.0424</v>
      </c>
      <c r="O482" s="10" t="n">
        <f aca="false">M482*(1+N482)</f>
        <v>60.4592</v>
      </c>
      <c r="P482" s="10" t="n">
        <f aca="false">O482*L482</f>
        <v>60882.4144</v>
      </c>
      <c r="Q482" s="5" t="s">
        <v>113</v>
      </c>
      <c r="R482" s="5" t="n">
        <v>0</v>
      </c>
      <c r="S482" s="5" t="n">
        <v>60</v>
      </c>
      <c r="T482" s="12" t="n">
        <f aca="false">(O482-M482)/M482</f>
        <v>0.0424000000000001</v>
      </c>
      <c r="U482" s="8" t="n">
        <f aca="false">IF(AND(K482&lt;=I482,R482=0),1,0)</f>
        <v>1</v>
      </c>
      <c r="V482" s="10" t="n">
        <f aca="false">IF(Q482="No",P482,0)</f>
        <v>0</v>
      </c>
    </row>
    <row r="483" customFormat="false" ht="15" hidden="false" customHeight="false" outlineLevel="0" collapsed="false">
      <c r="A483" s="5" t="s">
        <v>617</v>
      </c>
      <c r="B483" s="5" t="s">
        <v>41</v>
      </c>
      <c r="C483" s="7" t="n">
        <v>45971</v>
      </c>
      <c r="D483" s="8" t="str">
        <f aca="false">INDEX(Dim_Supplier!$C$2:$C$21,MATCH(B483,Dim_Supplier!$A$2:$A$21,0))</f>
        <v>Raw Materials</v>
      </c>
      <c r="E483" s="8" t="str">
        <f aca="false">INDEX(Dim_Supplier!$B$2:$B$21,MATCH(B483,Dim_Supplier!$A$2:$A$21,0))</f>
        <v>Ontario Steel Partners</v>
      </c>
      <c r="F483" s="5" t="s">
        <v>139</v>
      </c>
      <c r="G483" s="5" t="s">
        <v>120</v>
      </c>
      <c r="H483" s="8" t="n">
        <f aca="false">INDEX(Lookup_Tables!$B$2:$B$5,MATCH(D483,Lookup_Tables!$A$2:$A$5,0))</f>
        <v>21</v>
      </c>
      <c r="I483" s="9" t="n">
        <f aca="false">C483+H483</f>
        <v>45992</v>
      </c>
      <c r="J483" s="5" t="n">
        <v>-2</v>
      </c>
      <c r="K483" s="9" t="n">
        <f aca="false">I483+J483</f>
        <v>45990</v>
      </c>
      <c r="L483" s="5" t="n">
        <v>1883</v>
      </c>
      <c r="M483" s="10" t="n">
        <f aca="false">INDEX(Dim_Supplier!$F$2:$F$21,MATCH(B483,Dim_Supplier!$A$2:$A$21,0))</f>
        <v>58</v>
      </c>
      <c r="N483" s="11" t="n">
        <v>-0.0069</v>
      </c>
      <c r="O483" s="10" t="n">
        <f aca="false">M483*(1+N483)</f>
        <v>57.5998</v>
      </c>
      <c r="P483" s="10" t="n">
        <f aca="false">O483*L483</f>
        <v>108460.4234</v>
      </c>
      <c r="Q483" s="5" t="s">
        <v>113</v>
      </c>
      <c r="R483" s="5" t="n">
        <v>0</v>
      </c>
      <c r="S483" s="5" t="n">
        <v>30</v>
      </c>
      <c r="T483" s="12" t="n">
        <f aca="false">(O483-M483)/M483</f>
        <v>-0.00689999999999997</v>
      </c>
      <c r="U483" s="8" t="n">
        <f aca="false">IF(AND(K483&lt;=I483,R483=0),1,0)</f>
        <v>1</v>
      </c>
      <c r="V483" s="10" t="n">
        <f aca="false">IF(Q483="No",P483,0)</f>
        <v>0</v>
      </c>
    </row>
    <row r="484" customFormat="false" ht="15" hidden="false" customHeight="false" outlineLevel="0" collapsed="false">
      <c r="A484" s="5" t="s">
        <v>618</v>
      </c>
      <c r="B484" s="5" t="s">
        <v>88</v>
      </c>
      <c r="C484" s="7" t="n">
        <v>46006</v>
      </c>
      <c r="D484" s="8" t="str">
        <f aca="false">INDEX(Dim_Supplier!$C$2:$C$21,MATCH(B484,Dim_Supplier!$A$2:$A$21,0))</f>
        <v>Logistics</v>
      </c>
      <c r="E484" s="8" t="str">
        <f aca="false">INDEX(Dim_Supplier!$B$2:$B$21,MATCH(B484,Dim_Supplier!$A$2:$A$21,0))</f>
        <v>Summit Last-Mile Delivery</v>
      </c>
      <c r="F484" s="5" t="s">
        <v>185</v>
      </c>
      <c r="G484" s="5" t="s">
        <v>112</v>
      </c>
      <c r="H484" s="8" t="n">
        <f aca="false">INDEX(Lookup_Tables!$B$2:$B$5,MATCH(D484,Lookup_Tables!$A$2:$A$5,0))</f>
        <v>5</v>
      </c>
      <c r="I484" s="9" t="n">
        <f aca="false">C484+H484</f>
        <v>46011</v>
      </c>
      <c r="J484" s="5" t="n">
        <v>-3</v>
      </c>
      <c r="K484" s="9" t="n">
        <f aca="false">I484+J484</f>
        <v>46008</v>
      </c>
      <c r="L484" s="5" t="n">
        <v>48</v>
      </c>
      <c r="M484" s="10" t="n">
        <f aca="false">INDEX(Dim_Supplier!$F$2:$F$21,MATCH(B484,Dim_Supplier!$A$2:$A$21,0))</f>
        <v>95</v>
      </c>
      <c r="N484" s="11" t="n">
        <v>0.0281</v>
      </c>
      <c r="O484" s="10" t="n">
        <f aca="false">M484*(1+N484)</f>
        <v>97.6695</v>
      </c>
      <c r="P484" s="10" t="n">
        <f aca="false">O484*L484</f>
        <v>4688.136</v>
      </c>
      <c r="Q484" s="5" t="s">
        <v>113</v>
      </c>
      <c r="R484" s="5" t="n">
        <v>0</v>
      </c>
      <c r="S484" s="5" t="n">
        <v>45</v>
      </c>
      <c r="T484" s="12" t="n">
        <f aca="false">(O484-M484)/M484</f>
        <v>0.0281</v>
      </c>
      <c r="U484" s="8" t="n">
        <f aca="false">IF(AND(K484&lt;=I484,R484=0),1,0)</f>
        <v>1</v>
      </c>
      <c r="V484" s="10" t="n">
        <f aca="false">IF(Q484="No",P484,0)</f>
        <v>0</v>
      </c>
    </row>
    <row r="485" customFormat="false" ht="15" hidden="false" customHeight="false" outlineLevel="0" collapsed="false">
      <c r="A485" s="5" t="s">
        <v>619</v>
      </c>
      <c r="B485" s="5" t="s">
        <v>71</v>
      </c>
      <c r="C485" s="7" t="n">
        <v>45609</v>
      </c>
      <c r="D485" s="8" t="str">
        <f aca="false">INDEX(Dim_Supplier!$C$2:$C$21,MATCH(B485,Dim_Supplier!$A$2:$A$21,0))</f>
        <v>MRO</v>
      </c>
      <c r="E485" s="8" t="str">
        <f aca="false">INDEX(Dim_Supplier!$B$2:$B$21,MATCH(B485,Dim_Supplier!$A$2:$A$21,0))</f>
        <v>CanSafe Equipment Ltd.</v>
      </c>
      <c r="F485" s="5" t="s">
        <v>111</v>
      </c>
      <c r="G485" s="5" t="s">
        <v>125</v>
      </c>
      <c r="H485" s="8" t="n">
        <f aca="false">INDEX(Lookup_Tables!$B$2:$B$5,MATCH(D485,Lookup_Tables!$A$2:$A$5,0))</f>
        <v>10</v>
      </c>
      <c r="I485" s="9" t="n">
        <f aca="false">C485+H485</f>
        <v>45619</v>
      </c>
      <c r="J485" s="5" t="n">
        <v>-4</v>
      </c>
      <c r="K485" s="9" t="n">
        <f aca="false">I485+J485</f>
        <v>45615</v>
      </c>
      <c r="L485" s="5" t="n">
        <v>118</v>
      </c>
      <c r="M485" s="10" t="n">
        <f aca="false">INDEX(Dim_Supplier!$F$2:$F$21,MATCH(B485,Dim_Supplier!$A$2:$A$21,0))</f>
        <v>18.75</v>
      </c>
      <c r="N485" s="11" t="n">
        <v>0.0211</v>
      </c>
      <c r="O485" s="10" t="n">
        <f aca="false">M485*(1+N485)</f>
        <v>19.145625</v>
      </c>
      <c r="P485" s="10" t="n">
        <f aca="false">O485*L485</f>
        <v>2259.18375</v>
      </c>
      <c r="Q485" s="5" t="s">
        <v>113</v>
      </c>
      <c r="R485" s="5" t="n">
        <v>0</v>
      </c>
      <c r="S485" s="5" t="n">
        <v>30</v>
      </c>
      <c r="T485" s="12" t="n">
        <f aca="false">(O485-M485)/M485</f>
        <v>0.0211</v>
      </c>
      <c r="U485" s="8" t="n">
        <f aca="false">IF(AND(K485&lt;=I485,R485=0),1,0)</f>
        <v>1</v>
      </c>
      <c r="V485" s="10" t="n">
        <f aca="false">IF(Q485="No",P485,0)</f>
        <v>0</v>
      </c>
    </row>
    <row r="486" customFormat="false" ht="15" hidden="false" customHeight="false" outlineLevel="0" collapsed="false">
      <c r="A486" s="5" t="s">
        <v>620</v>
      </c>
      <c r="B486" s="5" t="s">
        <v>41</v>
      </c>
      <c r="C486" s="7" t="n">
        <v>45827</v>
      </c>
      <c r="D486" s="8" t="str">
        <f aca="false">INDEX(Dim_Supplier!$C$2:$C$21,MATCH(B486,Dim_Supplier!$A$2:$A$21,0))</f>
        <v>Raw Materials</v>
      </c>
      <c r="E486" s="8" t="str">
        <f aca="false">INDEX(Dim_Supplier!$B$2:$B$21,MATCH(B486,Dim_Supplier!$A$2:$A$21,0))</f>
        <v>Ontario Steel Partners</v>
      </c>
      <c r="F486" s="5" t="s">
        <v>115</v>
      </c>
      <c r="G486" s="5" t="s">
        <v>120</v>
      </c>
      <c r="H486" s="8" t="n">
        <f aca="false">INDEX(Lookup_Tables!$B$2:$B$5,MATCH(D486,Lookup_Tables!$A$2:$A$5,0))</f>
        <v>21</v>
      </c>
      <c r="I486" s="9" t="n">
        <f aca="false">C486+H486</f>
        <v>45848</v>
      </c>
      <c r="J486" s="5" t="n">
        <v>-4</v>
      </c>
      <c r="K486" s="9" t="n">
        <f aca="false">I486+J486</f>
        <v>45844</v>
      </c>
      <c r="L486" s="5" t="n">
        <v>1508</v>
      </c>
      <c r="M486" s="10" t="n">
        <f aca="false">INDEX(Dim_Supplier!$F$2:$F$21,MATCH(B486,Dim_Supplier!$A$2:$A$21,0))</f>
        <v>58</v>
      </c>
      <c r="N486" s="11" t="n">
        <v>0.0341</v>
      </c>
      <c r="O486" s="10" t="n">
        <f aca="false">M486*(1+N486)</f>
        <v>59.9778</v>
      </c>
      <c r="P486" s="10" t="n">
        <f aca="false">O486*L486</f>
        <v>90446.5224</v>
      </c>
      <c r="Q486" s="5" t="s">
        <v>113</v>
      </c>
      <c r="R486" s="5" t="n">
        <v>0</v>
      </c>
      <c r="S486" s="5" t="n">
        <v>30</v>
      </c>
      <c r="T486" s="12" t="n">
        <f aca="false">(O486-M486)/M486</f>
        <v>0.0341</v>
      </c>
      <c r="U486" s="8" t="n">
        <f aca="false">IF(AND(K486&lt;=I486,R486=0),1,0)</f>
        <v>1</v>
      </c>
      <c r="V486" s="10" t="n">
        <f aca="false">IF(Q486="No",P486,0)</f>
        <v>0</v>
      </c>
    </row>
    <row r="487" customFormat="false" ht="15" hidden="false" customHeight="false" outlineLevel="0" collapsed="false">
      <c r="A487" s="5" t="s">
        <v>621</v>
      </c>
      <c r="B487" s="5" t="s">
        <v>41</v>
      </c>
      <c r="C487" s="7" t="n">
        <v>45732</v>
      </c>
      <c r="D487" s="8" t="str">
        <f aca="false">INDEX(Dim_Supplier!$C$2:$C$21,MATCH(B487,Dim_Supplier!$A$2:$A$21,0))</f>
        <v>Raw Materials</v>
      </c>
      <c r="E487" s="8" t="str">
        <f aca="false">INDEX(Dim_Supplier!$B$2:$B$21,MATCH(B487,Dim_Supplier!$A$2:$A$21,0))</f>
        <v>Ontario Steel Partners</v>
      </c>
      <c r="F487" s="5" t="s">
        <v>139</v>
      </c>
      <c r="G487" s="5" t="s">
        <v>112</v>
      </c>
      <c r="H487" s="8" t="n">
        <f aca="false">INDEX(Lookup_Tables!$B$2:$B$5,MATCH(D487,Lookup_Tables!$A$2:$A$5,0))</f>
        <v>21</v>
      </c>
      <c r="I487" s="9" t="n">
        <f aca="false">C487+H487</f>
        <v>45753</v>
      </c>
      <c r="J487" s="5" t="n">
        <v>-2</v>
      </c>
      <c r="K487" s="9" t="n">
        <f aca="false">I487+J487</f>
        <v>45751</v>
      </c>
      <c r="L487" s="5" t="n">
        <v>486</v>
      </c>
      <c r="M487" s="10" t="n">
        <f aca="false">INDEX(Dim_Supplier!$F$2:$F$21,MATCH(B487,Dim_Supplier!$A$2:$A$21,0))</f>
        <v>58</v>
      </c>
      <c r="N487" s="11" t="n">
        <v>-0.0141</v>
      </c>
      <c r="O487" s="10" t="n">
        <f aca="false">M487*(1+N487)</f>
        <v>57.1822</v>
      </c>
      <c r="P487" s="10" t="n">
        <f aca="false">O487*L487</f>
        <v>27790.5492</v>
      </c>
      <c r="Q487" s="5" t="s">
        <v>113</v>
      </c>
      <c r="R487" s="5" t="n">
        <v>0</v>
      </c>
      <c r="S487" s="5" t="n">
        <v>30</v>
      </c>
      <c r="T487" s="12" t="n">
        <f aca="false">(O487-M487)/M487</f>
        <v>-0.0141</v>
      </c>
      <c r="U487" s="8" t="n">
        <f aca="false">IF(AND(K487&lt;=I487,R487=0),1,0)</f>
        <v>1</v>
      </c>
      <c r="V487" s="10" t="n">
        <f aca="false">IF(Q487="No",P487,0)</f>
        <v>0</v>
      </c>
    </row>
    <row r="488" customFormat="false" ht="15" hidden="false" customHeight="false" outlineLevel="0" collapsed="false">
      <c r="A488" s="5" t="s">
        <v>622</v>
      </c>
      <c r="B488" s="5" t="s">
        <v>49</v>
      </c>
      <c r="C488" s="7" t="n">
        <v>46046</v>
      </c>
      <c r="D488" s="8" t="str">
        <f aca="false">INDEX(Dim_Supplier!$C$2:$C$21,MATCH(B488,Dim_Supplier!$A$2:$A$21,0))</f>
        <v>Raw Materials</v>
      </c>
      <c r="E488" s="8" t="str">
        <f aca="false">INDEX(Dim_Supplier!$B$2:$B$21,MATCH(B488,Dim_Supplier!$A$2:$A$21,0))</f>
        <v>Great Lakes Polymer Co.</v>
      </c>
      <c r="F488" s="5" t="s">
        <v>142</v>
      </c>
      <c r="G488" s="5" t="s">
        <v>125</v>
      </c>
      <c r="H488" s="8" t="n">
        <f aca="false">INDEX(Lookup_Tables!$B$2:$B$5,MATCH(D488,Lookup_Tables!$A$2:$A$5,0))</f>
        <v>21</v>
      </c>
      <c r="I488" s="9" t="n">
        <f aca="false">C488+H488</f>
        <v>46067</v>
      </c>
      <c r="J488" s="5" t="n">
        <v>4</v>
      </c>
      <c r="K488" s="9" t="n">
        <f aca="false">I488+J488</f>
        <v>46071</v>
      </c>
      <c r="L488" s="5" t="n">
        <v>1380</v>
      </c>
      <c r="M488" s="10" t="n">
        <f aca="false">INDEX(Dim_Supplier!$F$2:$F$21,MATCH(B488,Dim_Supplier!$A$2:$A$21,0))</f>
        <v>32.75</v>
      </c>
      <c r="N488" s="11" t="n">
        <v>0.128</v>
      </c>
      <c r="O488" s="10" t="n">
        <f aca="false">M488*(1+N488)</f>
        <v>36.942</v>
      </c>
      <c r="P488" s="10" t="n">
        <f aca="false">O488*L488</f>
        <v>50979.96</v>
      </c>
      <c r="Q488" s="5" t="s">
        <v>113</v>
      </c>
      <c r="R488" s="5" t="n">
        <v>0</v>
      </c>
      <c r="S488" s="5" t="n">
        <v>60</v>
      </c>
      <c r="T488" s="12" t="n">
        <f aca="false">(O488-M488)/M488</f>
        <v>0.128</v>
      </c>
      <c r="U488" s="8" t="n">
        <f aca="false">IF(AND(K488&lt;=I488,R488=0),1,0)</f>
        <v>0</v>
      </c>
      <c r="V488" s="10" t="n">
        <f aca="false">IF(Q488="No",P488,0)</f>
        <v>0</v>
      </c>
    </row>
    <row r="489" customFormat="false" ht="15" hidden="false" customHeight="false" outlineLevel="0" collapsed="false">
      <c r="A489" s="5" t="s">
        <v>623</v>
      </c>
      <c r="B489" s="5" t="s">
        <v>79</v>
      </c>
      <c r="C489" s="7" t="n">
        <v>45993</v>
      </c>
      <c r="D489" s="8" t="str">
        <f aca="false">INDEX(Dim_Supplier!$C$2:$C$21,MATCH(B489,Dim_Supplier!$A$2:$A$21,0))</f>
        <v>Logistics</v>
      </c>
      <c r="E489" s="8" t="str">
        <f aca="false">INDEX(Dim_Supplier!$B$2:$B$21,MATCH(B489,Dim_Supplier!$A$2:$A$21,0))</f>
        <v>Niagara Freight Solutions</v>
      </c>
      <c r="F489" s="5" t="s">
        <v>146</v>
      </c>
      <c r="G489" s="5" t="s">
        <v>120</v>
      </c>
      <c r="H489" s="8" t="n">
        <f aca="false">INDEX(Lookup_Tables!$B$2:$B$5,MATCH(D489,Lookup_Tables!$A$2:$A$5,0))</f>
        <v>5</v>
      </c>
      <c r="I489" s="9" t="n">
        <f aca="false">C489+H489</f>
        <v>45998</v>
      </c>
      <c r="J489" s="5" t="n">
        <v>-3</v>
      </c>
      <c r="K489" s="9" t="n">
        <f aca="false">I489+J489</f>
        <v>45995</v>
      </c>
      <c r="L489" s="5" t="n">
        <v>18</v>
      </c>
      <c r="M489" s="10" t="n">
        <f aca="false">INDEX(Dim_Supplier!$F$2:$F$21,MATCH(B489,Dim_Supplier!$A$2:$A$21,0))</f>
        <v>340</v>
      </c>
      <c r="N489" s="11" t="n">
        <v>-0.0098</v>
      </c>
      <c r="O489" s="10" t="n">
        <f aca="false">M489*(1+N489)</f>
        <v>336.668</v>
      </c>
      <c r="P489" s="10" t="n">
        <f aca="false">O489*L489</f>
        <v>6060.024</v>
      </c>
      <c r="Q489" s="5" t="s">
        <v>113</v>
      </c>
      <c r="R489" s="5" t="n">
        <v>0</v>
      </c>
      <c r="S489" s="5" t="n">
        <v>30</v>
      </c>
      <c r="T489" s="12" t="n">
        <f aca="false">(O489-M489)/M489</f>
        <v>-0.00979999999999998</v>
      </c>
      <c r="U489" s="8" t="n">
        <f aca="false">IF(AND(K489&lt;=I489,R489=0),1,0)</f>
        <v>1</v>
      </c>
      <c r="V489" s="10" t="n">
        <f aca="false">IF(Q489="No",P489,0)</f>
        <v>0</v>
      </c>
    </row>
    <row r="490" customFormat="false" ht="15" hidden="false" customHeight="false" outlineLevel="0" collapsed="false">
      <c r="A490" s="5" t="s">
        <v>624</v>
      </c>
      <c r="B490" s="5" t="s">
        <v>54</v>
      </c>
      <c r="C490" s="7" t="n">
        <v>45944</v>
      </c>
      <c r="D490" s="8" t="str">
        <f aca="false">INDEX(Dim_Supplier!$C$2:$C$21,MATCH(B490,Dim_Supplier!$A$2:$A$21,0))</f>
        <v>Raw Materials</v>
      </c>
      <c r="E490" s="8" t="str">
        <f aca="false">INDEX(Dim_Supplier!$B$2:$B$21,MATCH(B490,Dim_Supplier!$A$2:$A$21,0))</f>
        <v>Northern Resin Solutions</v>
      </c>
      <c r="F490" s="5" t="s">
        <v>142</v>
      </c>
      <c r="G490" s="5" t="s">
        <v>125</v>
      </c>
      <c r="H490" s="8" t="n">
        <f aca="false">INDEX(Lookup_Tables!$B$2:$B$5,MATCH(D490,Lookup_Tables!$A$2:$A$5,0))</f>
        <v>21</v>
      </c>
      <c r="I490" s="9" t="n">
        <f aca="false">C490+H490</f>
        <v>45965</v>
      </c>
      <c r="J490" s="5" t="n">
        <v>-1</v>
      </c>
      <c r="K490" s="9" t="n">
        <f aca="false">I490+J490</f>
        <v>45964</v>
      </c>
      <c r="L490" s="5" t="n">
        <v>484</v>
      </c>
      <c r="M490" s="10" t="n">
        <f aca="false">INDEX(Dim_Supplier!$F$2:$F$21,MATCH(B490,Dim_Supplier!$A$2:$A$21,0))</f>
        <v>38.9</v>
      </c>
      <c r="N490" s="11" t="n">
        <v>0.0777</v>
      </c>
      <c r="O490" s="10" t="n">
        <f aca="false">M490*(1+N490)</f>
        <v>41.92253</v>
      </c>
      <c r="P490" s="10" t="n">
        <f aca="false">O490*L490</f>
        <v>20290.50452</v>
      </c>
      <c r="Q490" s="5" t="s">
        <v>113</v>
      </c>
      <c r="R490" s="5" t="n">
        <v>0</v>
      </c>
      <c r="S490" s="5" t="n">
        <v>60</v>
      </c>
      <c r="T490" s="12" t="n">
        <f aca="false">(O490-M490)/M490</f>
        <v>0.0777000000000001</v>
      </c>
      <c r="U490" s="8" t="n">
        <f aca="false">IF(AND(K490&lt;=I490,R490=0),1,0)</f>
        <v>1</v>
      </c>
      <c r="V490" s="10" t="n">
        <f aca="false">IF(Q490="No",P490,0)</f>
        <v>0</v>
      </c>
    </row>
    <row r="491" customFormat="false" ht="15" hidden="false" customHeight="false" outlineLevel="0" collapsed="false">
      <c r="A491" s="5" t="s">
        <v>625</v>
      </c>
      <c r="B491" s="5" t="s">
        <v>41</v>
      </c>
      <c r="C491" s="7" t="n">
        <v>45396</v>
      </c>
      <c r="D491" s="8" t="str">
        <f aca="false">INDEX(Dim_Supplier!$C$2:$C$21,MATCH(B491,Dim_Supplier!$A$2:$A$21,0))</f>
        <v>Raw Materials</v>
      </c>
      <c r="E491" s="8" t="str">
        <f aca="false">INDEX(Dim_Supplier!$B$2:$B$21,MATCH(B491,Dim_Supplier!$A$2:$A$21,0))</f>
        <v>Ontario Steel Partners</v>
      </c>
      <c r="F491" s="5" t="s">
        <v>139</v>
      </c>
      <c r="G491" s="5" t="s">
        <v>120</v>
      </c>
      <c r="H491" s="8" t="n">
        <f aca="false">INDEX(Lookup_Tables!$B$2:$B$5,MATCH(D491,Lookup_Tables!$A$2:$A$5,0))</f>
        <v>21</v>
      </c>
      <c r="I491" s="9" t="n">
        <f aca="false">C491+H491</f>
        <v>45417</v>
      </c>
      <c r="J491" s="5" t="n">
        <v>-1</v>
      </c>
      <c r="K491" s="9" t="n">
        <f aca="false">I491+J491</f>
        <v>45416</v>
      </c>
      <c r="L491" s="5" t="n">
        <v>116</v>
      </c>
      <c r="M491" s="10" t="n">
        <f aca="false">INDEX(Dim_Supplier!$F$2:$F$21,MATCH(B491,Dim_Supplier!$A$2:$A$21,0))</f>
        <v>58</v>
      </c>
      <c r="N491" s="11" t="n">
        <v>0.0252</v>
      </c>
      <c r="O491" s="10" t="n">
        <f aca="false">M491*(1+N491)</f>
        <v>59.4616</v>
      </c>
      <c r="P491" s="10" t="n">
        <f aca="false">O491*L491</f>
        <v>6897.5456</v>
      </c>
      <c r="Q491" s="5" t="s">
        <v>113</v>
      </c>
      <c r="R491" s="5" t="n">
        <v>0</v>
      </c>
      <c r="S491" s="5" t="n">
        <v>30</v>
      </c>
      <c r="T491" s="12" t="n">
        <f aca="false">(O491-M491)/M491</f>
        <v>0.0251999999999998</v>
      </c>
      <c r="U491" s="8" t="n">
        <f aca="false">IF(AND(K491&lt;=I491,R491=0),1,0)</f>
        <v>1</v>
      </c>
      <c r="V491" s="10" t="n">
        <f aca="false">IF(Q491="No",P491,0)</f>
        <v>0</v>
      </c>
    </row>
    <row r="492" customFormat="false" ht="15" hidden="false" customHeight="false" outlineLevel="0" collapsed="false">
      <c r="A492" s="5" t="s">
        <v>626</v>
      </c>
      <c r="B492" s="5" t="s">
        <v>57</v>
      </c>
      <c r="C492" s="7" t="n">
        <v>45611</v>
      </c>
      <c r="D492" s="8" t="str">
        <f aca="false">INDEX(Dim_Supplier!$C$2:$C$21,MATCH(B492,Dim_Supplier!$A$2:$A$21,0))</f>
        <v>Packaging</v>
      </c>
      <c r="E492" s="8" t="str">
        <f aca="false">INDEX(Dim_Supplier!$B$2:$B$21,MATCH(B492,Dim_Supplier!$A$2:$A$21,0))</f>
        <v>Great Lakes Packaging Co.</v>
      </c>
      <c r="F492" s="5" t="s">
        <v>137</v>
      </c>
      <c r="G492" s="5" t="s">
        <v>120</v>
      </c>
      <c r="H492" s="8" t="n">
        <f aca="false">INDEX(Lookup_Tables!$B$2:$B$5,MATCH(D492,Lookup_Tables!$A$2:$A$5,0))</f>
        <v>14</v>
      </c>
      <c r="I492" s="9" t="n">
        <f aca="false">C492+H492</f>
        <v>45625</v>
      </c>
      <c r="J492" s="5" t="n">
        <v>-4</v>
      </c>
      <c r="K492" s="9" t="n">
        <f aca="false">I492+J492</f>
        <v>45621</v>
      </c>
      <c r="L492" s="5" t="n">
        <v>3205</v>
      </c>
      <c r="M492" s="10" t="n">
        <f aca="false">INDEX(Dim_Supplier!$F$2:$F$21,MATCH(B492,Dim_Supplier!$A$2:$A$21,0))</f>
        <v>4.35</v>
      </c>
      <c r="N492" s="11" t="n">
        <v>0.018</v>
      </c>
      <c r="O492" s="10" t="n">
        <f aca="false">M492*(1+N492)</f>
        <v>4.4283</v>
      </c>
      <c r="P492" s="10" t="n">
        <f aca="false">O492*L492</f>
        <v>14192.7015</v>
      </c>
      <c r="Q492" s="5" t="s">
        <v>113</v>
      </c>
      <c r="R492" s="5" t="n">
        <v>0</v>
      </c>
      <c r="S492" s="5" t="n">
        <v>30</v>
      </c>
      <c r="T492" s="12" t="n">
        <f aca="false">(O492-M492)/M492</f>
        <v>0.0180000000000001</v>
      </c>
      <c r="U492" s="8" t="n">
        <f aca="false">IF(AND(K492&lt;=I492,R492=0),1,0)</f>
        <v>1</v>
      </c>
      <c r="V492" s="10" t="n">
        <f aca="false">IF(Q492="No",P492,0)</f>
        <v>0</v>
      </c>
    </row>
    <row r="493" customFormat="false" ht="15" hidden="false" customHeight="false" outlineLevel="0" collapsed="false">
      <c r="A493" s="5" t="s">
        <v>627</v>
      </c>
      <c r="B493" s="5" t="s">
        <v>54</v>
      </c>
      <c r="C493" s="7" t="n">
        <v>45693</v>
      </c>
      <c r="D493" s="8" t="str">
        <f aca="false">INDEX(Dim_Supplier!$C$2:$C$21,MATCH(B493,Dim_Supplier!$A$2:$A$21,0))</f>
        <v>Raw Materials</v>
      </c>
      <c r="E493" s="8" t="str">
        <f aca="false">INDEX(Dim_Supplier!$B$2:$B$21,MATCH(B493,Dim_Supplier!$A$2:$A$21,0))</f>
        <v>Northern Resin Solutions</v>
      </c>
      <c r="F493" s="5" t="s">
        <v>148</v>
      </c>
      <c r="G493" s="5" t="s">
        <v>125</v>
      </c>
      <c r="H493" s="8" t="n">
        <f aca="false">INDEX(Lookup_Tables!$B$2:$B$5,MATCH(D493,Lookup_Tables!$A$2:$A$5,0))</f>
        <v>21</v>
      </c>
      <c r="I493" s="9" t="n">
        <f aca="false">C493+H493</f>
        <v>45714</v>
      </c>
      <c r="J493" s="5" t="n">
        <v>1</v>
      </c>
      <c r="K493" s="9" t="n">
        <f aca="false">I493+J493</f>
        <v>45715</v>
      </c>
      <c r="L493" s="5" t="n">
        <v>612</v>
      </c>
      <c r="M493" s="10" t="n">
        <f aca="false">INDEX(Dim_Supplier!$F$2:$F$21,MATCH(B493,Dim_Supplier!$A$2:$A$21,0))</f>
        <v>38.9</v>
      </c>
      <c r="N493" s="11" t="n">
        <v>0.0887</v>
      </c>
      <c r="O493" s="10" t="n">
        <f aca="false">M493*(1+N493)</f>
        <v>42.35043</v>
      </c>
      <c r="P493" s="10" t="n">
        <f aca="false">O493*L493</f>
        <v>25918.46316</v>
      </c>
      <c r="Q493" s="5" t="s">
        <v>133</v>
      </c>
      <c r="R493" s="5" t="n">
        <v>0</v>
      </c>
      <c r="S493" s="5" t="n">
        <v>30</v>
      </c>
      <c r="T493" s="12" t="n">
        <f aca="false">(O493-M493)/M493</f>
        <v>0.0886999999999999</v>
      </c>
      <c r="U493" s="8" t="n">
        <f aca="false">IF(AND(K493&lt;=I493,R493=0),1,0)</f>
        <v>0</v>
      </c>
      <c r="V493" s="10" t="n">
        <f aca="false">IF(Q493="No",P493,0)</f>
        <v>25918.46316</v>
      </c>
    </row>
    <row r="494" customFormat="false" ht="15" hidden="false" customHeight="false" outlineLevel="0" collapsed="false">
      <c r="A494" s="5" t="s">
        <v>628</v>
      </c>
      <c r="B494" s="5" t="s">
        <v>79</v>
      </c>
      <c r="C494" s="7" t="n">
        <v>45546</v>
      </c>
      <c r="D494" s="8" t="str">
        <f aca="false">INDEX(Dim_Supplier!$C$2:$C$21,MATCH(B494,Dim_Supplier!$A$2:$A$21,0))</f>
        <v>Logistics</v>
      </c>
      <c r="E494" s="8" t="str">
        <f aca="false">INDEX(Dim_Supplier!$B$2:$B$21,MATCH(B494,Dim_Supplier!$A$2:$A$21,0))</f>
        <v>Niagara Freight Solutions</v>
      </c>
      <c r="F494" s="5" t="s">
        <v>237</v>
      </c>
      <c r="G494" s="5" t="s">
        <v>125</v>
      </c>
      <c r="H494" s="8" t="n">
        <f aca="false">INDEX(Lookup_Tables!$B$2:$B$5,MATCH(D494,Lookup_Tables!$A$2:$A$5,0))</f>
        <v>5</v>
      </c>
      <c r="I494" s="9" t="n">
        <f aca="false">C494+H494</f>
        <v>45551</v>
      </c>
      <c r="J494" s="5" t="n">
        <v>-2</v>
      </c>
      <c r="K494" s="9" t="n">
        <f aca="false">I494+J494</f>
        <v>45549</v>
      </c>
      <c r="L494" s="5" t="n">
        <v>13</v>
      </c>
      <c r="M494" s="10" t="n">
        <f aca="false">INDEX(Dim_Supplier!$F$2:$F$21,MATCH(B494,Dim_Supplier!$A$2:$A$21,0))</f>
        <v>340</v>
      </c>
      <c r="N494" s="11" t="n">
        <v>0.0745</v>
      </c>
      <c r="O494" s="10" t="n">
        <f aca="false">M494*(1+N494)</f>
        <v>365.33</v>
      </c>
      <c r="P494" s="10" t="n">
        <f aca="false">O494*L494</f>
        <v>4749.29</v>
      </c>
      <c r="Q494" s="5" t="s">
        <v>113</v>
      </c>
      <c r="R494" s="5" t="n">
        <v>0</v>
      </c>
      <c r="S494" s="5" t="n">
        <v>45</v>
      </c>
      <c r="T494" s="12" t="n">
        <f aca="false">(O494-M494)/M494</f>
        <v>0.0745</v>
      </c>
      <c r="U494" s="8" t="n">
        <f aca="false">IF(AND(K494&lt;=I494,R494=0),1,0)</f>
        <v>1</v>
      </c>
      <c r="V494" s="10" t="n">
        <f aca="false">IF(Q494="No",P494,0)</f>
        <v>0</v>
      </c>
    </row>
    <row r="495" customFormat="false" ht="15" hidden="false" customHeight="false" outlineLevel="0" collapsed="false">
      <c r="A495" s="5" t="s">
        <v>629</v>
      </c>
      <c r="B495" s="5" t="s">
        <v>88</v>
      </c>
      <c r="C495" s="7" t="n">
        <v>45776</v>
      </c>
      <c r="D495" s="8" t="str">
        <f aca="false">INDEX(Dim_Supplier!$C$2:$C$21,MATCH(B495,Dim_Supplier!$A$2:$A$21,0))</f>
        <v>Logistics</v>
      </c>
      <c r="E495" s="8" t="str">
        <f aca="false">INDEX(Dim_Supplier!$B$2:$B$21,MATCH(B495,Dim_Supplier!$A$2:$A$21,0))</f>
        <v>Summit Last-Mile Delivery</v>
      </c>
      <c r="F495" s="5" t="s">
        <v>237</v>
      </c>
      <c r="G495" s="5" t="s">
        <v>120</v>
      </c>
      <c r="H495" s="8" t="n">
        <f aca="false">INDEX(Lookup_Tables!$B$2:$B$5,MATCH(D495,Lookup_Tables!$A$2:$A$5,0))</f>
        <v>5</v>
      </c>
      <c r="I495" s="9" t="n">
        <f aca="false">C495+H495</f>
        <v>45781</v>
      </c>
      <c r="J495" s="5" t="n">
        <v>0</v>
      </c>
      <c r="K495" s="9" t="n">
        <f aca="false">I495+J495</f>
        <v>45781</v>
      </c>
      <c r="L495" s="5" t="n">
        <v>47</v>
      </c>
      <c r="M495" s="10" t="n">
        <f aca="false">INDEX(Dim_Supplier!$F$2:$F$21,MATCH(B495,Dim_Supplier!$A$2:$A$21,0))</f>
        <v>95</v>
      </c>
      <c r="N495" s="11" t="n">
        <v>0.0354</v>
      </c>
      <c r="O495" s="10" t="n">
        <f aca="false">M495*(1+N495)</f>
        <v>98.363</v>
      </c>
      <c r="P495" s="10" t="n">
        <f aca="false">O495*L495</f>
        <v>4623.061</v>
      </c>
      <c r="Q495" s="5" t="s">
        <v>113</v>
      </c>
      <c r="R495" s="5" t="n">
        <v>0</v>
      </c>
      <c r="S495" s="5" t="n">
        <v>45</v>
      </c>
      <c r="T495" s="12" t="n">
        <f aca="false">(O495-M495)/M495</f>
        <v>0.0354000000000002</v>
      </c>
      <c r="U495" s="8" t="n">
        <f aca="false">IF(AND(K495&lt;=I495,R495=0),1,0)</f>
        <v>1</v>
      </c>
      <c r="V495" s="10" t="n">
        <f aca="false">IF(Q495="No",P495,0)</f>
        <v>0</v>
      </c>
    </row>
    <row r="496" customFormat="false" ht="15" hidden="false" customHeight="false" outlineLevel="0" collapsed="false">
      <c r="A496" s="5" t="s">
        <v>630</v>
      </c>
      <c r="B496" s="5" t="s">
        <v>52</v>
      </c>
      <c r="C496" s="7" t="n">
        <v>45945</v>
      </c>
      <c r="D496" s="8" t="str">
        <f aca="false">INDEX(Dim_Supplier!$C$2:$C$21,MATCH(B496,Dim_Supplier!$A$2:$A$21,0))</f>
        <v>Raw Materials</v>
      </c>
      <c r="E496" s="8" t="str">
        <f aca="false">INDEX(Dim_Supplier!$B$2:$B$21,MATCH(B496,Dim_Supplier!$A$2:$A$21,0))</f>
        <v>Laurentian Metals Inc.</v>
      </c>
      <c r="F496" s="5" t="s">
        <v>139</v>
      </c>
      <c r="G496" s="5" t="s">
        <v>112</v>
      </c>
      <c r="H496" s="8" t="n">
        <f aca="false">INDEX(Lookup_Tables!$B$2:$B$5,MATCH(D496,Lookup_Tables!$A$2:$A$5,0))</f>
        <v>21</v>
      </c>
      <c r="I496" s="9" t="n">
        <f aca="false">C496+H496</f>
        <v>45966</v>
      </c>
      <c r="J496" s="5" t="n">
        <v>-3</v>
      </c>
      <c r="K496" s="9" t="n">
        <f aca="false">I496+J496</f>
        <v>45963</v>
      </c>
      <c r="L496" s="5" t="n">
        <v>1465</v>
      </c>
      <c r="M496" s="10" t="n">
        <f aca="false">INDEX(Dim_Supplier!$F$2:$F$21,MATCH(B496,Dim_Supplier!$A$2:$A$21,0))</f>
        <v>61.2</v>
      </c>
      <c r="N496" s="11" t="n">
        <v>0.025</v>
      </c>
      <c r="O496" s="10" t="n">
        <f aca="false">M496*(1+N496)</f>
        <v>62.73</v>
      </c>
      <c r="P496" s="10" t="n">
        <f aca="false">O496*L496</f>
        <v>91899.45</v>
      </c>
      <c r="Q496" s="5" t="s">
        <v>113</v>
      </c>
      <c r="R496" s="5" t="n">
        <v>0</v>
      </c>
      <c r="S496" s="5" t="n">
        <v>45</v>
      </c>
      <c r="T496" s="12" t="n">
        <f aca="false">(O496-M496)/M496</f>
        <v>0.0249999999999999</v>
      </c>
      <c r="U496" s="8" t="n">
        <f aca="false">IF(AND(K496&lt;=I496,R496=0),1,0)</f>
        <v>1</v>
      </c>
      <c r="V496" s="10" t="n">
        <f aca="false">IF(Q496="No",P496,0)</f>
        <v>0</v>
      </c>
    </row>
    <row r="497" customFormat="false" ht="15" hidden="false" customHeight="false" outlineLevel="0" collapsed="false">
      <c r="A497" s="5" t="s">
        <v>631</v>
      </c>
      <c r="B497" s="5" t="s">
        <v>57</v>
      </c>
      <c r="C497" s="7" t="n">
        <v>45463</v>
      </c>
      <c r="D497" s="8" t="str">
        <f aca="false">INDEX(Dim_Supplier!$C$2:$C$21,MATCH(B497,Dim_Supplier!$A$2:$A$21,0))</f>
        <v>Packaging</v>
      </c>
      <c r="E497" s="8" t="str">
        <f aca="false">INDEX(Dim_Supplier!$B$2:$B$21,MATCH(B497,Dim_Supplier!$A$2:$A$21,0))</f>
        <v>Great Lakes Packaging Co.</v>
      </c>
      <c r="F497" s="5" t="s">
        <v>119</v>
      </c>
      <c r="G497" s="5" t="s">
        <v>129</v>
      </c>
      <c r="H497" s="8" t="n">
        <f aca="false">INDEX(Lookup_Tables!$B$2:$B$5,MATCH(D497,Lookup_Tables!$A$2:$A$5,0))</f>
        <v>14</v>
      </c>
      <c r="I497" s="9" t="n">
        <f aca="false">C497+H497</f>
        <v>45477</v>
      </c>
      <c r="J497" s="5" t="n">
        <v>-4</v>
      </c>
      <c r="K497" s="9" t="n">
        <f aca="false">I497+J497</f>
        <v>45473</v>
      </c>
      <c r="L497" s="5" t="n">
        <v>844</v>
      </c>
      <c r="M497" s="10" t="n">
        <f aca="false">INDEX(Dim_Supplier!$F$2:$F$21,MATCH(B497,Dim_Supplier!$A$2:$A$21,0))</f>
        <v>4.35</v>
      </c>
      <c r="N497" s="11" t="n">
        <v>0.0191</v>
      </c>
      <c r="O497" s="10" t="n">
        <f aca="false">M497*(1+N497)</f>
        <v>4.433085</v>
      </c>
      <c r="P497" s="10" t="n">
        <f aca="false">O497*L497</f>
        <v>3741.52374</v>
      </c>
      <c r="Q497" s="5" t="s">
        <v>113</v>
      </c>
      <c r="R497" s="5" t="n">
        <v>0</v>
      </c>
      <c r="S497" s="5" t="n">
        <v>45</v>
      </c>
      <c r="T497" s="12" t="n">
        <f aca="false">(O497-M497)/M497</f>
        <v>0.0190999999999999</v>
      </c>
      <c r="U497" s="8" t="n">
        <f aca="false">IF(AND(K497&lt;=I497,R497=0),1,0)</f>
        <v>1</v>
      </c>
      <c r="V497" s="10" t="n">
        <f aca="false">IF(Q497="No",P497,0)</f>
        <v>0</v>
      </c>
    </row>
    <row r="498" customFormat="false" ht="15" hidden="false" customHeight="false" outlineLevel="0" collapsed="false">
      <c r="A498" s="5" t="s">
        <v>632</v>
      </c>
      <c r="B498" s="5" t="s">
        <v>49</v>
      </c>
      <c r="C498" s="7" t="n">
        <v>46081</v>
      </c>
      <c r="D498" s="8" t="str">
        <f aca="false">INDEX(Dim_Supplier!$C$2:$C$21,MATCH(B498,Dim_Supplier!$A$2:$A$21,0))</f>
        <v>Raw Materials</v>
      </c>
      <c r="E498" s="8" t="str">
        <f aca="false">INDEX(Dim_Supplier!$B$2:$B$21,MATCH(B498,Dim_Supplier!$A$2:$A$21,0))</f>
        <v>Great Lakes Polymer Co.</v>
      </c>
      <c r="F498" s="5" t="s">
        <v>148</v>
      </c>
      <c r="G498" s="5" t="s">
        <v>112</v>
      </c>
      <c r="H498" s="8" t="n">
        <f aca="false">INDEX(Lookup_Tables!$B$2:$B$5,MATCH(D498,Lookup_Tables!$A$2:$A$5,0))</f>
        <v>21</v>
      </c>
      <c r="I498" s="9" t="n">
        <f aca="false">C498+H498</f>
        <v>46102</v>
      </c>
      <c r="J498" s="5" t="n">
        <v>4</v>
      </c>
      <c r="K498" s="9" t="n">
        <f aca="false">I498+J498</f>
        <v>46106</v>
      </c>
      <c r="L498" s="5" t="n">
        <v>1366</v>
      </c>
      <c r="M498" s="10" t="n">
        <f aca="false">INDEX(Dim_Supplier!$F$2:$F$21,MATCH(B498,Dim_Supplier!$A$2:$A$21,0))</f>
        <v>32.75</v>
      </c>
      <c r="N498" s="11" t="n">
        <v>0.1273</v>
      </c>
      <c r="O498" s="10" t="n">
        <f aca="false">M498*(1+N498)</f>
        <v>36.919075</v>
      </c>
      <c r="P498" s="10" t="n">
        <f aca="false">O498*L498</f>
        <v>50431.45645</v>
      </c>
      <c r="Q498" s="5" t="s">
        <v>113</v>
      </c>
      <c r="R498" s="5" t="n">
        <v>0</v>
      </c>
      <c r="S498" s="5" t="n">
        <v>45</v>
      </c>
      <c r="T498" s="12" t="n">
        <f aca="false">(O498-M498)/M498</f>
        <v>0.1273</v>
      </c>
      <c r="U498" s="8" t="n">
        <f aca="false">IF(AND(K498&lt;=I498,R498=0),1,0)</f>
        <v>0</v>
      </c>
      <c r="V498" s="10" t="n">
        <f aca="false">IF(Q498="No",P498,0)</f>
        <v>0</v>
      </c>
    </row>
    <row r="499" customFormat="false" ht="15" hidden="false" customHeight="false" outlineLevel="0" collapsed="false">
      <c r="A499" s="5" t="s">
        <v>633</v>
      </c>
      <c r="B499" s="5" t="s">
        <v>41</v>
      </c>
      <c r="C499" s="7" t="n">
        <v>45656</v>
      </c>
      <c r="D499" s="8" t="str">
        <f aca="false">INDEX(Dim_Supplier!$C$2:$C$21,MATCH(B499,Dim_Supplier!$A$2:$A$21,0))</f>
        <v>Raw Materials</v>
      </c>
      <c r="E499" s="8" t="str">
        <f aca="false">INDEX(Dim_Supplier!$B$2:$B$21,MATCH(B499,Dim_Supplier!$A$2:$A$21,0))</f>
        <v>Ontario Steel Partners</v>
      </c>
      <c r="F499" s="5" t="s">
        <v>115</v>
      </c>
      <c r="G499" s="5" t="s">
        <v>129</v>
      </c>
      <c r="H499" s="8" t="n">
        <f aca="false">INDEX(Lookup_Tables!$B$2:$B$5,MATCH(D499,Lookup_Tables!$A$2:$A$5,0))</f>
        <v>21</v>
      </c>
      <c r="I499" s="9" t="n">
        <f aca="false">C499+H499</f>
        <v>45677</v>
      </c>
      <c r="J499" s="5" t="n">
        <v>-2</v>
      </c>
      <c r="K499" s="9" t="n">
        <f aca="false">I499+J499</f>
        <v>45675</v>
      </c>
      <c r="L499" s="5" t="n">
        <v>1243</v>
      </c>
      <c r="M499" s="10" t="n">
        <f aca="false">INDEX(Dim_Supplier!$F$2:$F$21,MATCH(B499,Dim_Supplier!$A$2:$A$21,0))</f>
        <v>58</v>
      </c>
      <c r="N499" s="11" t="n">
        <v>0.0203</v>
      </c>
      <c r="O499" s="10" t="n">
        <f aca="false">M499*(1+N499)</f>
        <v>59.1774</v>
      </c>
      <c r="P499" s="10" t="n">
        <f aca="false">O499*L499</f>
        <v>73557.5082</v>
      </c>
      <c r="Q499" s="5" t="s">
        <v>113</v>
      </c>
      <c r="R499" s="5" t="n">
        <v>0</v>
      </c>
      <c r="S499" s="5" t="n">
        <v>60</v>
      </c>
      <c r="T499" s="12" t="n">
        <f aca="false">(O499-M499)/M499</f>
        <v>0.0203</v>
      </c>
      <c r="U499" s="8" t="n">
        <f aca="false">IF(AND(K499&lt;=I499,R499=0),1,0)</f>
        <v>1</v>
      </c>
      <c r="V499" s="10" t="n">
        <f aca="false">IF(Q499="No",P499,0)</f>
        <v>0</v>
      </c>
    </row>
    <row r="500" customFormat="false" ht="15" hidden="false" customHeight="false" outlineLevel="0" collapsed="false">
      <c r="A500" s="5" t="s">
        <v>634</v>
      </c>
      <c r="B500" s="5" t="s">
        <v>62</v>
      </c>
      <c r="C500" s="7" t="n">
        <v>45489</v>
      </c>
      <c r="D500" s="8" t="str">
        <f aca="false">INDEX(Dim_Supplier!$C$2:$C$21,MATCH(B500,Dim_Supplier!$A$2:$A$21,0))</f>
        <v>Packaging</v>
      </c>
      <c r="E500" s="8" t="str">
        <f aca="false">INDEX(Dim_Supplier!$B$2:$B$21,MATCH(B500,Dim_Supplier!$A$2:$A$21,0))</f>
        <v>Trillium Packaging Solutions</v>
      </c>
      <c r="F500" s="5" t="s">
        <v>117</v>
      </c>
      <c r="G500" s="5" t="s">
        <v>125</v>
      </c>
      <c r="H500" s="8" t="n">
        <f aca="false">INDEX(Lookup_Tables!$B$2:$B$5,MATCH(D500,Lookup_Tables!$A$2:$A$5,0))</f>
        <v>14</v>
      </c>
      <c r="I500" s="9" t="n">
        <f aca="false">C500+H500</f>
        <v>45503</v>
      </c>
      <c r="J500" s="5" t="n">
        <v>-4</v>
      </c>
      <c r="K500" s="9" t="n">
        <f aca="false">I500+J500</f>
        <v>45499</v>
      </c>
      <c r="L500" s="5" t="n">
        <v>823</v>
      </c>
      <c r="M500" s="10" t="n">
        <f aca="false">INDEX(Dim_Supplier!$F$2:$F$21,MATCH(B500,Dim_Supplier!$A$2:$A$21,0))</f>
        <v>5.6</v>
      </c>
      <c r="N500" s="11" t="n">
        <v>0.0284</v>
      </c>
      <c r="O500" s="10" t="n">
        <f aca="false">M500*(1+N500)</f>
        <v>5.75904</v>
      </c>
      <c r="P500" s="10" t="n">
        <f aca="false">O500*L500</f>
        <v>4739.68992</v>
      </c>
      <c r="Q500" s="5" t="s">
        <v>113</v>
      </c>
      <c r="R500" s="5" t="n">
        <v>0</v>
      </c>
      <c r="S500" s="5" t="n">
        <v>30</v>
      </c>
      <c r="T500" s="12" t="n">
        <f aca="false">(O500-M500)/M500</f>
        <v>0.0284</v>
      </c>
      <c r="U500" s="8" t="n">
        <f aca="false">IF(AND(K500&lt;=I500,R500=0),1,0)</f>
        <v>1</v>
      </c>
      <c r="V500" s="10" t="n">
        <f aca="false">IF(Q500="No",P500,0)</f>
        <v>0</v>
      </c>
    </row>
    <row r="501" customFormat="false" ht="15" hidden="false" customHeight="false" outlineLevel="0" collapsed="false">
      <c r="A501" s="5" t="s">
        <v>635</v>
      </c>
      <c r="B501" s="5" t="s">
        <v>75</v>
      </c>
      <c r="C501" s="7" t="n">
        <v>45486</v>
      </c>
      <c r="D501" s="8" t="str">
        <f aca="false">INDEX(Dim_Supplier!$C$2:$C$21,MATCH(B501,Dim_Supplier!$A$2:$A$21,0))</f>
        <v>MRO</v>
      </c>
      <c r="E501" s="8" t="str">
        <f aca="false">INDEX(Dim_Supplier!$B$2:$B$21,MATCH(B501,Dim_Supplier!$A$2:$A$21,0))</f>
        <v>Sterling Lubricants Inc.</v>
      </c>
      <c r="F501" s="5" t="s">
        <v>132</v>
      </c>
      <c r="G501" s="5" t="s">
        <v>112</v>
      </c>
      <c r="H501" s="8" t="n">
        <f aca="false">INDEX(Lookup_Tables!$B$2:$B$5,MATCH(D501,Lookup_Tables!$A$2:$A$5,0))</f>
        <v>10</v>
      </c>
      <c r="I501" s="9" t="n">
        <f aca="false">C501+H501</f>
        <v>45496</v>
      </c>
      <c r="J501" s="5" t="n">
        <v>-4</v>
      </c>
      <c r="K501" s="9" t="n">
        <f aca="false">I501+J501</f>
        <v>45492</v>
      </c>
      <c r="L501" s="5" t="n">
        <v>124</v>
      </c>
      <c r="M501" s="10" t="n">
        <f aca="false">INDEX(Dim_Supplier!$F$2:$F$21,MATCH(B501,Dim_Supplier!$A$2:$A$21,0))</f>
        <v>27.1</v>
      </c>
      <c r="N501" s="11" t="n">
        <v>0.0152</v>
      </c>
      <c r="O501" s="10" t="n">
        <f aca="false">M501*(1+N501)</f>
        <v>27.51192</v>
      </c>
      <c r="P501" s="10" t="n">
        <f aca="false">O501*L501</f>
        <v>3411.47808</v>
      </c>
      <c r="Q501" s="5" t="s">
        <v>113</v>
      </c>
      <c r="R501" s="5" t="n">
        <v>0</v>
      </c>
      <c r="S501" s="5" t="n">
        <v>60</v>
      </c>
      <c r="T501" s="12" t="n">
        <f aca="false">(O501-M501)/M501</f>
        <v>0.0152000000000001</v>
      </c>
      <c r="U501" s="8" t="n">
        <f aca="false">IF(AND(K501&lt;=I501,R501=0),1,0)</f>
        <v>1</v>
      </c>
      <c r="V501" s="10" t="n">
        <f aca="false">IF(Q501="No",P501,0)</f>
        <v>0</v>
      </c>
    </row>
    <row r="502" customFormat="false" ht="15" hidden="false" customHeight="false" outlineLevel="0" collapsed="false">
      <c r="A502" s="5" t="s">
        <v>636</v>
      </c>
      <c r="B502" s="5" t="s">
        <v>68</v>
      </c>
      <c r="C502" s="7" t="n">
        <v>45362</v>
      </c>
      <c r="D502" s="8" t="str">
        <f aca="false">INDEX(Dim_Supplier!$C$2:$C$21,MATCH(B502,Dim_Supplier!$A$2:$A$21,0))</f>
        <v>MRO</v>
      </c>
      <c r="E502" s="8" t="str">
        <f aca="false">INDEX(Dim_Supplier!$B$2:$B$21,MATCH(B502,Dim_Supplier!$A$2:$A$21,0))</f>
        <v>Precision Tool &amp; Supply</v>
      </c>
      <c r="F502" s="5" t="s">
        <v>132</v>
      </c>
      <c r="G502" s="5" t="s">
        <v>112</v>
      </c>
      <c r="H502" s="8" t="n">
        <f aca="false">INDEX(Lookup_Tables!$B$2:$B$5,MATCH(D502,Lookup_Tables!$A$2:$A$5,0))</f>
        <v>10</v>
      </c>
      <c r="I502" s="9" t="n">
        <f aca="false">C502+H502</f>
        <v>45372</v>
      </c>
      <c r="J502" s="5" t="n">
        <v>-4</v>
      </c>
      <c r="K502" s="9" t="n">
        <f aca="false">I502+J502</f>
        <v>45368</v>
      </c>
      <c r="L502" s="5" t="n">
        <v>143</v>
      </c>
      <c r="M502" s="10" t="n">
        <f aca="false">INDEX(Dim_Supplier!$F$2:$F$21,MATCH(B502,Dim_Supplier!$A$2:$A$21,0))</f>
        <v>22.4</v>
      </c>
      <c r="N502" s="11" t="n">
        <v>0.0216</v>
      </c>
      <c r="O502" s="10" t="n">
        <f aca="false">M502*(1+N502)</f>
        <v>22.88384</v>
      </c>
      <c r="P502" s="10" t="n">
        <f aca="false">O502*L502</f>
        <v>3272.38912</v>
      </c>
      <c r="Q502" s="5" t="s">
        <v>113</v>
      </c>
      <c r="R502" s="5" t="n">
        <v>11</v>
      </c>
      <c r="S502" s="5" t="n">
        <v>45</v>
      </c>
      <c r="T502" s="12" t="n">
        <f aca="false">(O502-M502)/M502</f>
        <v>0.0216</v>
      </c>
      <c r="U502" s="8" t="n">
        <f aca="false">IF(AND(K502&lt;=I502,R502=0),1,0)</f>
        <v>0</v>
      </c>
      <c r="V502" s="10" t="n">
        <f aca="false">IF(Q502="No",P502,0)</f>
        <v>0</v>
      </c>
    </row>
    <row r="503" customFormat="false" ht="15" hidden="false" customHeight="false" outlineLevel="0" collapsed="false">
      <c r="A503" s="5" t="s">
        <v>637</v>
      </c>
      <c r="B503" s="5" t="s">
        <v>77</v>
      </c>
      <c r="C503" s="7" t="n">
        <v>46196</v>
      </c>
      <c r="D503" s="8" t="str">
        <f aca="false">INDEX(Dim_Supplier!$C$2:$C$21,MATCH(B503,Dim_Supplier!$A$2:$A$21,0))</f>
        <v>MRO</v>
      </c>
      <c r="E503" s="8" t="str">
        <f aca="false">INDEX(Dim_Supplier!$B$2:$B$21,MATCH(B503,Dim_Supplier!$A$2:$A$21,0))</f>
        <v>Apex Industrial Supply</v>
      </c>
      <c r="F503" s="5" t="s">
        <v>127</v>
      </c>
      <c r="G503" s="5" t="s">
        <v>120</v>
      </c>
      <c r="H503" s="8" t="n">
        <f aca="false">INDEX(Lookup_Tables!$B$2:$B$5,MATCH(D503,Lookup_Tables!$A$2:$A$5,0))</f>
        <v>10</v>
      </c>
      <c r="I503" s="9" t="n">
        <f aca="false">C503+H503</f>
        <v>46206</v>
      </c>
      <c r="J503" s="5" t="n">
        <v>-1</v>
      </c>
      <c r="K503" s="9" t="n">
        <f aca="false">I503+J503</f>
        <v>46205</v>
      </c>
      <c r="L503" s="5" t="n">
        <v>189</v>
      </c>
      <c r="M503" s="10" t="n">
        <f aca="false">INDEX(Dim_Supplier!$F$2:$F$21,MATCH(B503,Dim_Supplier!$A$2:$A$21,0))</f>
        <v>24.6</v>
      </c>
      <c r="N503" s="11" t="n">
        <v>0.0354</v>
      </c>
      <c r="O503" s="10" t="n">
        <f aca="false">M503*(1+N503)</f>
        <v>25.47084</v>
      </c>
      <c r="P503" s="10" t="n">
        <f aca="false">O503*L503</f>
        <v>4813.98876</v>
      </c>
      <c r="Q503" s="5" t="s">
        <v>113</v>
      </c>
      <c r="R503" s="5" t="n">
        <v>0</v>
      </c>
      <c r="S503" s="5" t="n">
        <v>60</v>
      </c>
      <c r="T503" s="12" t="n">
        <f aca="false">(O503-M503)/M503</f>
        <v>0.0354</v>
      </c>
      <c r="U503" s="8" t="n">
        <f aca="false">IF(AND(K503&lt;=I503,R503=0),1,0)</f>
        <v>1</v>
      </c>
      <c r="V503" s="10" t="n">
        <f aca="false">IF(Q503="No",P503,0)</f>
        <v>0</v>
      </c>
    </row>
    <row r="504" customFormat="false" ht="15" hidden="false" customHeight="false" outlineLevel="0" collapsed="false">
      <c r="A504" s="5" t="s">
        <v>638</v>
      </c>
      <c r="B504" s="5" t="s">
        <v>52</v>
      </c>
      <c r="C504" s="7" t="n">
        <v>45991</v>
      </c>
      <c r="D504" s="8" t="str">
        <f aca="false">INDEX(Dim_Supplier!$C$2:$C$21,MATCH(B504,Dim_Supplier!$A$2:$A$21,0))</f>
        <v>Raw Materials</v>
      </c>
      <c r="E504" s="8" t="str">
        <f aca="false">INDEX(Dim_Supplier!$B$2:$B$21,MATCH(B504,Dim_Supplier!$A$2:$A$21,0))</f>
        <v>Laurentian Metals Inc.</v>
      </c>
      <c r="F504" s="5" t="s">
        <v>142</v>
      </c>
      <c r="G504" s="5" t="s">
        <v>112</v>
      </c>
      <c r="H504" s="8" t="n">
        <f aca="false">INDEX(Lookup_Tables!$B$2:$B$5,MATCH(D504,Lookup_Tables!$A$2:$A$5,0))</f>
        <v>21</v>
      </c>
      <c r="I504" s="9" t="n">
        <f aca="false">C504+H504</f>
        <v>46012</v>
      </c>
      <c r="J504" s="5" t="n">
        <v>-4</v>
      </c>
      <c r="K504" s="9" t="n">
        <f aca="false">I504+J504</f>
        <v>46008</v>
      </c>
      <c r="L504" s="5" t="n">
        <v>1412</v>
      </c>
      <c r="M504" s="10" t="n">
        <f aca="false">INDEX(Dim_Supplier!$F$2:$F$21,MATCH(B504,Dim_Supplier!$A$2:$A$21,0))</f>
        <v>61.2</v>
      </c>
      <c r="N504" s="11" t="n">
        <v>0.0085</v>
      </c>
      <c r="O504" s="10" t="n">
        <f aca="false">M504*(1+N504)</f>
        <v>61.7202</v>
      </c>
      <c r="P504" s="10" t="n">
        <f aca="false">O504*L504</f>
        <v>87148.9224</v>
      </c>
      <c r="Q504" s="5" t="s">
        <v>113</v>
      </c>
      <c r="R504" s="5" t="n">
        <v>0</v>
      </c>
      <c r="S504" s="5" t="n">
        <v>45</v>
      </c>
      <c r="T504" s="12" t="n">
        <f aca="false">(O504-M504)/M504</f>
        <v>0.00849999999999993</v>
      </c>
      <c r="U504" s="8" t="n">
        <f aca="false">IF(AND(K504&lt;=I504,R504=0),1,0)</f>
        <v>1</v>
      </c>
      <c r="V504" s="10" t="n">
        <f aca="false">IF(Q504="No",P504,0)</f>
        <v>0</v>
      </c>
    </row>
    <row r="505" customFormat="false" ht="15" hidden="false" customHeight="false" outlineLevel="0" collapsed="false">
      <c r="A505" s="5" t="s">
        <v>639</v>
      </c>
      <c r="B505" s="5" t="s">
        <v>41</v>
      </c>
      <c r="C505" s="7" t="n">
        <v>45424</v>
      </c>
      <c r="D505" s="8" t="str">
        <f aca="false">INDEX(Dim_Supplier!$C$2:$C$21,MATCH(B505,Dim_Supplier!$A$2:$A$21,0))</f>
        <v>Raw Materials</v>
      </c>
      <c r="E505" s="8" t="str">
        <f aca="false">INDEX(Dim_Supplier!$B$2:$B$21,MATCH(B505,Dim_Supplier!$A$2:$A$21,0))</f>
        <v>Ontario Steel Partners</v>
      </c>
      <c r="F505" s="5" t="s">
        <v>115</v>
      </c>
      <c r="G505" s="5" t="s">
        <v>129</v>
      </c>
      <c r="H505" s="8" t="n">
        <f aca="false">INDEX(Lookup_Tables!$B$2:$B$5,MATCH(D505,Lookup_Tables!$A$2:$A$5,0))</f>
        <v>21</v>
      </c>
      <c r="I505" s="9" t="n">
        <f aca="false">C505+H505</f>
        <v>45445</v>
      </c>
      <c r="J505" s="5" t="n">
        <v>-2</v>
      </c>
      <c r="K505" s="9" t="n">
        <f aca="false">I505+J505</f>
        <v>45443</v>
      </c>
      <c r="L505" s="5" t="n">
        <v>302</v>
      </c>
      <c r="M505" s="10" t="n">
        <f aca="false">INDEX(Dim_Supplier!$F$2:$F$21,MATCH(B505,Dim_Supplier!$A$2:$A$21,0))</f>
        <v>58</v>
      </c>
      <c r="N505" s="11" t="n">
        <v>0.032</v>
      </c>
      <c r="O505" s="10" t="n">
        <f aca="false">M505*(1+N505)</f>
        <v>59.856</v>
      </c>
      <c r="P505" s="10" t="n">
        <f aca="false">O505*L505</f>
        <v>18076.512</v>
      </c>
      <c r="Q505" s="5" t="s">
        <v>113</v>
      </c>
      <c r="R505" s="5" t="n">
        <v>0</v>
      </c>
      <c r="S505" s="5" t="n">
        <v>30</v>
      </c>
      <c r="T505" s="12" t="n">
        <f aca="false">(O505-M505)/M505</f>
        <v>0.032</v>
      </c>
      <c r="U505" s="8" t="n">
        <f aca="false">IF(AND(K505&lt;=I505,R505=0),1,0)</f>
        <v>1</v>
      </c>
      <c r="V505" s="10" t="n">
        <f aca="false">IF(Q505="No",P505,0)</f>
        <v>0</v>
      </c>
    </row>
    <row r="506" customFormat="false" ht="15" hidden="false" customHeight="false" outlineLevel="0" collapsed="false">
      <c r="A506" s="5" t="s">
        <v>640</v>
      </c>
      <c r="B506" s="5" t="s">
        <v>66</v>
      </c>
      <c r="C506" s="7" t="n">
        <v>45930</v>
      </c>
      <c r="D506" s="8" t="str">
        <f aca="false">INDEX(Dim_Supplier!$C$2:$C$21,MATCH(B506,Dim_Supplier!$A$2:$A$21,0))</f>
        <v>Packaging</v>
      </c>
      <c r="E506" s="8" t="str">
        <f aca="false">INDEX(Dim_Supplier!$B$2:$B$21,MATCH(B506,Dim_Supplier!$A$2:$A$21,0))</f>
        <v>EverGreen Wrap Industries</v>
      </c>
      <c r="F506" s="5" t="s">
        <v>122</v>
      </c>
      <c r="G506" s="5" t="s">
        <v>120</v>
      </c>
      <c r="H506" s="8" t="n">
        <f aca="false">INDEX(Lookup_Tables!$B$2:$B$5,MATCH(D506,Lookup_Tables!$A$2:$A$5,0))</f>
        <v>14</v>
      </c>
      <c r="I506" s="9" t="n">
        <f aca="false">C506+H506</f>
        <v>45944</v>
      </c>
      <c r="J506" s="5" t="n">
        <v>0</v>
      </c>
      <c r="K506" s="9" t="n">
        <f aca="false">I506+J506</f>
        <v>45944</v>
      </c>
      <c r="L506" s="5" t="n">
        <v>1080</v>
      </c>
      <c r="M506" s="10" t="n">
        <f aca="false">INDEX(Dim_Supplier!$F$2:$F$21,MATCH(B506,Dim_Supplier!$A$2:$A$21,0))</f>
        <v>6.8</v>
      </c>
      <c r="N506" s="11" t="n">
        <v>0.0643</v>
      </c>
      <c r="O506" s="10" t="n">
        <f aca="false">M506*(1+N506)</f>
        <v>7.23724</v>
      </c>
      <c r="P506" s="10" t="n">
        <f aca="false">O506*L506</f>
        <v>7816.2192</v>
      </c>
      <c r="Q506" s="5" t="s">
        <v>113</v>
      </c>
      <c r="R506" s="5" t="n">
        <v>0</v>
      </c>
      <c r="S506" s="5" t="n">
        <v>45</v>
      </c>
      <c r="T506" s="12" t="n">
        <f aca="false">(O506-M506)/M506</f>
        <v>0.0643</v>
      </c>
      <c r="U506" s="8" t="n">
        <f aca="false">IF(AND(K506&lt;=I506,R506=0),1,0)</f>
        <v>1</v>
      </c>
      <c r="V506" s="10" t="n">
        <f aca="false">IF(Q506="No",P506,0)</f>
        <v>0</v>
      </c>
    </row>
    <row r="507" customFormat="false" ht="15" hidden="false" customHeight="false" outlineLevel="0" collapsed="false">
      <c r="A507" s="5" t="s">
        <v>641</v>
      </c>
      <c r="B507" s="5" t="s">
        <v>86</v>
      </c>
      <c r="C507" s="7" t="n">
        <v>46144</v>
      </c>
      <c r="D507" s="8" t="str">
        <f aca="false">INDEX(Dim_Supplier!$C$2:$C$21,MATCH(B507,Dim_Supplier!$A$2:$A$21,0))</f>
        <v>Logistics</v>
      </c>
      <c r="E507" s="8" t="str">
        <f aca="false">INDEX(Dim_Supplier!$B$2:$B$21,MATCH(B507,Dim_Supplier!$A$2:$A$21,0))</f>
        <v>Blue Water Customs Brokerage</v>
      </c>
      <c r="F507" s="5" t="s">
        <v>124</v>
      </c>
      <c r="G507" s="5" t="s">
        <v>125</v>
      </c>
      <c r="H507" s="8" t="n">
        <f aca="false">INDEX(Lookup_Tables!$B$2:$B$5,MATCH(D507,Lookup_Tables!$A$2:$A$5,0))</f>
        <v>5</v>
      </c>
      <c r="I507" s="9" t="n">
        <f aca="false">C507+H507</f>
        <v>46149</v>
      </c>
      <c r="J507" s="5" t="n">
        <v>-2</v>
      </c>
      <c r="K507" s="9" t="n">
        <f aca="false">I507+J507</f>
        <v>46147</v>
      </c>
      <c r="L507" s="5" t="n">
        <v>36</v>
      </c>
      <c r="M507" s="10" t="n">
        <f aca="false">INDEX(Dim_Supplier!$F$2:$F$21,MATCH(B507,Dim_Supplier!$A$2:$A$21,0))</f>
        <v>175</v>
      </c>
      <c r="N507" s="11" t="n">
        <v>0.0033</v>
      </c>
      <c r="O507" s="10" t="n">
        <f aca="false">M507*(1+N507)</f>
        <v>175.5775</v>
      </c>
      <c r="P507" s="10" t="n">
        <f aca="false">O507*L507</f>
        <v>6320.79</v>
      </c>
      <c r="Q507" s="5" t="s">
        <v>113</v>
      </c>
      <c r="R507" s="5" t="n">
        <v>0</v>
      </c>
      <c r="S507" s="5" t="n">
        <v>60</v>
      </c>
      <c r="T507" s="12" t="n">
        <f aca="false">(O507-M507)/M507</f>
        <v>0.00330000000000008</v>
      </c>
      <c r="U507" s="8" t="n">
        <f aca="false">IF(AND(K507&lt;=I507,R507=0),1,0)</f>
        <v>1</v>
      </c>
      <c r="V507" s="10" t="n">
        <f aca="false">IF(Q507="No",P507,0)</f>
        <v>0</v>
      </c>
    </row>
    <row r="508" customFormat="false" ht="15" hidden="false" customHeight="false" outlineLevel="0" collapsed="false">
      <c r="A508" s="5" t="s">
        <v>642</v>
      </c>
      <c r="B508" s="5" t="s">
        <v>79</v>
      </c>
      <c r="C508" s="7" t="n">
        <v>45351</v>
      </c>
      <c r="D508" s="8" t="str">
        <f aca="false">INDEX(Dim_Supplier!$C$2:$C$21,MATCH(B508,Dim_Supplier!$A$2:$A$21,0))</f>
        <v>Logistics</v>
      </c>
      <c r="E508" s="8" t="str">
        <f aca="false">INDEX(Dim_Supplier!$B$2:$B$21,MATCH(B508,Dim_Supplier!$A$2:$A$21,0))</f>
        <v>Niagara Freight Solutions</v>
      </c>
      <c r="F508" s="5" t="s">
        <v>185</v>
      </c>
      <c r="G508" s="5" t="s">
        <v>120</v>
      </c>
      <c r="H508" s="8" t="n">
        <f aca="false">INDEX(Lookup_Tables!$B$2:$B$5,MATCH(D508,Lookup_Tables!$A$2:$A$5,0))</f>
        <v>5</v>
      </c>
      <c r="I508" s="9" t="n">
        <f aca="false">C508+H508</f>
        <v>45356</v>
      </c>
      <c r="J508" s="5" t="n">
        <v>-4</v>
      </c>
      <c r="K508" s="9" t="n">
        <f aca="false">I508+J508</f>
        <v>45352</v>
      </c>
      <c r="L508" s="5" t="n">
        <v>20</v>
      </c>
      <c r="M508" s="10" t="n">
        <f aca="false">INDEX(Dim_Supplier!$F$2:$F$21,MATCH(B508,Dim_Supplier!$A$2:$A$21,0))</f>
        <v>340</v>
      </c>
      <c r="N508" s="11" t="n">
        <v>0.0041</v>
      </c>
      <c r="O508" s="10" t="n">
        <f aca="false">M508*(1+N508)</f>
        <v>341.394</v>
      </c>
      <c r="P508" s="10" t="n">
        <f aca="false">O508*L508</f>
        <v>6827.88</v>
      </c>
      <c r="Q508" s="5" t="s">
        <v>113</v>
      </c>
      <c r="R508" s="5" t="n">
        <v>0</v>
      </c>
      <c r="S508" s="5" t="n">
        <v>45</v>
      </c>
      <c r="T508" s="12" t="n">
        <f aca="false">(O508-M508)/M508</f>
        <v>0.00410000000000002</v>
      </c>
      <c r="U508" s="8" t="n">
        <f aca="false">IF(AND(K508&lt;=I508,R508=0),1,0)</f>
        <v>1</v>
      </c>
      <c r="V508" s="10" t="n">
        <f aca="false">IF(Q508="No",P508,0)</f>
        <v>0</v>
      </c>
    </row>
    <row r="509" customFormat="false" ht="15" hidden="false" customHeight="false" outlineLevel="0" collapsed="false">
      <c r="A509" s="5" t="s">
        <v>643</v>
      </c>
      <c r="B509" s="5" t="s">
        <v>46</v>
      </c>
      <c r="C509" s="7" t="n">
        <v>45528</v>
      </c>
      <c r="D509" s="8" t="str">
        <f aca="false">INDEX(Dim_Supplier!$C$2:$C$21,MATCH(B509,Dim_Supplier!$A$2:$A$21,0))</f>
        <v>Raw Materials</v>
      </c>
      <c r="E509" s="8" t="str">
        <f aca="false">INDEX(Dim_Supplier!$B$2:$B$21,MATCH(B509,Dim_Supplier!$A$2:$A$21,0))</f>
        <v>Niagara Alloy Supply</v>
      </c>
      <c r="F509" s="5" t="s">
        <v>144</v>
      </c>
      <c r="G509" s="5" t="s">
        <v>125</v>
      </c>
      <c r="H509" s="8" t="n">
        <f aca="false">INDEX(Lookup_Tables!$B$2:$B$5,MATCH(D509,Lookup_Tables!$A$2:$A$5,0))</f>
        <v>21</v>
      </c>
      <c r="I509" s="9" t="n">
        <f aca="false">C509+H509</f>
        <v>45549</v>
      </c>
      <c r="J509" s="5" t="n">
        <v>0</v>
      </c>
      <c r="K509" s="9" t="n">
        <f aca="false">I509+J509</f>
        <v>45549</v>
      </c>
      <c r="L509" s="5" t="n">
        <v>609</v>
      </c>
      <c r="M509" s="10" t="n">
        <f aca="false">INDEX(Dim_Supplier!$F$2:$F$21,MATCH(B509,Dim_Supplier!$A$2:$A$21,0))</f>
        <v>46.5</v>
      </c>
      <c r="N509" s="11" t="n">
        <v>0.0527</v>
      </c>
      <c r="O509" s="10" t="n">
        <f aca="false">M509*(1+N509)</f>
        <v>48.95055</v>
      </c>
      <c r="P509" s="10" t="n">
        <f aca="false">O509*L509</f>
        <v>29810.88495</v>
      </c>
      <c r="Q509" s="5" t="s">
        <v>113</v>
      </c>
      <c r="R509" s="5" t="n">
        <v>0</v>
      </c>
      <c r="S509" s="5" t="n">
        <v>45</v>
      </c>
      <c r="T509" s="12" t="n">
        <f aca="false">(O509-M509)/M509</f>
        <v>0.0527</v>
      </c>
      <c r="U509" s="8" t="n">
        <f aca="false">IF(AND(K509&lt;=I509,R509=0),1,0)</f>
        <v>1</v>
      </c>
      <c r="V509" s="10" t="n">
        <f aca="false">IF(Q509="No",P509,0)</f>
        <v>0</v>
      </c>
    </row>
    <row r="510" customFormat="false" ht="15" hidden="false" customHeight="false" outlineLevel="0" collapsed="false">
      <c r="A510" s="5" t="s">
        <v>644</v>
      </c>
      <c r="B510" s="5" t="s">
        <v>68</v>
      </c>
      <c r="C510" s="7" t="n">
        <v>46056</v>
      </c>
      <c r="D510" s="8" t="str">
        <f aca="false">INDEX(Dim_Supplier!$C$2:$C$21,MATCH(B510,Dim_Supplier!$A$2:$A$21,0))</f>
        <v>MRO</v>
      </c>
      <c r="E510" s="8" t="str">
        <f aca="false">INDEX(Dim_Supplier!$B$2:$B$21,MATCH(B510,Dim_Supplier!$A$2:$A$21,0))</f>
        <v>Precision Tool &amp; Supply</v>
      </c>
      <c r="F510" s="5" t="s">
        <v>127</v>
      </c>
      <c r="G510" s="5" t="s">
        <v>120</v>
      </c>
      <c r="H510" s="8" t="n">
        <f aca="false">INDEX(Lookup_Tables!$B$2:$B$5,MATCH(D510,Lookup_Tables!$A$2:$A$5,0))</f>
        <v>10</v>
      </c>
      <c r="I510" s="9" t="n">
        <f aca="false">C510+H510</f>
        <v>46066</v>
      </c>
      <c r="J510" s="5" t="n">
        <v>-4</v>
      </c>
      <c r="K510" s="9" t="n">
        <f aca="false">I510+J510</f>
        <v>46062</v>
      </c>
      <c r="L510" s="5" t="n">
        <v>114</v>
      </c>
      <c r="M510" s="10" t="n">
        <f aca="false">INDEX(Dim_Supplier!$F$2:$F$21,MATCH(B510,Dim_Supplier!$A$2:$A$21,0))</f>
        <v>22.4</v>
      </c>
      <c r="N510" s="11" t="n">
        <v>-0.0177</v>
      </c>
      <c r="O510" s="10" t="n">
        <f aca="false">M510*(1+N510)</f>
        <v>22.00352</v>
      </c>
      <c r="P510" s="10" t="n">
        <f aca="false">O510*L510</f>
        <v>2508.40128</v>
      </c>
      <c r="Q510" s="5" t="s">
        <v>113</v>
      </c>
      <c r="R510" s="5" t="n">
        <v>0</v>
      </c>
      <c r="S510" s="5" t="n">
        <v>30</v>
      </c>
      <c r="T510" s="12" t="n">
        <f aca="false">(O510-M510)/M510</f>
        <v>-0.0177</v>
      </c>
      <c r="U510" s="8" t="n">
        <f aca="false">IF(AND(K510&lt;=I510,R510=0),1,0)</f>
        <v>1</v>
      </c>
      <c r="V510" s="10" t="n">
        <f aca="false">IF(Q510="No",P510,0)</f>
        <v>0</v>
      </c>
    </row>
    <row r="511" customFormat="false" ht="15" hidden="false" customHeight="false" outlineLevel="0" collapsed="false">
      <c r="A511" s="5" t="s">
        <v>645</v>
      </c>
      <c r="B511" s="5" t="s">
        <v>60</v>
      </c>
      <c r="C511" s="7" t="n">
        <v>45637</v>
      </c>
      <c r="D511" s="8" t="str">
        <f aca="false">INDEX(Dim_Supplier!$C$2:$C$21,MATCH(B511,Dim_Supplier!$A$2:$A$21,0))</f>
        <v>Packaging</v>
      </c>
      <c r="E511" s="8" t="str">
        <f aca="false">INDEX(Dim_Supplier!$B$2:$B$21,MATCH(B511,Dim_Supplier!$A$2:$A$21,0))</f>
        <v>Maple Leaf Box &amp; Crate</v>
      </c>
      <c r="F511" s="5" t="s">
        <v>158</v>
      </c>
      <c r="G511" s="5" t="s">
        <v>125</v>
      </c>
      <c r="H511" s="8" t="n">
        <f aca="false">INDEX(Lookup_Tables!$B$2:$B$5,MATCH(D511,Lookup_Tables!$A$2:$A$5,0))</f>
        <v>14</v>
      </c>
      <c r="I511" s="9" t="n">
        <f aca="false">C511+H511</f>
        <v>45651</v>
      </c>
      <c r="J511" s="5" t="n">
        <v>3</v>
      </c>
      <c r="K511" s="9" t="n">
        <f aca="false">I511+J511</f>
        <v>45654</v>
      </c>
      <c r="L511" s="5" t="n">
        <v>3159</v>
      </c>
      <c r="M511" s="10" t="n">
        <f aca="false">INDEX(Dim_Supplier!$F$2:$F$21,MATCH(B511,Dim_Supplier!$A$2:$A$21,0))</f>
        <v>3.1</v>
      </c>
      <c r="N511" s="11" t="n">
        <v>0.0225</v>
      </c>
      <c r="O511" s="10" t="n">
        <f aca="false">M511*(1+N511)</f>
        <v>3.16975</v>
      </c>
      <c r="P511" s="10" t="n">
        <f aca="false">O511*L511</f>
        <v>10013.24025</v>
      </c>
      <c r="Q511" s="5" t="s">
        <v>113</v>
      </c>
      <c r="R511" s="5" t="n">
        <v>0</v>
      </c>
      <c r="S511" s="5" t="n">
        <v>45</v>
      </c>
      <c r="T511" s="12" t="n">
        <f aca="false">(O511-M511)/M511</f>
        <v>0.0225</v>
      </c>
      <c r="U511" s="8" t="n">
        <f aca="false">IF(AND(K511&lt;=I511,R511=0),1,0)</f>
        <v>0</v>
      </c>
      <c r="V511" s="10" t="n">
        <f aca="false">IF(Q511="No",P511,0)</f>
        <v>0</v>
      </c>
    </row>
    <row r="512" customFormat="false" ht="15" hidden="false" customHeight="false" outlineLevel="0" collapsed="false">
      <c r="A512" s="5" t="s">
        <v>646</v>
      </c>
      <c r="B512" s="5" t="s">
        <v>79</v>
      </c>
      <c r="C512" s="7" t="n">
        <v>45623</v>
      </c>
      <c r="D512" s="8" t="str">
        <f aca="false">INDEX(Dim_Supplier!$C$2:$C$21,MATCH(B512,Dim_Supplier!$A$2:$A$21,0))</f>
        <v>Logistics</v>
      </c>
      <c r="E512" s="8" t="str">
        <f aca="false">INDEX(Dim_Supplier!$B$2:$B$21,MATCH(B512,Dim_Supplier!$A$2:$A$21,0))</f>
        <v>Niagara Freight Solutions</v>
      </c>
      <c r="F512" s="5" t="s">
        <v>185</v>
      </c>
      <c r="G512" s="5" t="s">
        <v>112</v>
      </c>
      <c r="H512" s="8" t="n">
        <f aca="false">INDEX(Lookup_Tables!$B$2:$B$5,MATCH(D512,Lookup_Tables!$A$2:$A$5,0))</f>
        <v>5</v>
      </c>
      <c r="I512" s="9" t="n">
        <f aca="false">C512+H512</f>
        <v>45628</v>
      </c>
      <c r="J512" s="5" t="n">
        <v>-3</v>
      </c>
      <c r="K512" s="9" t="n">
        <f aca="false">I512+J512</f>
        <v>45625</v>
      </c>
      <c r="L512" s="5" t="n">
        <v>50</v>
      </c>
      <c r="M512" s="10" t="n">
        <f aca="false">INDEX(Dim_Supplier!$F$2:$F$21,MATCH(B512,Dim_Supplier!$A$2:$A$21,0))</f>
        <v>340</v>
      </c>
      <c r="N512" s="11" t="n">
        <v>0.0046</v>
      </c>
      <c r="O512" s="10" t="n">
        <f aca="false">M512*(1+N512)</f>
        <v>341.564</v>
      </c>
      <c r="P512" s="10" t="n">
        <f aca="false">O512*L512</f>
        <v>17078.2</v>
      </c>
      <c r="Q512" s="5" t="s">
        <v>113</v>
      </c>
      <c r="R512" s="5" t="n">
        <v>0</v>
      </c>
      <c r="S512" s="5" t="n">
        <v>30</v>
      </c>
      <c r="T512" s="12" t="n">
        <f aca="false">(O512-M512)/M512</f>
        <v>0.0045999999999999</v>
      </c>
      <c r="U512" s="8" t="n">
        <f aca="false">IF(AND(K512&lt;=I512,R512=0),1,0)</f>
        <v>1</v>
      </c>
      <c r="V512" s="10" t="n">
        <f aca="false">IF(Q512="No",P512,0)</f>
        <v>0</v>
      </c>
    </row>
    <row r="513" customFormat="false" ht="15" hidden="false" customHeight="false" outlineLevel="0" collapsed="false">
      <c r="A513" s="5" t="s">
        <v>647</v>
      </c>
      <c r="B513" s="5" t="s">
        <v>62</v>
      </c>
      <c r="C513" s="7" t="n">
        <v>45698</v>
      </c>
      <c r="D513" s="8" t="str">
        <f aca="false">INDEX(Dim_Supplier!$C$2:$C$21,MATCH(B513,Dim_Supplier!$A$2:$A$21,0))</f>
        <v>Packaging</v>
      </c>
      <c r="E513" s="8" t="str">
        <f aca="false">INDEX(Dim_Supplier!$B$2:$B$21,MATCH(B513,Dim_Supplier!$A$2:$A$21,0))</f>
        <v>Trillium Packaging Solutions</v>
      </c>
      <c r="F513" s="5" t="s">
        <v>117</v>
      </c>
      <c r="G513" s="5" t="s">
        <v>129</v>
      </c>
      <c r="H513" s="8" t="n">
        <f aca="false">INDEX(Lookup_Tables!$B$2:$B$5,MATCH(D513,Lookup_Tables!$A$2:$A$5,0))</f>
        <v>14</v>
      </c>
      <c r="I513" s="9" t="n">
        <f aca="false">C513+H513</f>
        <v>45712</v>
      </c>
      <c r="J513" s="5" t="n">
        <v>0</v>
      </c>
      <c r="K513" s="9" t="n">
        <f aca="false">I513+J513</f>
        <v>45712</v>
      </c>
      <c r="L513" s="5" t="n">
        <v>4740</v>
      </c>
      <c r="M513" s="10" t="n">
        <f aca="false">INDEX(Dim_Supplier!$F$2:$F$21,MATCH(B513,Dim_Supplier!$A$2:$A$21,0))</f>
        <v>5.6</v>
      </c>
      <c r="N513" s="11" t="n">
        <v>0.0171</v>
      </c>
      <c r="O513" s="10" t="n">
        <f aca="false">M513*(1+N513)</f>
        <v>5.69576</v>
      </c>
      <c r="P513" s="10" t="n">
        <f aca="false">O513*L513</f>
        <v>26997.9024</v>
      </c>
      <c r="Q513" s="5" t="s">
        <v>113</v>
      </c>
      <c r="R513" s="5" t="n">
        <v>0</v>
      </c>
      <c r="S513" s="5" t="n">
        <v>30</v>
      </c>
      <c r="T513" s="12" t="n">
        <f aca="false">(O513-M513)/M513</f>
        <v>0.0170999999999999</v>
      </c>
      <c r="U513" s="8" t="n">
        <f aca="false">IF(AND(K513&lt;=I513,R513=0),1,0)</f>
        <v>1</v>
      </c>
      <c r="V513" s="10" t="n">
        <f aca="false">IF(Q513="No",P513,0)</f>
        <v>0</v>
      </c>
    </row>
    <row r="514" customFormat="false" ht="15" hidden="false" customHeight="false" outlineLevel="0" collapsed="false">
      <c r="A514" s="5" t="s">
        <v>648</v>
      </c>
      <c r="B514" s="5" t="s">
        <v>88</v>
      </c>
      <c r="C514" s="7" t="n">
        <v>45511</v>
      </c>
      <c r="D514" s="8" t="str">
        <f aca="false">INDEX(Dim_Supplier!$C$2:$C$21,MATCH(B514,Dim_Supplier!$A$2:$A$21,0))</f>
        <v>Logistics</v>
      </c>
      <c r="E514" s="8" t="str">
        <f aca="false">INDEX(Dim_Supplier!$B$2:$B$21,MATCH(B514,Dim_Supplier!$A$2:$A$21,0))</f>
        <v>Summit Last-Mile Delivery</v>
      </c>
      <c r="F514" s="5" t="s">
        <v>146</v>
      </c>
      <c r="G514" s="5" t="s">
        <v>129</v>
      </c>
      <c r="H514" s="8" t="n">
        <f aca="false">INDEX(Lookup_Tables!$B$2:$B$5,MATCH(D514,Lookup_Tables!$A$2:$A$5,0))</f>
        <v>5</v>
      </c>
      <c r="I514" s="9" t="n">
        <f aca="false">C514+H514</f>
        <v>45516</v>
      </c>
      <c r="J514" s="5" t="n">
        <v>0</v>
      </c>
      <c r="K514" s="9" t="n">
        <f aca="false">I514+J514</f>
        <v>45516</v>
      </c>
      <c r="L514" s="5" t="n">
        <v>18</v>
      </c>
      <c r="M514" s="10" t="n">
        <f aca="false">INDEX(Dim_Supplier!$F$2:$F$21,MATCH(B514,Dim_Supplier!$A$2:$A$21,0))</f>
        <v>95</v>
      </c>
      <c r="N514" s="11" t="n">
        <v>-0.0075</v>
      </c>
      <c r="O514" s="10" t="n">
        <f aca="false">M514*(1+N514)</f>
        <v>94.2875</v>
      </c>
      <c r="P514" s="10" t="n">
        <f aca="false">O514*L514</f>
        <v>1697.175</v>
      </c>
      <c r="Q514" s="5" t="s">
        <v>133</v>
      </c>
      <c r="R514" s="5" t="n">
        <v>0</v>
      </c>
      <c r="S514" s="5" t="n">
        <v>45</v>
      </c>
      <c r="T514" s="12" t="n">
        <f aca="false">(O514-M514)/M514</f>
        <v>-0.00749999999999991</v>
      </c>
      <c r="U514" s="8" t="n">
        <f aca="false">IF(AND(K514&lt;=I514,R514=0),1,0)</f>
        <v>1</v>
      </c>
      <c r="V514" s="10" t="n">
        <f aca="false">IF(Q514="No",P514,0)</f>
        <v>1697.175</v>
      </c>
    </row>
    <row r="515" customFormat="false" ht="15" hidden="false" customHeight="false" outlineLevel="0" collapsed="false">
      <c r="A515" s="5" t="s">
        <v>649</v>
      </c>
      <c r="B515" s="5" t="s">
        <v>68</v>
      </c>
      <c r="C515" s="7" t="n">
        <v>45388</v>
      </c>
      <c r="D515" s="8" t="str">
        <f aca="false">INDEX(Dim_Supplier!$C$2:$C$21,MATCH(B515,Dim_Supplier!$A$2:$A$21,0))</f>
        <v>MRO</v>
      </c>
      <c r="E515" s="8" t="str">
        <f aca="false">INDEX(Dim_Supplier!$B$2:$B$21,MATCH(B515,Dim_Supplier!$A$2:$A$21,0))</f>
        <v>Precision Tool &amp; Supply</v>
      </c>
      <c r="F515" s="5" t="s">
        <v>127</v>
      </c>
      <c r="G515" s="5" t="s">
        <v>125</v>
      </c>
      <c r="H515" s="8" t="n">
        <f aca="false">INDEX(Lookup_Tables!$B$2:$B$5,MATCH(D515,Lookup_Tables!$A$2:$A$5,0))</f>
        <v>10</v>
      </c>
      <c r="I515" s="9" t="n">
        <f aca="false">C515+H515</f>
        <v>45398</v>
      </c>
      <c r="J515" s="5" t="n">
        <v>-4</v>
      </c>
      <c r="K515" s="9" t="n">
        <f aca="false">I515+J515</f>
        <v>45394</v>
      </c>
      <c r="L515" s="5" t="n">
        <v>98</v>
      </c>
      <c r="M515" s="10" t="n">
        <f aca="false">INDEX(Dim_Supplier!$F$2:$F$21,MATCH(B515,Dim_Supplier!$A$2:$A$21,0))</f>
        <v>22.4</v>
      </c>
      <c r="N515" s="11" t="n">
        <v>0.0186</v>
      </c>
      <c r="O515" s="10" t="n">
        <f aca="false">M515*(1+N515)</f>
        <v>22.81664</v>
      </c>
      <c r="P515" s="10" t="n">
        <f aca="false">O515*L515</f>
        <v>2236.03072</v>
      </c>
      <c r="Q515" s="5" t="s">
        <v>113</v>
      </c>
      <c r="R515" s="5" t="n">
        <v>0</v>
      </c>
      <c r="S515" s="5" t="n">
        <v>30</v>
      </c>
      <c r="T515" s="12" t="n">
        <f aca="false">(O515-M515)/M515</f>
        <v>0.0185999999999999</v>
      </c>
      <c r="U515" s="8" t="n">
        <f aca="false">IF(AND(K515&lt;=I515,R515=0),1,0)</f>
        <v>1</v>
      </c>
      <c r="V515" s="10" t="n">
        <f aca="false">IF(Q515="No",P515,0)</f>
        <v>0</v>
      </c>
    </row>
    <row r="516" customFormat="false" ht="15" hidden="false" customHeight="false" outlineLevel="0" collapsed="false">
      <c r="A516" s="5" t="s">
        <v>650</v>
      </c>
      <c r="B516" s="5" t="s">
        <v>57</v>
      </c>
      <c r="C516" s="7" t="n">
        <v>45876</v>
      </c>
      <c r="D516" s="8" t="str">
        <f aca="false">INDEX(Dim_Supplier!$C$2:$C$21,MATCH(B516,Dim_Supplier!$A$2:$A$21,0))</f>
        <v>Packaging</v>
      </c>
      <c r="E516" s="8" t="str">
        <f aca="false">INDEX(Dim_Supplier!$B$2:$B$21,MATCH(B516,Dim_Supplier!$A$2:$A$21,0))</f>
        <v>Great Lakes Packaging Co.</v>
      </c>
      <c r="F516" s="5" t="s">
        <v>137</v>
      </c>
      <c r="G516" s="5" t="s">
        <v>112</v>
      </c>
      <c r="H516" s="8" t="n">
        <f aca="false">INDEX(Lookup_Tables!$B$2:$B$5,MATCH(D516,Lookup_Tables!$A$2:$A$5,0))</f>
        <v>14</v>
      </c>
      <c r="I516" s="9" t="n">
        <f aca="false">C516+H516</f>
        <v>45890</v>
      </c>
      <c r="J516" s="5" t="n">
        <v>-3</v>
      </c>
      <c r="K516" s="9" t="n">
        <f aca="false">I516+J516</f>
        <v>45887</v>
      </c>
      <c r="L516" s="5" t="n">
        <v>4452</v>
      </c>
      <c r="M516" s="10" t="n">
        <f aca="false">INDEX(Dim_Supplier!$F$2:$F$21,MATCH(B516,Dim_Supplier!$A$2:$A$21,0))</f>
        <v>4.35</v>
      </c>
      <c r="N516" s="11" t="n">
        <v>-0.0219</v>
      </c>
      <c r="O516" s="10" t="n">
        <f aca="false">M516*(1+N516)</f>
        <v>4.254735</v>
      </c>
      <c r="P516" s="10" t="n">
        <f aca="false">O516*L516</f>
        <v>18942.08022</v>
      </c>
      <c r="Q516" s="5" t="s">
        <v>113</v>
      </c>
      <c r="R516" s="5" t="n">
        <v>0</v>
      </c>
      <c r="S516" s="5" t="n">
        <v>45</v>
      </c>
      <c r="T516" s="12" t="n">
        <f aca="false">(O516-M516)/M516</f>
        <v>-0.0219000000000001</v>
      </c>
      <c r="U516" s="8" t="n">
        <f aca="false">IF(AND(K516&lt;=I516,R516=0),1,0)</f>
        <v>1</v>
      </c>
      <c r="V516" s="10" t="n">
        <f aca="false">IF(Q516="No",P516,0)</f>
        <v>0</v>
      </c>
    </row>
    <row r="517" customFormat="false" ht="15" hidden="false" customHeight="false" outlineLevel="0" collapsed="false">
      <c r="A517" s="5" t="s">
        <v>651</v>
      </c>
      <c r="B517" s="5" t="s">
        <v>68</v>
      </c>
      <c r="C517" s="7" t="n">
        <v>45389</v>
      </c>
      <c r="D517" s="8" t="str">
        <f aca="false">INDEX(Dim_Supplier!$C$2:$C$21,MATCH(B517,Dim_Supplier!$A$2:$A$21,0))</f>
        <v>MRO</v>
      </c>
      <c r="E517" s="8" t="str">
        <f aca="false">INDEX(Dim_Supplier!$B$2:$B$21,MATCH(B517,Dim_Supplier!$A$2:$A$21,0))</f>
        <v>Precision Tool &amp; Supply</v>
      </c>
      <c r="F517" s="5" t="s">
        <v>132</v>
      </c>
      <c r="G517" s="5" t="s">
        <v>120</v>
      </c>
      <c r="H517" s="8" t="n">
        <f aca="false">INDEX(Lookup_Tables!$B$2:$B$5,MATCH(D517,Lookup_Tables!$A$2:$A$5,0))</f>
        <v>10</v>
      </c>
      <c r="I517" s="9" t="n">
        <f aca="false">C517+H517</f>
        <v>45399</v>
      </c>
      <c r="J517" s="5" t="n">
        <v>1</v>
      </c>
      <c r="K517" s="9" t="n">
        <f aca="false">I517+J517</f>
        <v>45400</v>
      </c>
      <c r="L517" s="5" t="n">
        <v>102</v>
      </c>
      <c r="M517" s="10" t="n">
        <f aca="false">INDEX(Dim_Supplier!$F$2:$F$21,MATCH(B517,Dim_Supplier!$A$2:$A$21,0))</f>
        <v>22.4</v>
      </c>
      <c r="N517" s="11" t="n">
        <v>0.0185</v>
      </c>
      <c r="O517" s="10" t="n">
        <f aca="false">M517*(1+N517)</f>
        <v>22.8144</v>
      </c>
      <c r="P517" s="10" t="n">
        <f aca="false">O517*L517</f>
        <v>2327.0688</v>
      </c>
      <c r="Q517" s="5" t="s">
        <v>113</v>
      </c>
      <c r="R517" s="5" t="n">
        <v>0</v>
      </c>
      <c r="S517" s="5" t="n">
        <v>45</v>
      </c>
      <c r="T517" s="12" t="n">
        <f aca="false">(O517-M517)/M517</f>
        <v>0.0185</v>
      </c>
      <c r="U517" s="8" t="n">
        <f aca="false">IF(AND(K517&lt;=I517,R517=0),1,0)</f>
        <v>0</v>
      </c>
      <c r="V517" s="10" t="n">
        <f aca="false">IF(Q517="No",P517,0)</f>
        <v>0</v>
      </c>
    </row>
    <row r="518" customFormat="false" ht="15" hidden="false" customHeight="false" outlineLevel="0" collapsed="false">
      <c r="A518" s="5" t="s">
        <v>652</v>
      </c>
      <c r="B518" s="5" t="s">
        <v>57</v>
      </c>
      <c r="C518" s="7" t="n">
        <v>46128</v>
      </c>
      <c r="D518" s="8" t="str">
        <f aca="false">INDEX(Dim_Supplier!$C$2:$C$21,MATCH(B518,Dim_Supplier!$A$2:$A$21,0))</f>
        <v>Packaging</v>
      </c>
      <c r="E518" s="8" t="str">
        <f aca="false">INDEX(Dim_Supplier!$B$2:$B$21,MATCH(B518,Dim_Supplier!$A$2:$A$21,0))</f>
        <v>Great Lakes Packaging Co.</v>
      </c>
      <c r="F518" s="5" t="s">
        <v>137</v>
      </c>
      <c r="G518" s="5" t="s">
        <v>125</v>
      </c>
      <c r="H518" s="8" t="n">
        <f aca="false">INDEX(Lookup_Tables!$B$2:$B$5,MATCH(D518,Lookup_Tables!$A$2:$A$5,0))</f>
        <v>14</v>
      </c>
      <c r="I518" s="9" t="n">
        <f aca="false">C518+H518</f>
        <v>46142</v>
      </c>
      <c r="J518" s="5" t="n">
        <v>-2</v>
      </c>
      <c r="K518" s="9" t="n">
        <f aca="false">I518+J518</f>
        <v>46140</v>
      </c>
      <c r="L518" s="5" t="n">
        <v>2357</v>
      </c>
      <c r="M518" s="10" t="n">
        <f aca="false">INDEX(Dim_Supplier!$F$2:$F$21,MATCH(B518,Dim_Supplier!$A$2:$A$21,0))</f>
        <v>4.35</v>
      </c>
      <c r="N518" s="11" t="n">
        <v>0.0057</v>
      </c>
      <c r="O518" s="10" t="n">
        <f aca="false">M518*(1+N518)</f>
        <v>4.374795</v>
      </c>
      <c r="P518" s="10" t="n">
        <f aca="false">O518*L518</f>
        <v>10311.391815</v>
      </c>
      <c r="Q518" s="5" t="s">
        <v>113</v>
      </c>
      <c r="R518" s="5" t="n">
        <v>0</v>
      </c>
      <c r="S518" s="5" t="n">
        <v>60</v>
      </c>
      <c r="T518" s="12" t="n">
        <f aca="false">(O518-M518)/M518</f>
        <v>0.00570000000000003</v>
      </c>
      <c r="U518" s="8" t="n">
        <f aca="false">IF(AND(K518&lt;=I518,R518=0),1,0)</f>
        <v>1</v>
      </c>
      <c r="V518" s="10" t="n">
        <f aca="false">IF(Q518="No",P518,0)</f>
        <v>0</v>
      </c>
    </row>
    <row r="519" customFormat="false" ht="15" hidden="false" customHeight="false" outlineLevel="0" collapsed="false">
      <c r="A519" s="5" t="s">
        <v>653</v>
      </c>
      <c r="B519" s="5" t="s">
        <v>71</v>
      </c>
      <c r="C519" s="7" t="n">
        <v>45939</v>
      </c>
      <c r="D519" s="8" t="str">
        <f aca="false">INDEX(Dim_Supplier!$C$2:$C$21,MATCH(B519,Dim_Supplier!$A$2:$A$21,0))</f>
        <v>MRO</v>
      </c>
      <c r="E519" s="8" t="str">
        <f aca="false">INDEX(Dim_Supplier!$B$2:$B$21,MATCH(B519,Dim_Supplier!$A$2:$A$21,0))</f>
        <v>CanSafe Equipment Ltd.</v>
      </c>
      <c r="F519" s="5" t="s">
        <v>179</v>
      </c>
      <c r="G519" s="5" t="s">
        <v>129</v>
      </c>
      <c r="H519" s="8" t="n">
        <f aca="false">INDEX(Lookup_Tables!$B$2:$B$5,MATCH(D519,Lookup_Tables!$A$2:$A$5,0))</f>
        <v>10</v>
      </c>
      <c r="I519" s="9" t="n">
        <f aca="false">C519+H519</f>
        <v>45949</v>
      </c>
      <c r="J519" s="5" t="n">
        <v>-1</v>
      </c>
      <c r="K519" s="9" t="n">
        <f aca="false">I519+J519</f>
        <v>45948</v>
      </c>
      <c r="L519" s="5" t="n">
        <v>143</v>
      </c>
      <c r="M519" s="10" t="n">
        <f aca="false">INDEX(Dim_Supplier!$F$2:$F$21,MATCH(B519,Dim_Supplier!$A$2:$A$21,0))</f>
        <v>18.75</v>
      </c>
      <c r="N519" s="11" t="n">
        <v>0.0355</v>
      </c>
      <c r="O519" s="10" t="n">
        <f aca="false">M519*(1+N519)</f>
        <v>19.415625</v>
      </c>
      <c r="P519" s="10" t="n">
        <f aca="false">O519*L519</f>
        <v>2776.434375</v>
      </c>
      <c r="Q519" s="5" t="s">
        <v>113</v>
      </c>
      <c r="R519" s="5" t="n">
        <v>0</v>
      </c>
      <c r="S519" s="5" t="n">
        <v>45</v>
      </c>
      <c r="T519" s="12" t="n">
        <f aca="false">(O519-M519)/M519</f>
        <v>0.0355000000000001</v>
      </c>
      <c r="U519" s="8" t="n">
        <f aca="false">IF(AND(K519&lt;=I519,R519=0),1,0)</f>
        <v>1</v>
      </c>
      <c r="V519" s="10" t="n">
        <f aca="false">IF(Q519="No",P519,0)</f>
        <v>0</v>
      </c>
    </row>
    <row r="520" customFormat="false" ht="15" hidden="false" customHeight="false" outlineLevel="0" collapsed="false">
      <c r="A520" s="5" t="s">
        <v>654</v>
      </c>
      <c r="B520" s="5" t="s">
        <v>46</v>
      </c>
      <c r="C520" s="7" t="n">
        <v>45981</v>
      </c>
      <c r="D520" s="8" t="str">
        <f aca="false">INDEX(Dim_Supplier!$C$2:$C$21,MATCH(B520,Dim_Supplier!$A$2:$A$21,0))</f>
        <v>Raw Materials</v>
      </c>
      <c r="E520" s="8" t="str">
        <f aca="false">INDEX(Dim_Supplier!$B$2:$B$21,MATCH(B520,Dim_Supplier!$A$2:$A$21,0))</f>
        <v>Niagara Alloy Supply</v>
      </c>
      <c r="F520" s="5" t="s">
        <v>142</v>
      </c>
      <c r="G520" s="5" t="s">
        <v>125</v>
      </c>
      <c r="H520" s="8" t="n">
        <f aca="false">INDEX(Lookup_Tables!$B$2:$B$5,MATCH(D520,Lookup_Tables!$A$2:$A$5,0))</f>
        <v>21</v>
      </c>
      <c r="I520" s="9" t="n">
        <f aca="false">C520+H520</f>
        <v>46002</v>
      </c>
      <c r="J520" s="5" t="n">
        <v>-1</v>
      </c>
      <c r="K520" s="9" t="n">
        <f aca="false">I520+J520</f>
        <v>46001</v>
      </c>
      <c r="L520" s="5" t="n">
        <v>284</v>
      </c>
      <c r="M520" s="10" t="n">
        <f aca="false">INDEX(Dim_Supplier!$F$2:$F$21,MATCH(B520,Dim_Supplier!$A$2:$A$21,0))</f>
        <v>46.5</v>
      </c>
      <c r="N520" s="11" t="n">
        <v>0.0038</v>
      </c>
      <c r="O520" s="10" t="n">
        <f aca="false">M520*(1+N520)</f>
        <v>46.6767</v>
      </c>
      <c r="P520" s="10" t="n">
        <f aca="false">O520*L520</f>
        <v>13256.1828</v>
      </c>
      <c r="Q520" s="5" t="s">
        <v>113</v>
      </c>
      <c r="R520" s="5" t="n">
        <v>0</v>
      </c>
      <c r="S520" s="5" t="n">
        <v>30</v>
      </c>
      <c r="T520" s="12" t="n">
        <f aca="false">(O520-M520)/M520</f>
        <v>0.00380000000000008</v>
      </c>
      <c r="U520" s="8" t="n">
        <f aca="false">IF(AND(K520&lt;=I520,R520=0),1,0)</f>
        <v>1</v>
      </c>
      <c r="V520" s="10" t="n">
        <f aca="false">IF(Q520="No",P520,0)</f>
        <v>0</v>
      </c>
    </row>
    <row r="521" customFormat="false" ht="15" hidden="false" customHeight="false" outlineLevel="0" collapsed="false">
      <c r="A521" s="5" t="s">
        <v>655</v>
      </c>
      <c r="B521" s="5" t="s">
        <v>46</v>
      </c>
      <c r="C521" s="7" t="n">
        <v>45376</v>
      </c>
      <c r="D521" s="8" t="str">
        <f aca="false">INDEX(Dim_Supplier!$C$2:$C$21,MATCH(B521,Dim_Supplier!$A$2:$A$21,0))</f>
        <v>Raw Materials</v>
      </c>
      <c r="E521" s="8" t="str">
        <f aca="false">INDEX(Dim_Supplier!$B$2:$B$21,MATCH(B521,Dim_Supplier!$A$2:$A$21,0))</f>
        <v>Niagara Alloy Supply</v>
      </c>
      <c r="F521" s="5" t="s">
        <v>142</v>
      </c>
      <c r="G521" s="5" t="s">
        <v>129</v>
      </c>
      <c r="H521" s="8" t="n">
        <f aca="false">INDEX(Lookup_Tables!$B$2:$B$5,MATCH(D521,Lookup_Tables!$A$2:$A$5,0))</f>
        <v>21</v>
      </c>
      <c r="I521" s="9" t="n">
        <f aca="false">C521+H521</f>
        <v>45397</v>
      </c>
      <c r="J521" s="5" t="n">
        <v>-2</v>
      </c>
      <c r="K521" s="9" t="n">
        <f aca="false">I521+J521</f>
        <v>45395</v>
      </c>
      <c r="L521" s="5" t="n">
        <v>916</v>
      </c>
      <c r="M521" s="10" t="n">
        <f aca="false">INDEX(Dim_Supplier!$F$2:$F$21,MATCH(B521,Dim_Supplier!$A$2:$A$21,0))</f>
        <v>46.5</v>
      </c>
      <c r="N521" s="11" t="n">
        <v>0.0253</v>
      </c>
      <c r="O521" s="10" t="n">
        <f aca="false">M521*(1+N521)</f>
        <v>47.67645</v>
      </c>
      <c r="P521" s="10" t="n">
        <f aca="false">O521*L521</f>
        <v>43671.6282</v>
      </c>
      <c r="Q521" s="5" t="s">
        <v>113</v>
      </c>
      <c r="R521" s="5" t="n">
        <v>0</v>
      </c>
      <c r="S521" s="5" t="n">
        <v>30</v>
      </c>
      <c r="T521" s="12" t="n">
        <f aca="false">(O521-M521)/M521</f>
        <v>0.0253000000000001</v>
      </c>
      <c r="U521" s="8" t="n">
        <f aca="false">IF(AND(K521&lt;=I521,R521=0),1,0)</f>
        <v>1</v>
      </c>
      <c r="V521" s="10" t="n">
        <f aca="false">IF(Q521="No",P521,0)</f>
        <v>0</v>
      </c>
    </row>
    <row r="522" customFormat="false" ht="15" hidden="false" customHeight="false" outlineLevel="0" collapsed="false">
      <c r="A522" s="5" t="s">
        <v>656</v>
      </c>
      <c r="B522" s="5" t="s">
        <v>46</v>
      </c>
      <c r="C522" s="7" t="n">
        <v>45864</v>
      </c>
      <c r="D522" s="8" t="str">
        <f aca="false">INDEX(Dim_Supplier!$C$2:$C$21,MATCH(B522,Dim_Supplier!$A$2:$A$21,0))</f>
        <v>Raw Materials</v>
      </c>
      <c r="E522" s="8" t="str">
        <f aca="false">INDEX(Dim_Supplier!$B$2:$B$21,MATCH(B522,Dim_Supplier!$A$2:$A$21,0))</f>
        <v>Niagara Alloy Supply</v>
      </c>
      <c r="F522" s="5" t="s">
        <v>115</v>
      </c>
      <c r="G522" s="5" t="s">
        <v>125</v>
      </c>
      <c r="H522" s="8" t="n">
        <f aca="false">INDEX(Lookup_Tables!$B$2:$B$5,MATCH(D522,Lookup_Tables!$A$2:$A$5,0))</f>
        <v>21</v>
      </c>
      <c r="I522" s="9" t="n">
        <f aca="false">C522+H522</f>
        <v>45885</v>
      </c>
      <c r="J522" s="5" t="n">
        <v>-3</v>
      </c>
      <c r="K522" s="9" t="n">
        <f aca="false">I522+J522</f>
        <v>45882</v>
      </c>
      <c r="L522" s="5" t="n">
        <v>1249</v>
      </c>
      <c r="M522" s="10" t="n">
        <f aca="false">INDEX(Dim_Supplier!$F$2:$F$21,MATCH(B522,Dim_Supplier!$A$2:$A$21,0))</f>
        <v>46.5</v>
      </c>
      <c r="N522" s="11" t="n">
        <v>0.0459</v>
      </c>
      <c r="O522" s="10" t="n">
        <f aca="false">M522*(1+N522)</f>
        <v>48.63435</v>
      </c>
      <c r="P522" s="10" t="n">
        <f aca="false">O522*L522</f>
        <v>60744.30315</v>
      </c>
      <c r="Q522" s="5" t="s">
        <v>113</v>
      </c>
      <c r="R522" s="5" t="n">
        <v>0</v>
      </c>
      <c r="S522" s="5" t="n">
        <v>30</v>
      </c>
      <c r="T522" s="12" t="n">
        <f aca="false">(O522-M522)/M522</f>
        <v>0.0459000000000001</v>
      </c>
      <c r="U522" s="8" t="n">
        <f aca="false">IF(AND(K522&lt;=I522,R522=0),1,0)</f>
        <v>1</v>
      </c>
      <c r="V522" s="10" t="n">
        <f aca="false">IF(Q522="No",P522,0)</f>
        <v>0</v>
      </c>
    </row>
    <row r="523" customFormat="false" ht="15" hidden="false" customHeight="false" outlineLevel="0" collapsed="false">
      <c r="A523" s="5" t="s">
        <v>657</v>
      </c>
      <c r="B523" s="5" t="s">
        <v>41</v>
      </c>
      <c r="C523" s="7" t="n">
        <v>46087</v>
      </c>
      <c r="D523" s="8" t="str">
        <f aca="false">INDEX(Dim_Supplier!$C$2:$C$21,MATCH(B523,Dim_Supplier!$A$2:$A$21,0))</f>
        <v>Raw Materials</v>
      </c>
      <c r="E523" s="8" t="str">
        <f aca="false">INDEX(Dim_Supplier!$B$2:$B$21,MATCH(B523,Dim_Supplier!$A$2:$A$21,0))</f>
        <v>Ontario Steel Partners</v>
      </c>
      <c r="F523" s="5" t="s">
        <v>142</v>
      </c>
      <c r="G523" s="5" t="s">
        <v>120</v>
      </c>
      <c r="H523" s="8" t="n">
        <f aca="false">INDEX(Lookup_Tables!$B$2:$B$5,MATCH(D523,Lookup_Tables!$A$2:$A$5,0))</f>
        <v>21</v>
      </c>
      <c r="I523" s="9" t="n">
        <f aca="false">C523+H523</f>
        <v>46108</v>
      </c>
      <c r="J523" s="5" t="n">
        <v>-4</v>
      </c>
      <c r="K523" s="9" t="n">
        <f aca="false">I523+J523</f>
        <v>46104</v>
      </c>
      <c r="L523" s="5" t="n">
        <v>330</v>
      </c>
      <c r="M523" s="10" t="n">
        <f aca="false">INDEX(Dim_Supplier!$F$2:$F$21,MATCH(B523,Dim_Supplier!$A$2:$A$21,0))</f>
        <v>58</v>
      </c>
      <c r="N523" s="11" t="n">
        <v>-0.014</v>
      </c>
      <c r="O523" s="10" t="n">
        <f aca="false">M523*(1+N523)</f>
        <v>57.188</v>
      </c>
      <c r="P523" s="10" t="n">
        <f aca="false">O523*L523</f>
        <v>18872.04</v>
      </c>
      <c r="Q523" s="5" t="s">
        <v>113</v>
      </c>
      <c r="R523" s="5" t="n">
        <v>0</v>
      </c>
      <c r="S523" s="5" t="n">
        <v>30</v>
      </c>
      <c r="T523" s="12" t="n">
        <f aca="false">(O523-M523)/M523</f>
        <v>-0.014</v>
      </c>
      <c r="U523" s="8" t="n">
        <f aca="false">IF(AND(K523&lt;=I523,R523=0),1,0)</f>
        <v>1</v>
      </c>
      <c r="V523" s="10" t="n">
        <f aca="false">IF(Q523="No",P523,0)</f>
        <v>0</v>
      </c>
    </row>
    <row r="524" customFormat="false" ht="15" hidden="false" customHeight="false" outlineLevel="0" collapsed="false">
      <c r="A524" s="5" t="s">
        <v>658</v>
      </c>
      <c r="B524" s="5" t="s">
        <v>57</v>
      </c>
      <c r="C524" s="7" t="n">
        <v>45900</v>
      </c>
      <c r="D524" s="8" t="str">
        <f aca="false">INDEX(Dim_Supplier!$C$2:$C$21,MATCH(B524,Dim_Supplier!$A$2:$A$21,0))</f>
        <v>Packaging</v>
      </c>
      <c r="E524" s="8" t="str">
        <f aca="false">INDEX(Dim_Supplier!$B$2:$B$21,MATCH(B524,Dim_Supplier!$A$2:$A$21,0))</f>
        <v>Great Lakes Packaging Co.</v>
      </c>
      <c r="F524" s="5" t="s">
        <v>117</v>
      </c>
      <c r="G524" s="5" t="s">
        <v>120</v>
      </c>
      <c r="H524" s="8" t="n">
        <f aca="false">INDEX(Lookup_Tables!$B$2:$B$5,MATCH(D524,Lookup_Tables!$A$2:$A$5,0))</f>
        <v>14</v>
      </c>
      <c r="I524" s="9" t="n">
        <f aca="false">C524+H524</f>
        <v>45914</v>
      </c>
      <c r="J524" s="5" t="n">
        <v>-2</v>
      </c>
      <c r="K524" s="9" t="n">
        <f aca="false">I524+J524</f>
        <v>45912</v>
      </c>
      <c r="L524" s="5" t="n">
        <v>4122</v>
      </c>
      <c r="M524" s="10" t="n">
        <f aca="false">INDEX(Dim_Supplier!$F$2:$F$21,MATCH(B524,Dim_Supplier!$A$2:$A$21,0))</f>
        <v>4.35</v>
      </c>
      <c r="N524" s="11" t="n">
        <v>0.0262</v>
      </c>
      <c r="O524" s="10" t="n">
        <f aca="false">M524*(1+N524)</f>
        <v>4.46397</v>
      </c>
      <c r="P524" s="10" t="n">
        <f aca="false">O524*L524</f>
        <v>18400.48434</v>
      </c>
      <c r="Q524" s="5" t="s">
        <v>113</v>
      </c>
      <c r="R524" s="5" t="n">
        <v>0</v>
      </c>
      <c r="S524" s="5" t="n">
        <v>60</v>
      </c>
      <c r="T524" s="12" t="n">
        <f aca="false">(O524-M524)/M524</f>
        <v>0.0262</v>
      </c>
      <c r="U524" s="8" t="n">
        <f aca="false">IF(AND(K524&lt;=I524,R524=0),1,0)</f>
        <v>1</v>
      </c>
      <c r="V524" s="10" t="n">
        <f aca="false">IF(Q524="No",P524,0)</f>
        <v>0</v>
      </c>
    </row>
    <row r="525" customFormat="false" ht="15" hidden="false" customHeight="false" outlineLevel="0" collapsed="false">
      <c r="A525" s="5" t="s">
        <v>659</v>
      </c>
      <c r="B525" s="5" t="s">
        <v>52</v>
      </c>
      <c r="C525" s="7" t="n">
        <v>45993</v>
      </c>
      <c r="D525" s="8" t="str">
        <f aca="false">INDEX(Dim_Supplier!$C$2:$C$21,MATCH(B525,Dim_Supplier!$A$2:$A$21,0))</f>
        <v>Raw Materials</v>
      </c>
      <c r="E525" s="8" t="str">
        <f aca="false">INDEX(Dim_Supplier!$B$2:$B$21,MATCH(B525,Dim_Supplier!$A$2:$A$21,0))</f>
        <v>Laurentian Metals Inc.</v>
      </c>
      <c r="F525" s="5" t="s">
        <v>139</v>
      </c>
      <c r="G525" s="5" t="s">
        <v>112</v>
      </c>
      <c r="H525" s="8" t="n">
        <f aca="false">INDEX(Lookup_Tables!$B$2:$B$5,MATCH(D525,Lookup_Tables!$A$2:$A$5,0))</f>
        <v>21</v>
      </c>
      <c r="I525" s="9" t="n">
        <f aca="false">C525+H525</f>
        <v>46014</v>
      </c>
      <c r="J525" s="5" t="n">
        <v>-3</v>
      </c>
      <c r="K525" s="9" t="n">
        <f aca="false">I525+J525</f>
        <v>46011</v>
      </c>
      <c r="L525" s="5" t="n">
        <v>330</v>
      </c>
      <c r="M525" s="10" t="n">
        <f aca="false">INDEX(Dim_Supplier!$F$2:$F$21,MATCH(B525,Dim_Supplier!$A$2:$A$21,0))</f>
        <v>61.2</v>
      </c>
      <c r="N525" s="11" t="n">
        <v>-0.0191</v>
      </c>
      <c r="O525" s="10" t="n">
        <f aca="false">M525*(1+N525)</f>
        <v>60.03108</v>
      </c>
      <c r="P525" s="10" t="n">
        <f aca="false">O525*L525</f>
        <v>19810.2564</v>
      </c>
      <c r="Q525" s="5" t="s">
        <v>113</v>
      </c>
      <c r="R525" s="5" t="n">
        <v>0</v>
      </c>
      <c r="S525" s="5" t="n">
        <v>45</v>
      </c>
      <c r="T525" s="12" t="n">
        <f aca="false">(O525-M525)/M525</f>
        <v>-0.0191</v>
      </c>
      <c r="U525" s="8" t="n">
        <f aca="false">IF(AND(K525&lt;=I525,R525=0),1,0)</f>
        <v>1</v>
      </c>
      <c r="V525" s="10" t="n">
        <f aca="false">IF(Q525="No",P525,0)</f>
        <v>0</v>
      </c>
    </row>
    <row r="526" customFormat="false" ht="15" hidden="false" customHeight="false" outlineLevel="0" collapsed="false">
      <c r="A526" s="5" t="s">
        <v>660</v>
      </c>
      <c r="B526" s="5" t="s">
        <v>46</v>
      </c>
      <c r="C526" s="7" t="n">
        <v>46144</v>
      </c>
      <c r="D526" s="8" t="str">
        <f aca="false">INDEX(Dim_Supplier!$C$2:$C$21,MATCH(B526,Dim_Supplier!$A$2:$A$21,0))</f>
        <v>Raw Materials</v>
      </c>
      <c r="E526" s="8" t="str">
        <f aca="false">INDEX(Dim_Supplier!$B$2:$B$21,MATCH(B526,Dim_Supplier!$A$2:$A$21,0))</f>
        <v>Niagara Alloy Supply</v>
      </c>
      <c r="F526" s="5" t="s">
        <v>139</v>
      </c>
      <c r="G526" s="5" t="s">
        <v>129</v>
      </c>
      <c r="H526" s="8" t="n">
        <f aca="false">INDEX(Lookup_Tables!$B$2:$B$5,MATCH(D526,Lookup_Tables!$A$2:$A$5,0))</f>
        <v>21</v>
      </c>
      <c r="I526" s="9" t="n">
        <f aca="false">C526+H526</f>
        <v>46165</v>
      </c>
      <c r="J526" s="5" t="n">
        <v>-3</v>
      </c>
      <c r="K526" s="9" t="n">
        <f aca="false">I526+J526</f>
        <v>46162</v>
      </c>
      <c r="L526" s="5" t="n">
        <v>724</v>
      </c>
      <c r="M526" s="10" t="n">
        <f aca="false">INDEX(Dim_Supplier!$F$2:$F$21,MATCH(B526,Dim_Supplier!$A$2:$A$21,0))</f>
        <v>46.5</v>
      </c>
      <c r="N526" s="11" t="n">
        <v>0.0601</v>
      </c>
      <c r="O526" s="10" t="n">
        <f aca="false">M526*(1+N526)</f>
        <v>49.29465</v>
      </c>
      <c r="P526" s="10" t="n">
        <f aca="false">O526*L526</f>
        <v>35689.3266</v>
      </c>
      <c r="Q526" s="5" t="s">
        <v>113</v>
      </c>
      <c r="R526" s="5" t="n">
        <v>0</v>
      </c>
      <c r="S526" s="5" t="n">
        <v>30</v>
      </c>
      <c r="T526" s="12" t="n">
        <f aca="false">(O526-M526)/M526</f>
        <v>0.0601000000000001</v>
      </c>
      <c r="U526" s="8" t="n">
        <f aca="false">IF(AND(K526&lt;=I526,R526=0),1,0)</f>
        <v>1</v>
      </c>
      <c r="V526" s="10" t="n">
        <f aca="false">IF(Q526="No",P526,0)</f>
        <v>0</v>
      </c>
    </row>
    <row r="527" customFormat="false" ht="15" hidden="false" customHeight="false" outlineLevel="0" collapsed="false">
      <c r="A527" s="5" t="s">
        <v>661</v>
      </c>
      <c r="B527" s="5" t="s">
        <v>68</v>
      </c>
      <c r="C527" s="7" t="n">
        <v>45500</v>
      </c>
      <c r="D527" s="8" t="str">
        <f aca="false">INDEX(Dim_Supplier!$C$2:$C$21,MATCH(B527,Dim_Supplier!$A$2:$A$21,0))</f>
        <v>MRO</v>
      </c>
      <c r="E527" s="8" t="str">
        <f aca="false">INDEX(Dim_Supplier!$B$2:$B$21,MATCH(B527,Dim_Supplier!$A$2:$A$21,0))</f>
        <v>Precision Tool &amp; Supply</v>
      </c>
      <c r="F527" s="5" t="s">
        <v>132</v>
      </c>
      <c r="G527" s="5" t="s">
        <v>120</v>
      </c>
      <c r="H527" s="8" t="n">
        <f aca="false">INDEX(Lookup_Tables!$B$2:$B$5,MATCH(D527,Lookup_Tables!$A$2:$A$5,0))</f>
        <v>10</v>
      </c>
      <c r="I527" s="9" t="n">
        <f aca="false">C527+H527</f>
        <v>45510</v>
      </c>
      <c r="J527" s="5" t="n">
        <v>-4</v>
      </c>
      <c r="K527" s="9" t="n">
        <f aca="false">I527+J527</f>
        <v>45506</v>
      </c>
      <c r="L527" s="5" t="n">
        <v>41</v>
      </c>
      <c r="M527" s="10" t="n">
        <f aca="false">INDEX(Dim_Supplier!$F$2:$F$21,MATCH(B527,Dim_Supplier!$A$2:$A$21,0))</f>
        <v>22.4</v>
      </c>
      <c r="N527" s="11" t="n">
        <v>0.0016</v>
      </c>
      <c r="O527" s="10" t="n">
        <f aca="false">M527*(1+N527)</f>
        <v>22.43584</v>
      </c>
      <c r="P527" s="10" t="n">
        <f aca="false">O527*L527</f>
        <v>919.86944</v>
      </c>
      <c r="Q527" s="5" t="s">
        <v>113</v>
      </c>
      <c r="R527" s="5" t="n">
        <v>0</v>
      </c>
      <c r="S527" s="5" t="n">
        <v>30</v>
      </c>
      <c r="T527" s="12" t="n">
        <f aca="false">(O527-M527)/M527</f>
        <v>0.00160000000000001</v>
      </c>
      <c r="U527" s="8" t="n">
        <f aca="false">IF(AND(K527&lt;=I527,R527=0),1,0)</f>
        <v>1</v>
      </c>
      <c r="V527" s="10" t="n">
        <f aca="false">IF(Q527="No",P527,0)</f>
        <v>0</v>
      </c>
    </row>
    <row r="528" customFormat="false" ht="15" hidden="false" customHeight="false" outlineLevel="0" collapsed="false">
      <c r="A528" s="5" t="s">
        <v>662</v>
      </c>
      <c r="B528" s="5" t="s">
        <v>86</v>
      </c>
      <c r="C528" s="7" t="n">
        <v>45831</v>
      </c>
      <c r="D528" s="8" t="str">
        <f aca="false">INDEX(Dim_Supplier!$C$2:$C$21,MATCH(B528,Dim_Supplier!$A$2:$A$21,0))</f>
        <v>Logistics</v>
      </c>
      <c r="E528" s="8" t="str">
        <f aca="false">INDEX(Dim_Supplier!$B$2:$B$21,MATCH(B528,Dim_Supplier!$A$2:$A$21,0))</f>
        <v>Blue Water Customs Brokerage</v>
      </c>
      <c r="F528" s="5" t="s">
        <v>124</v>
      </c>
      <c r="G528" s="5" t="s">
        <v>120</v>
      </c>
      <c r="H528" s="8" t="n">
        <f aca="false">INDEX(Lookup_Tables!$B$2:$B$5,MATCH(D528,Lookup_Tables!$A$2:$A$5,0))</f>
        <v>5</v>
      </c>
      <c r="I528" s="9" t="n">
        <f aca="false">C528+H528</f>
        <v>45836</v>
      </c>
      <c r="J528" s="5" t="n">
        <v>-1</v>
      </c>
      <c r="K528" s="9" t="n">
        <f aca="false">I528+J528</f>
        <v>45835</v>
      </c>
      <c r="L528" s="5" t="n">
        <v>45</v>
      </c>
      <c r="M528" s="10" t="n">
        <f aca="false">INDEX(Dim_Supplier!$F$2:$F$21,MATCH(B528,Dim_Supplier!$A$2:$A$21,0))</f>
        <v>175</v>
      </c>
      <c r="N528" s="11" t="n">
        <v>0.0243</v>
      </c>
      <c r="O528" s="10" t="n">
        <f aca="false">M528*(1+N528)</f>
        <v>179.2525</v>
      </c>
      <c r="P528" s="10" t="n">
        <f aca="false">O528*L528</f>
        <v>8066.3625</v>
      </c>
      <c r="Q528" s="5" t="s">
        <v>113</v>
      </c>
      <c r="R528" s="5" t="n">
        <v>0</v>
      </c>
      <c r="S528" s="5" t="n">
        <v>45</v>
      </c>
      <c r="T528" s="12" t="n">
        <f aca="false">(O528-M528)/M528</f>
        <v>0.0243</v>
      </c>
      <c r="U528" s="8" t="n">
        <f aca="false">IF(AND(K528&lt;=I528,R528=0),1,0)</f>
        <v>1</v>
      </c>
      <c r="V528" s="10" t="n">
        <f aca="false">IF(Q528="No",P528,0)</f>
        <v>0</v>
      </c>
    </row>
    <row r="529" customFormat="false" ht="15" hidden="false" customHeight="false" outlineLevel="0" collapsed="false">
      <c r="A529" s="5" t="s">
        <v>663</v>
      </c>
      <c r="B529" s="5" t="s">
        <v>41</v>
      </c>
      <c r="C529" s="7" t="n">
        <v>45689</v>
      </c>
      <c r="D529" s="8" t="str">
        <f aca="false">INDEX(Dim_Supplier!$C$2:$C$21,MATCH(B529,Dim_Supplier!$A$2:$A$21,0))</f>
        <v>Raw Materials</v>
      </c>
      <c r="E529" s="8" t="str">
        <f aca="false">INDEX(Dim_Supplier!$B$2:$B$21,MATCH(B529,Dim_Supplier!$A$2:$A$21,0))</f>
        <v>Ontario Steel Partners</v>
      </c>
      <c r="F529" s="5" t="s">
        <v>139</v>
      </c>
      <c r="G529" s="5" t="s">
        <v>120</v>
      </c>
      <c r="H529" s="8" t="n">
        <f aca="false">INDEX(Lookup_Tables!$B$2:$B$5,MATCH(D529,Lookup_Tables!$A$2:$A$5,0))</f>
        <v>21</v>
      </c>
      <c r="I529" s="9" t="n">
        <f aca="false">C529+H529</f>
        <v>45710</v>
      </c>
      <c r="J529" s="5" t="n">
        <v>-3</v>
      </c>
      <c r="K529" s="9" t="n">
        <f aca="false">I529+J529</f>
        <v>45707</v>
      </c>
      <c r="L529" s="5" t="n">
        <v>1876</v>
      </c>
      <c r="M529" s="10" t="n">
        <f aca="false">INDEX(Dim_Supplier!$F$2:$F$21,MATCH(B529,Dim_Supplier!$A$2:$A$21,0))</f>
        <v>58</v>
      </c>
      <c r="N529" s="11" t="n">
        <v>0.007</v>
      </c>
      <c r="O529" s="10" t="n">
        <f aca="false">M529*(1+N529)</f>
        <v>58.406</v>
      </c>
      <c r="P529" s="10" t="n">
        <f aca="false">O529*L529</f>
        <v>109569.656</v>
      </c>
      <c r="Q529" s="5" t="s">
        <v>113</v>
      </c>
      <c r="R529" s="5" t="n">
        <v>0</v>
      </c>
      <c r="S529" s="5" t="n">
        <v>60</v>
      </c>
      <c r="T529" s="12" t="n">
        <f aca="false">(O529-M529)/M529</f>
        <v>0.00699999999999986</v>
      </c>
      <c r="U529" s="8" t="n">
        <f aca="false">IF(AND(K529&lt;=I529,R529=0),1,0)</f>
        <v>1</v>
      </c>
      <c r="V529" s="10" t="n">
        <f aca="false">IF(Q529="No",P529,0)</f>
        <v>0</v>
      </c>
    </row>
    <row r="530" customFormat="false" ht="15" hidden="false" customHeight="false" outlineLevel="0" collapsed="false">
      <c r="A530" s="5" t="s">
        <v>664</v>
      </c>
      <c r="B530" s="5" t="s">
        <v>66</v>
      </c>
      <c r="C530" s="7" t="n">
        <v>46018</v>
      </c>
      <c r="D530" s="8" t="str">
        <f aca="false">INDEX(Dim_Supplier!$C$2:$C$21,MATCH(B530,Dim_Supplier!$A$2:$A$21,0))</f>
        <v>Packaging</v>
      </c>
      <c r="E530" s="8" t="str">
        <f aca="false">INDEX(Dim_Supplier!$B$2:$B$21,MATCH(B530,Dim_Supplier!$A$2:$A$21,0))</f>
        <v>EverGreen Wrap Industries</v>
      </c>
      <c r="F530" s="5" t="s">
        <v>117</v>
      </c>
      <c r="G530" s="5" t="s">
        <v>120</v>
      </c>
      <c r="H530" s="8" t="n">
        <f aca="false">INDEX(Lookup_Tables!$B$2:$B$5,MATCH(D530,Lookup_Tables!$A$2:$A$5,0))</f>
        <v>14</v>
      </c>
      <c r="I530" s="9" t="n">
        <f aca="false">C530+H530</f>
        <v>46032</v>
      </c>
      <c r="J530" s="5" t="n">
        <v>-4</v>
      </c>
      <c r="K530" s="9" t="n">
        <f aca="false">I530+J530</f>
        <v>46028</v>
      </c>
      <c r="L530" s="5" t="n">
        <v>1221</v>
      </c>
      <c r="M530" s="10" t="n">
        <f aca="false">INDEX(Dim_Supplier!$F$2:$F$21,MATCH(B530,Dim_Supplier!$A$2:$A$21,0))</f>
        <v>6.8</v>
      </c>
      <c r="N530" s="11" t="n">
        <v>0.0626</v>
      </c>
      <c r="O530" s="10" t="n">
        <f aca="false">M530*(1+N530)</f>
        <v>7.22568</v>
      </c>
      <c r="P530" s="10" t="n">
        <f aca="false">O530*L530</f>
        <v>8822.55528</v>
      </c>
      <c r="Q530" s="5" t="s">
        <v>113</v>
      </c>
      <c r="R530" s="5" t="n">
        <v>0</v>
      </c>
      <c r="S530" s="5" t="n">
        <v>30</v>
      </c>
      <c r="T530" s="12" t="n">
        <f aca="false">(O530-M530)/M530</f>
        <v>0.0626</v>
      </c>
      <c r="U530" s="8" t="n">
        <f aca="false">IF(AND(K530&lt;=I530,R530=0),1,0)</f>
        <v>1</v>
      </c>
      <c r="V530" s="10" t="n">
        <f aca="false">IF(Q530="No",P530,0)</f>
        <v>0</v>
      </c>
    </row>
    <row r="531" customFormat="false" ht="15" hidden="false" customHeight="false" outlineLevel="0" collapsed="false">
      <c r="A531" s="5" t="s">
        <v>665</v>
      </c>
      <c r="B531" s="5" t="s">
        <v>86</v>
      </c>
      <c r="C531" s="7" t="n">
        <v>45314</v>
      </c>
      <c r="D531" s="8" t="str">
        <f aca="false">INDEX(Dim_Supplier!$C$2:$C$21,MATCH(B531,Dim_Supplier!$A$2:$A$21,0))</f>
        <v>Logistics</v>
      </c>
      <c r="E531" s="8" t="str">
        <f aca="false">INDEX(Dim_Supplier!$B$2:$B$21,MATCH(B531,Dim_Supplier!$A$2:$A$21,0))</f>
        <v>Blue Water Customs Brokerage</v>
      </c>
      <c r="F531" s="5" t="s">
        <v>124</v>
      </c>
      <c r="G531" s="5" t="s">
        <v>112</v>
      </c>
      <c r="H531" s="8" t="n">
        <f aca="false">INDEX(Lookup_Tables!$B$2:$B$5,MATCH(D531,Lookup_Tables!$A$2:$A$5,0))</f>
        <v>5</v>
      </c>
      <c r="I531" s="9" t="n">
        <f aca="false">C531+H531</f>
        <v>45319</v>
      </c>
      <c r="J531" s="5" t="n">
        <v>0</v>
      </c>
      <c r="K531" s="9" t="n">
        <f aca="false">I531+J531</f>
        <v>45319</v>
      </c>
      <c r="L531" s="5" t="n">
        <v>32</v>
      </c>
      <c r="M531" s="10" t="n">
        <f aca="false">INDEX(Dim_Supplier!$F$2:$F$21,MATCH(B531,Dim_Supplier!$A$2:$A$21,0))</f>
        <v>175</v>
      </c>
      <c r="N531" s="11" t="n">
        <v>0.002</v>
      </c>
      <c r="O531" s="10" t="n">
        <f aca="false">M531*(1+N531)</f>
        <v>175.35</v>
      </c>
      <c r="P531" s="10" t="n">
        <f aca="false">O531*L531</f>
        <v>5611.2</v>
      </c>
      <c r="Q531" s="5" t="s">
        <v>113</v>
      </c>
      <c r="R531" s="5" t="n">
        <v>0</v>
      </c>
      <c r="S531" s="5" t="n">
        <v>30</v>
      </c>
      <c r="T531" s="12" t="n">
        <f aca="false">(O531-M531)/M531</f>
        <v>0.00199999999999997</v>
      </c>
      <c r="U531" s="8" t="n">
        <f aca="false">IF(AND(K531&lt;=I531,R531=0),1,0)</f>
        <v>1</v>
      </c>
      <c r="V531" s="10" t="n">
        <f aca="false">IF(Q531="No",P531,0)</f>
        <v>0</v>
      </c>
    </row>
    <row r="532" customFormat="false" ht="15" hidden="false" customHeight="false" outlineLevel="0" collapsed="false">
      <c r="A532" s="5" t="s">
        <v>666</v>
      </c>
      <c r="B532" s="5" t="s">
        <v>57</v>
      </c>
      <c r="C532" s="7" t="n">
        <v>45932</v>
      </c>
      <c r="D532" s="8" t="str">
        <f aca="false">INDEX(Dim_Supplier!$C$2:$C$21,MATCH(B532,Dim_Supplier!$A$2:$A$21,0))</f>
        <v>Packaging</v>
      </c>
      <c r="E532" s="8" t="str">
        <f aca="false">INDEX(Dim_Supplier!$B$2:$B$21,MATCH(B532,Dim_Supplier!$A$2:$A$21,0))</f>
        <v>Great Lakes Packaging Co.</v>
      </c>
      <c r="F532" s="5" t="s">
        <v>119</v>
      </c>
      <c r="G532" s="5" t="s">
        <v>112</v>
      </c>
      <c r="H532" s="8" t="n">
        <f aca="false">INDEX(Lookup_Tables!$B$2:$B$5,MATCH(D532,Lookup_Tables!$A$2:$A$5,0))</f>
        <v>14</v>
      </c>
      <c r="I532" s="9" t="n">
        <f aca="false">C532+H532</f>
        <v>45946</v>
      </c>
      <c r="J532" s="5" t="n">
        <v>3</v>
      </c>
      <c r="K532" s="9" t="n">
        <f aca="false">I532+J532</f>
        <v>45949</v>
      </c>
      <c r="L532" s="5" t="n">
        <v>2759</v>
      </c>
      <c r="M532" s="10" t="n">
        <f aca="false">INDEX(Dim_Supplier!$F$2:$F$21,MATCH(B532,Dim_Supplier!$A$2:$A$21,0))</f>
        <v>4.35</v>
      </c>
      <c r="N532" s="11" t="n">
        <v>0.0086</v>
      </c>
      <c r="O532" s="10" t="n">
        <f aca="false">M532*(1+N532)</f>
        <v>4.38741</v>
      </c>
      <c r="P532" s="10" t="n">
        <f aca="false">O532*L532</f>
        <v>12104.86419</v>
      </c>
      <c r="Q532" s="5" t="s">
        <v>113</v>
      </c>
      <c r="R532" s="5" t="n">
        <v>0</v>
      </c>
      <c r="S532" s="5" t="n">
        <v>60</v>
      </c>
      <c r="T532" s="12" t="n">
        <f aca="false">(O532-M532)/M532</f>
        <v>0.00859999999999989</v>
      </c>
      <c r="U532" s="8" t="n">
        <f aca="false">IF(AND(K532&lt;=I532,R532=0),1,0)</f>
        <v>0</v>
      </c>
      <c r="V532" s="10" t="n">
        <f aca="false">IF(Q532="No",P532,0)</f>
        <v>0</v>
      </c>
    </row>
    <row r="533" customFormat="false" ht="15" hidden="false" customHeight="false" outlineLevel="0" collapsed="false">
      <c r="A533" s="5" t="s">
        <v>667</v>
      </c>
      <c r="B533" s="5" t="s">
        <v>84</v>
      </c>
      <c r="C533" s="7" t="n">
        <v>46126</v>
      </c>
      <c r="D533" s="8" t="str">
        <f aca="false">INDEX(Dim_Supplier!$C$2:$C$21,MATCH(B533,Dim_Supplier!$A$2:$A$21,0))</f>
        <v>Logistics</v>
      </c>
      <c r="E533" s="8" t="str">
        <f aca="false">INDEX(Dim_Supplier!$B$2:$B$21,MATCH(B533,Dim_Supplier!$A$2:$A$21,0))</f>
        <v>Trans-Canada Carriers</v>
      </c>
      <c r="F533" s="5" t="s">
        <v>124</v>
      </c>
      <c r="G533" s="5" t="s">
        <v>120</v>
      </c>
      <c r="H533" s="8" t="n">
        <f aca="false">INDEX(Lookup_Tables!$B$2:$B$5,MATCH(D533,Lookup_Tables!$A$2:$A$5,0))</f>
        <v>5</v>
      </c>
      <c r="I533" s="9" t="n">
        <f aca="false">C533+H533</f>
        <v>46131</v>
      </c>
      <c r="J533" s="5" t="n">
        <v>4</v>
      </c>
      <c r="K533" s="9" t="n">
        <f aca="false">I533+J533</f>
        <v>46135</v>
      </c>
      <c r="L533" s="5" t="n">
        <v>26</v>
      </c>
      <c r="M533" s="10" t="n">
        <f aca="false">INDEX(Dim_Supplier!$F$2:$F$21,MATCH(B533,Dim_Supplier!$A$2:$A$21,0))</f>
        <v>210</v>
      </c>
      <c r="N533" s="11" t="n">
        <v>0.1481</v>
      </c>
      <c r="O533" s="10" t="n">
        <f aca="false">M533*(1+N533)</f>
        <v>241.101</v>
      </c>
      <c r="P533" s="10" t="n">
        <f aca="false">O533*L533</f>
        <v>6268.626</v>
      </c>
      <c r="Q533" s="5" t="s">
        <v>133</v>
      </c>
      <c r="R533" s="5" t="n">
        <v>0</v>
      </c>
      <c r="S533" s="5" t="n">
        <v>30</v>
      </c>
      <c r="T533" s="12" t="n">
        <f aca="false">(O533-M533)/M533</f>
        <v>0.1481</v>
      </c>
      <c r="U533" s="8" t="n">
        <f aca="false">IF(AND(K533&lt;=I533,R533=0),1,0)</f>
        <v>0</v>
      </c>
      <c r="V533" s="10" t="n">
        <f aca="false">IF(Q533="No",P533,0)</f>
        <v>6268.626</v>
      </c>
    </row>
    <row r="534" customFormat="false" ht="15" hidden="false" customHeight="false" outlineLevel="0" collapsed="false">
      <c r="A534" s="5" t="s">
        <v>668</v>
      </c>
      <c r="B534" s="5" t="s">
        <v>88</v>
      </c>
      <c r="C534" s="7" t="n">
        <v>45919</v>
      </c>
      <c r="D534" s="8" t="str">
        <f aca="false">INDEX(Dim_Supplier!$C$2:$C$21,MATCH(B534,Dim_Supplier!$A$2:$A$21,0))</f>
        <v>Logistics</v>
      </c>
      <c r="E534" s="8" t="str">
        <f aca="false">INDEX(Dim_Supplier!$B$2:$B$21,MATCH(B534,Dim_Supplier!$A$2:$A$21,0))</f>
        <v>Summit Last-Mile Delivery</v>
      </c>
      <c r="F534" s="5" t="s">
        <v>154</v>
      </c>
      <c r="G534" s="5" t="s">
        <v>125</v>
      </c>
      <c r="H534" s="8" t="n">
        <f aca="false">INDEX(Lookup_Tables!$B$2:$B$5,MATCH(D534,Lookup_Tables!$A$2:$A$5,0))</f>
        <v>5</v>
      </c>
      <c r="I534" s="9" t="n">
        <f aca="false">C534+H534</f>
        <v>45924</v>
      </c>
      <c r="J534" s="5" t="n">
        <v>-1</v>
      </c>
      <c r="K534" s="9" t="n">
        <f aca="false">I534+J534</f>
        <v>45923</v>
      </c>
      <c r="L534" s="5" t="n">
        <v>20</v>
      </c>
      <c r="M534" s="10" t="n">
        <f aca="false">INDEX(Dim_Supplier!$F$2:$F$21,MATCH(B534,Dim_Supplier!$A$2:$A$21,0))</f>
        <v>95</v>
      </c>
      <c r="N534" s="11" t="n">
        <v>0.0515</v>
      </c>
      <c r="O534" s="10" t="n">
        <f aca="false">M534*(1+N534)</f>
        <v>99.8925</v>
      </c>
      <c r="P534" s="10" t="n">
        <f aca="false">O534*L534</f>
        <v>1997.85</v>
      </c>
      <c r="Q534" s="5" t="s">
        <v>133</v>
      </c>
      <c r="R534" s="5" t="n">
        <v>0</v>
      </c>
      <c r="S534" s="5" t="n">
        <v>45</v>
      </c>
      <c r="T534" s="12" t="n">
        <f aca="false">(O534-M534)/M534</f>
        <v>0.0515000000000001</v>
      </c>
      <c r="U534" s="8" t="n">
        <f aca="false">IF(AND(K534&lt;=I534,R534=0),1,0)</f>
        <v>1</v>
      </c>
      <c r="V534" s="10" t="n">
        <f aca="false">IF(Q534="No",P534,0)</f>
        <v>1997.85</v>
      </c>
    </row>
    <row r="535" customFormat="false" ht="15" hidden="false" customHeight="false" outlineLevel="0" collapsed="false">
      <c r="A535" s="5" t="s">
        <v>669</v>
      </c>
      <c r="B535" s="5" t="s">
        <v>52</v>
      </c>
      <c r="C535" s="7" t="n">
        <v>45433</v>
      </c>
      <c r="D535" s="8" t="str">
        <f aca="false">INDEX(Dim_Supplier!$C$2:$C$21,MATCH(B535,Dim_Supplier!$A$2:$A$21,0))</f>
        <v>Raw Materials</v>
      </c>
      <c r="E535" s="8" t="str">
        <f aca="false">INDEX(Dim_Supplier!$B$2:$B$21,MATCH(B535,Dim_Supplier!$A$2:$A$21,0))</f>
        <v>Laurentian Metals Inc.</v>
      </c>
      <c r="F535" s="5" t="s">
        <v>144</v>
      </c>
      <c r="G535" s="5" t="s">
        <v>112</v>
      </c>
      <c r="H535" s="8" t="n">
        <f aca="false">INDEX(Lookup_Tables!$B$2:$B$5,MATCH(D535,Lookup_Tables!$A$2:$A$5,0))</f>
        <v>21</v>
      </c>
      <c r="I535" s="9" t="n">
        <f aca="false">C535+H535</f>
        <v>45454</v>
      </c>
      <c r="J535" s="5" t="n">
        <v>-2</v>
      </c>
      <c r="K535" s="9" t="n">
        <f aca="false">I535+J535</f>
        <v>45452</v>
      </c>
      <c r="L535" s="5" t="n">
        <v>1544</v>
      </c>
      <c r="M535" s="10" t="n">
        <f aca="false">INDEX(Dim_Supplier!$F$2:$F$21,MATCH(B535,Dim_Supplier!$A$2:$A$21,0))</f>
        <v>61.2</v>
      </c>
      <c r="N535" s="11" t="n">
        <v>0.0069</v>
      </c>
      <c r="O535" s="10" t="n">
        <f aca="false">M535*(1+N535)</f>
        <v>61.62228</v>
      </c>
      <c r="P535" s="10" t="n">
        <f aca="false">O535*L535</f>
        <v>95144.80032</v>
      </c>
      <c r="Q535" s="5" t="s">
        <v>113</v>
      </c>
      <c r="R535" s="5" t="n">
        <v>0</v>
      </c>
      <c r="S535" s="5" t="n">
        <v>30</v>
      </c>
      <c r="T535" s="12" t="n">
        <f aca="false">(O535-M535)/M535</f>
        <v>0.00689999999999989</v>
      </c>
      <c r="U535" s="8" t="n">
        <f aca="false">IF(AND(K535&lt;=I535,R535=0),1,0)</f>
        <v>1</v>
      </c>
      <c r="V535" s="10" t="n">
        <f aca="false">IF(Q535="No",P535,0)</f>
        <v>0</v>
      </c>
    </row>
    <row r="536" customFormat="false" ht="15" hidden="false" customHeight="false" outlineLevel="0" collapsed="false">
      <c r="A536" s="5" t="s">
        <v>670</v>
      </c>
      <c r="B536" s="5" t="s">
        <v>86</v>
      </c>
      <c r="C536" s="7" t="n">
        <v>46080</v>
      </c>
      <c r="D536" s="8" t="str">
        <f aca="false">INDEX(Dim_Supplier!$C$2:$C$21,MATCH(B536,Dim_Supplier!$A$2:$A$21,0))</f>
        <v>Logistics</v>
      </c>
      <c r="E536" s="8" t="str">
        <f aca="false">INDEX(Dim_Supplier!$B$2:$B$21,MATCH(B536,Dim_Supplier!$A$2:$A$21,0))</f>
        <v>Blue Water Customs Brokerage</v>
      </c>
      <c r="F536" s="5" t="s">
        <v>154</v>
      </c>
      <c r="G536" s="5" t="s">
        <v>112</v>
      </c>
      <c r="H536" s="8" t="n">
        <f aca="false">INDEX(Lookup_Tables!$B$2:$B$5,MATCH(D536,Lookup_Tables!$A$2:$A$5,0))</f>
        <v>5</v>
      </c>
      <c r="I536" s="9" t="n">
        <f aca="false">C536+H536</f>
        <v>46085</v>
      </c>
      <c r="J536" s="5" t="n">
        <v>-3</v>
      </c>
      <c r="K536" s="9" t="n">
        <f aca="false">I536+J536</f>
        <v>46082</v>
      </c>
      <c r="L536" s="5" t="n">
        <v>47</v>
      </c>
      <c r="M536" s="10" t="n">
        <f aca="false">INDEX(Dim_Supplier!$F$2:$F$21,MATCH(B536,Dim_Supplier!$A$2:$A$21,0))</f>
        <v>175</v>
      </c>
      <c r="N536" s="11" t="n">
        <v>0.0333</v>
      </c>
      <c r="O536" s="10" t="n">
        <f aca="false">M536*(1+N536)</f>
        <v>180.8275</v>
      </c>
      <c r="P536" s="10" t="n">
        <f aca="false">O536*L536</f>
        <v>8498.8925</v>
      </c>
      <c r="Q536" s="5" t="s">
        <v>113</v>
      </c>
      <c r="R536" s="5" t="n">
        <v>0</v>
      </c>
      <c r="S536" s="5" t="n">
        <v>60</v>
      </c>
      <c r="T536" s="12" t="n">
        <f aca="false">(O536-M536)/M536</f>
        <v>0.0333000000000001</v>
      </c>
      <c r="U536" s="8" t="n">
        <f aca="false">IF(AND(K536&lt;=I536,R536=0),1,0)</f>
        <v>1</v>
      </c>
      <c r="V536" s="10" t="n">
        <f aca="false">IF(Q536="No",P536,0)</f>
        <v>0</v>
      </c>
    </row>
    <row r="537" customFormat="false" ht="15" hidden="false" customHeight="false" outlineLevel="0" collapsed="false">
      <c r="A537" s="5" t="s">
        <v>671</v>
      </c>
      <c r="B537" s="5" t="s">
        <v>77</v>
      </c>
      <c r="C537" s="7" t="n">
        <v>46075</v>
      </c>
      <c r="D537" s="8" t="str">
        <f aca="false">INDEX(Dim_Supplier!$C$2:$C$21,MATCH(B537,Dim_Supplier!$A$2:$A$21,0))</f>
        <v>MRO</v>
      </c>
      <c r="E537" s="8" t="str">
        <f aca="false">INDEX(Dim_Supplier!$B$2:$B$21,MATCH(B537,Dim_Supplier!$A$2:$A$21,0))</f>
        <v>Apex Industrial Supply</v>
      </c>
      <c r="F537" s="5" t="s">
        <v>111</v>
      </c>
      <c r="G537" s="5" t="s">
        <v>125</v>
      </c>
      <c r="H537" s="8" t="n">
        <f aca="false">INDEX(Lookup_Tables!$B$2:$B$5,MATCH(D537,Lookup_Tables!$A$2:$A$5,0))</f>
        <v>10</v>
      </c>
      <c r="I537" s="9" t="n">
        <f aca="false">C537+H537</f>
        <v>46085</v>
      </c>
      <c r="J537" s="5" t="n">
        <v>1</v>
      </c>
      <c r="K537" s="9" t="n">
        <f aca="false">I537+J537</f>
        <v>46086</v>
      </c>
      <c r="L537" s="5" t="n">
        <v>195</v>
      </c>
      <c r="M537" s="10" t="n">
        <f aca="false">INDEX(Dim_Supplier!$F$2:$F$21,MATCH(B537,Dim_Supplier!$A$2:$A$21,0))</f>
        <v>24.6</v>
      </c>
      <c r="N537" s="11" t="n">
        <v>0.0459</v>
      </c>
      <c r="O537" s="10" t="n">
        <f aca="false">M537*(1+N537)</f>
        <v>25.72914</v>
      </c>
      <c r="P537" s="10" t="n">
        <f aca="false">O537*L537</f>
        <v>5017.1823</v>
      </c>
      <c r="Q537" s="5" t="s">
        <v>133</v>
      </c>
      <c r="R537" s="5" t="n">
        <v>0</v>
      </c>
      <c r="S537" s="5" t="n">
        <v>60</v>
      </c>
      <c r="T537" s="12" t="n">
        <f aca="false">(O537-M537)/M537</f>
        <v>0.0459</v>
      </c>
      <c r="U537" s="8" t="n">
        <f aca="false">IF(AND(K537&lt;=I537,R537=0),1,0)</f>
        <v>0</v>
      </c>
      <c r="V537" s="10" t="n">
        <f aca="false">IF(Q537="No",P537,0)</f>
        <v>5017.1823</v>
      </c>
    </row>
    <row r="538" customFormat="false" ht="15" hidden="false" customHeight="false" outlineLevel="0" collapsed="false">
      <c r="A538" s="5" t="s">
        <v>672</v>
      </c>
      <c r="B538" s="5" t="s">
        <v>54</v>
      </c>
      <c r="C538" s="7" t="n">
        <v>46089</v>
      </c>
      <c r="D538" s="8" t="str">
        <f aca="false">INDEX(Dim_Supplier!$C$2:$C$21,MATCH(B538,Dim_Supplier!$A$2:$A$21,0))</f>
        <v>Raw Materials</v>
      </c>
      <c r="E538" s="8" t="str">
        <f aca="false">INDEX(Dim_Supplier!$B$2:$B$21,MATCH(B538,Dim_Supplier!$A$2:$A$21,0))</f>
        <v>Northern Resin Solutions</v>
      </c>
      <c r="F538" s="5" t="s">
        <v>115</v>
      </c>
      <c r="G538" s="5" t="s">
        <v>129</v>
      </c>
      <c r="H538" s="8" t="n">
        <f aca="false">INDEX(Lookup_Tables!$B$2:$B$5,MATCH(D538,Lookup_Tables!$A$2:$A$5,0))</f>
        <v>21</v>
      </c>
      <c r="I538" s="9" t="n">
        <f aca="false">C538+H538</f>
        <v>46110</v>
      </c>
      <c r="J538" s="5" t="n">
        <v>-1</v>
      </c>
      <c r="K538" s="9" t="n">
        <f aca="false">I538+J538</f>
        <v>46109</v>
      </c>
      <c r="L538" s="5" t="n">
        <v>1353</v>
      </c>
      <c r="M538" s="10" t="n">
        <f aca="false">INDEX(Dim_Supplier!$F$2:$F$21,MATCH(B538,Dim_Supplier!$A$2:$A$21,0))</f>
        <v>38.9</v>
      </c>
      <c r="N538" s="11" t="n">
        <v>0.0534</v>
      </c>
      <c r="O538" s="10" t="n">
        <f aca="false">M538*(1+N538)</f>
        <v>40.97726</v>
      </c>
      <c r="P538" s="10" t="n">
        <f aca="false">O538*L538</f>
        <v>55442.23278</v>
      </c>
      <c r="Q538" s="5" t="s">
        <v>113</v>
      </c>
      <c r="R538" s="5" t="n">
        <v>0</v>
      </c>
      <c r="S538" s="5" t="n">
        <v>45</v>
      </c>
      <c r="T538" s="12" t="n">
        <f aca="false">(O538-M538)/M538</f>
        <v>0.0533999999999999</v>
      </c>
      <c r="U538" s="8" t="n">
        <f aca="false">IF(AND(K538&lt;=I538,R538=0),1,0)</f>
        <v>1</v>
      </c>
      <c r="V538" s="10" t="n">
        <f aca="false">IF(Q538="No",P538,0)</f>
        <v>0</v>
      </c>
    </row>
    <row r="539" customFormat="false" ht="15" hidden="false" customHeight="false" outlineLevel="0" collapsed="false">
      <c r="A539" s="5" t="s">
        <v>673</v>
      </c>
      <c r="B539" s="5" t="s">
        <v>71</v>
      </c>
      <c r="C539" s="7" t="n">
        <v>45528</v>
      </c>
      <c r="D539" s="8" t="str">
        <f aca="false">INDEX(Dim_Supplier!$C$2:$C$21,MATCH(B539,Dim_Supplier!$A$2:$A$21,0))</f>
        <v>MRO</v>
      </c>
      <c r="E539" s="8" t="str">
        <f aca="false">INDEX(Dim_Supplier!$B$2:$B$21,MATCH(B539,Dim_Supplier!$A$2:$A$21,0))</f>
        <v>CanSafe Equipment Ltd.</v>
      </c>
      <c r="F539" s="5" t="s">
        <v>127</v>
      </c>
      <c r="G539" s="5" t="s">
        <v>120</v>
      </c>
      <c r="H539" s="8" t="n">
        <f aca="false">INDEX(Lookup_Tables!$B$2:$B$5,MATCH(D539,Lookup_Tables!$A$2:$A$5,0))</f>
        <v>10</v>
      </c>
      <c r="I539" s="9" t="n">
        <f aca="false">C539+H539</f>
        <v>45538</v>
      </c>
      <c r="J539" s="5" t="n">
        <v>2</v>
      </c>
      <c r="K539" s="9" t="n">
        <f aca="false">I539+J539</f>
        <v>45540</v>
      </c>
      <c r="L539" s="5" t="n">
        <v>39</v>
      </c>
      <c r="M539" s="10" t="n">
        <f aca="false">INDEX(Dim_Supplier!$F$2:$F$21,MATCH(B539,Dim_Supplier!$A$2:$A$21,0))</f>
        <v>18.75</v>
      </c>
      <c r="N539" s="11" t="n">
        <v>0.0467</v>
      </c>
      <c r="O539" s="10" t="n">
        <f aca="false">M539*(1+N539)</f>
        <v>19.625625</v>
      </c>
      <c r="P539" s="10" t="n">
        <f aca="false">O539*L539</f>
        <v>765.399375</v>
      </c>
      <c r="Q539" s="5" t="s">
        <v>113</v>
      </c>
      <c r="R539" s="5" t="n">
        <v>0</v>
      </c>
      <c r="S539" s="5" t="n">
        <v>45</v>
      </c>
      <c r="T539" s="12" t="n">
        <f aca="false">(O539-M539)/M539</f>
        <v>0.0467</v>
      </c>
      <c r="U539" s="8" t="n">
        <f aca="false">IF(AND(K539&lt;=I539,R539=0),1,0)</f>
        <v>0</v>
      </c>
      <c r="V539" s="10" t="n">
        <f aca="false">IF(Q539="No",P539,0)</f>
        <v>0</v>
      </c>
    </row>
    <row r="540" customFormat="false" ht="15" hidden="false" customHeight="false" outlineLevel="0" collapsed="false">
      <c r="A540" s="5" t="s">
        <v>674</v>
      </c>
      <c r="B540" s="5" t="s">
        <v>60</v>
      </c>
      <c r="C540" s="7" t="n">
        <v>46164</v>
      </c>
      <c r="D540" s="8" t="str">
        <f aca="false">INDEX(Dim_Supplier!$C$2:$C$21,MATCH(B540,Dim_Supplier!$A$2:$A$21,0))</f>
        <v>Packaging</v>
      </c>
      <c r="E540" s="8" t="str">
        <f aca="false">INDEX(Dim_Supplier!$B$2:$B$21,MATCH(B540,Dim_Supplier!$A$2:$A$21,0))</f>
        <v>Maple Leaf Box &amp; Crate</v>
      </c>
      <c r="F540" s="5" t="s">
        <v>137</v>
      </c>
      <c r="G540" s="5" t="s">
        <v>125</v>
      </c>
      <c r="H540" s="8" t="n">
        <f aca="false">INDEX(Lookup_Tables!$B$2:$B$5,MATCH(D540,Lookup_Tables!$A$2:$A$5,0))</f>
        <v>14</v>
      </c>
      <c r="I540" s="9" t="n">
        <f aca="false">C540+H540</f>
        <v>46178</v>
      </c>
      <c r="J540" s="5" t="n">
        <v>-2</v>
      </c>
      <c r="K540" s="9" t="n">
        <f aca="false">I540+J540</f>
        <v>46176</v>
      </c>
      <c r="L540" s="5" t="n">
        <v>2353</v>
      </c>
      <c r="M540" s="10" t="n">
        <f aca="false">INDEX(Dim_Supplier!$F$2:$F$21,MATCH(B540,Dim_Supplier!$A$2:$A$21,0))</f>
        <v>3.1</v>
      </c>
      <c r="N540" s="11" t="n">
        <v>0.042</v>
      </c>
      <c r="O540" s="10" t="n">
        <f aca="false">M540*(1+N540)</f>
        <v>3.2302</v>
      </c>
      <c r="P540" s="10" t="n">
        <f aca="false">O540*L540</f>
        <v>7600.6606</v>
      </c>
      <c r="Q540" s="5" t="s">
        <v>113</v>
      </c>
      <c r="R540" s="5" t="n">
        <v>0</v>
      </c>
      <c r="S540" s="5" t="n">
        <v>30</v>
      </c>
      <c r="T540" s="12" t="n">
        <f aca="false">(O540-M540)/M540</f>
        <v>0.0420000000000001</v>
      </c>
      <c r="U540" s="8" t="n">
        <f aca="false">IF(AND(K540&lt;=I540,R540=0),1,0)</f>
        <v>1</v>
      </c>
      <c r="V540" s="10" t="n">
        <f aca="false">IF(Q540="No",P540,0)</f>
        <v>0</v>
      </c>
    </row>
    <row r="541" customFormat="false" ht="15" hidden="false" customHeight="false" outlineLevel="0" collapsed="false">
      <c r="A541" s="5" t="s">
        <v>675</v>
      </c>
      <c r="B541" s="5" t="s">
        <v>54</v>
      </c>
      <c r="C541" s="7" t="n">
        <v>45714</v>
      </c>
      <c r="D541" s="8" t="str">
        <f aca="false">INDEX(Dim_Supplier!$C$2:$C$21,MATCH(B541,Dim_Supplier!$A$2:$A$21,0))</f>
        <v>Raw Materials</v>
      </c>
      <c r="E541" s="8" t="str">
        <f aca="false">INDEX(Dim_Supplier!$B$2:$B$21,MATCH(B541,Dim_Supplier!$A$2:$A$21,0))</f>
        <v>Northern Resin Solutions</v>
      </c>
      <c r="F541" s="5" t="s">
        <v>115</v>
      </c>
      <c r="G541" s="5" t="s">
        <v>112</v>
      </c>
      <c r="H541" s="8" t="n">
        <f aca="false">INDEX(Lookup_Tables!$B$2:$B$5,MATCH(D541,Lookup_Tables!$A$2:$A$5,0))</f>
        <v>21</v>
      </c>
      <c r="I541" s="9" t="n">
        <f aca="false">C541+H541</f>
        <v>45735</v>
      </c>
      <c r="J541" s="5" t="n">
        <v>-1</v>
      </c>
      <c r="K541" s="9" t="n">
        <f aca="false">I541+J541</f>
        <v>45734</v>
      </c>
      <c r="L541" s="5" t="n">
        <v>1998</v>
      </c>
      <c r="M541" s="10" t="n">
        <f aca="false">INDEX(Dim_Supplier!$F$2:$F$21,MATCH(B541,Dim_Supplier!$A$2:$A$21,0))</f>
        <v>38.9</v>
      </c>
      <c r="N541" s="11" t="n">
        <v>0.0426</v>
      </c>
      <c r="O541" s="10" t="n">
        <f aca="false">M541*(1+N541)</f>
        <v>40.55714</v>
      </c>
      <c r="P541" s="10" t="n">
        <f aca="false">O541*L541</f>
        <v>81033.16572</v>
      </c>
      <c r="Q541" s="5" t="s">
        <v>133</v>
      </c>
      <c r="R541" s="5" t="n">
        <v>0</v>
      </c>
      <c r="S541" s="5" t="n">
        <v>45</v>
      </c>
      <c r="T541" s="12" t="n">
        <f aca="false">(O541-M541)/M541</f>
        <v>0.0426</v>
      </c>
      <c r="U541" s="8" t="n">
        <f aca="false">IF(AND(K541&lt;=I541,R541=0),1,0)</f>
        <v>1</v>
      </c>
      <c r="V541" s="10" t="n">
        <f aca="false">IF(Q541="No",P541,0)</f>
        <v>81033.16572</v>
      </c>
    </row>
    <row r="542" customFormat="false" ht="15" hidden="false" customHeight="false" outlineLevel="0" collapsed="false">
      <c r="A542" s="5" t="s">
        <v>676</v>
      </c>
      <c r="B542" s="5" t="s">
        <v>75</v>
      </c>
      <c r="C542" s="7" t="n">
        <v>46179</v>
      </c>
      <c r="D542" s="8" t="str">
        <f aca="false">INDEX(Dim_Supplier!$C$2:$C$21,MATCH(B542,Dim_Supplier!$A$2:$A$21,0))</f>
        <v>MRO</v>
      </c>
      <c r="E542" s="8" t="str">
        <f aca="false">INDEX(Dim_Supplier!$B$2:$B$21,MATCH(B542,Dim_Supplier!$A$2:$A$21,0))</f>
        <v>Sterling Lubricants Inc.</v>
      </c>
      <c r="F542" s="5" t="s">
        <v>179</v>
      </c>
      <c r="G542" s="5" t="s">
        <v>112</v>
      </c>
      <c r="H542" s="8" t="n">
        <f aca="false">INDEX(Lookup_Tables!$B$2:$B$5,MATCH(D542,Lookup_Tables!$A$2:$A$5,0))</f>
        <v>10</v>
      </c>
      <c r="I542" s="9" t="n">
        <f aca="false">C542+H542</f>
        <v>46189</v>
      </c>
      <c r="J542" s="5" t="n">
        <v>-4</v>
      </c>
      <c r="K542" s="9" t="n">
        <f aca="false">I542+J542</f>
        <v>46185</v>
      </c>
      <c r="L542" s="5" t="n">
        <v>160</v>
      </c>
      <c r="M542" s="10" t="n">
        <f aca="false">INDEX(Dim_Supplier!$F$2:$F$21,MATCH(B542,Dim_Supplier!$A$2:$A$21,0))</f>
        <v>27.1</v>
      </c>
      <c r="N542" s="11" t="n">
        <v>0.0352</v>
      </c>
      <c r="O542" s="10" t="n">
        <f aca="false">M542*(1+N542)</f>
        <v>28.05392</v>
      </c>
      <c r="P542" s="10" t="n">
        <f aca="false">O542*L542</f>
        <v>4488.6272</v>
      </c>
      <c r="Q542" s="5" t="s">
        <v>113</v>
      </c>
      <c r="R542" s="5" t="n">
        <v>0</v>
      </c>
      <c r="S542" s="5" t="n">
        <v>30</v>
      </c>
      <c r="T542" s="12" t="n">
        <f aca="false">(O542-M542)/M542</f>
        <v>0.0351999999999999</v>
      </c>
      <c r="U542" s="8" t="n">
        <f aca="false">IF(AND(K542&lt;=I542,R542=0),1,0)</f>
        <v>1</v>
      </c>
      <c r="V542" s="10" t="n">
        <f aca="false">IF(Q542="No",P542,0)</f>
        <v>0</v>
      </c>
    </row>
    <row r="543" customFormat="false" ht="15" hidden="false" customHeight="false" outlineLevel="0" collapsed="false">
      <c r="A543" s="5" t="s">
        <v>677</v>
      </c>
      <c r="B543" s="5" t="s">
        <v>71</v>
      </c>
      <c r="C543" s="7" t="n">
        <v>46052</v>
      </c>
      <c r="D543" s="8" t="str">
        <f aca="false">INDEX(Dim_Supplier!$C$2:$C$21,MATCH(B543,Dim_Supplier!$A$2:$A$21,0))</f>
        <v>MRO</v>
      </c>
      <c r="E543" s="8" t="str">
        <f aca="false">INDEX(Dim_Supplier!$B$2:$B$21,MATCH(B543,Dim_Supplier!$A$2:$A$21,0))</f>
        <v>CanSafe Equipment Ltd.</v>
      </c>
      <c r="F543" s="5" t="s">
        <v>132</v>
      </c>
      <c r="G543" s="5" t="s">
        <v>129</v>
      </c>
      <c r="H543" s="8" t="n">
        <f aca="false">INDEX(Lookup_Tables!$B$2:$B$5,MATCH(D543,Lookup_Tables!$A$2:$A$5,0))</f>
        <v>10</v>
      </c>
      <c r="I543" s="9" t="n">
        <f aca="false">C543+H543</f>
        <v>46062</v>
      </c>
      <c r="J543" s="5" t="n">
        <v>-3</v>
      </c>
      <c r="K543" s="9" t="n">
        <f aca="false">I543+J543</f>
        <v>46059</v>
      </c>
      <c r="L543" s="5" t="n">
        <v>15</v>
      </c>
      <c r="M543" s="10" t="n">
        <f aca="false">INDEX(Dim_Supplier!$F$2:$F$21,MATCH(B543,Dim_Supplier!$A$2:$A$21,0))</f>
        <v>18.75</v>
      </c>
      <c r="N543" s="11" t="n">
        <v>0.0272</v>
      </c>
      <c r="O543" s="10" t="n">
        <f aca="false">M543*(1+N543)</f>
        <v>19.26</v>
      </c>
      <c r="P543" s="10" t="n">
        <f aca="false">O543*L543</f>
        <v>288.9</v>
      </c>
      <c r="Q543" s="5" t="s">
        <v>133</v>
      </c>
      <c r="R543" s="5" t="n">
        <v>0</v>
      </c>
      <c r="S543" s="5" t="n">
        <v>45</v>
      </c>
      <c r="T543" s="12" t="n">
        <f aca="false">(O543-M543)/M543</f>
        <v>0.0271999999999999</v>
      </c>
      <c r="U543" s="8" t="n">
        <f aca="false">IF(AND(K543&lt;=I543,R543=0),1,0)</f>
        <v>1</v>
      </c>
      <c r="V543" s="10" t="n">
        <f aca="false">IF(Q543="No",P543,0)</f>
        <v>288.9</v>
      </c>
    </row>
    <row r="544" customFormat="false" ht="15" hidden="false" customHeight="false" outlineLevel="0" collapsed="false">
      <c r="A544" s="5" t="s">
        <v>678</v>
      </c>
      <c r="B544" s="5" t="s">
        <v>88</v>
      </c>
      <c r="C544" s="7" t="n">
        <v>45332</v>
      </c>
      <c r="D544" s="8" t="str">
        <f aca="false">INDEX(Dim_Supplier!$C$2:$C$21,MATCH(B544,Dim_Supplier!$A$2:$A$21,0))</f>
        <v>Logistics</v>
      </c>
      <c r="E544" s="8" t="str">
        <f aca="false">INDEX(Dim_Supplier!$B$2:$B$21,MATCH(B544,Dim_Supplier!$A$2:$A$21,0))</f>
        <v>Summit Last-Mile Delivery</v>
      </c>
      <c r="F544" s="5" t="s">
        <v>185</v>
      </c>
      <c r="G544" s="5" t="s">
        <v>125</v>
      </c>
      <c r="H544" s="8" t="n">
        <f aca="false">INDEX(Lookup_Tables!$B$2:$B$5,MATCH(D544,Lookup_Tables!$A$2:$A$5,0))</f>
        <v>5</v>
      </c>
      <c r="I544" s="9" t="n">
        <f aca="false">C544+H544</f>
        <v>45337</v>
      </c>
      <c r="J544" s="5" t="n">
        <v>-4</v>
      </c>
      <c r="K544" s="9" t="n">
        <f aca="false">I544+J544</f>
        <v>45333</v>
      </c>
      <c r="L544" s="5" t="n">
        <v>4</v>
      </c>
      <c r="M544" s="10" t="n">
        <f aca="false">INDEX(Dim_Supplier!$F$2:$F$21,MATCH(B544,Dim_Supplier!$A$2:$A$21,0))</f>
        <v>95</v>
      </c>
      <c r="N544" s="11" t="n">
        <v>0.0371</v>
      </c>
      <c r="O544" s="10" t="n">
        <f aca="false">M544*(1+N544)</f>
        <v>98.5245</v>
      </c>
      <c r="P544" s="10" t="n">
        <f aca="false">O544*L544</f>
        <v>394.098</v>
      </c>
      <c r="Q544" s="5" t="s">
        <v>113</v>
      </c>
      <c r="R544" s="5" t="n">
        <v>0</v>
      </c>
      <c r="S544" s="5" t="n">
        <v>60</v>
      </c>
      <c r="T544" s="12" t="n">
        <f aca="false">(O544-M544)/M544</f>
        <v>0.0370999999999999</v>
      </c>
      <c r="U544" s="8" t="n">
        <f aca="false">IF(AND(K544&lt;=I544,R544=0),1,0)</f>
        <v>1</v>
      </c>
      <c r="V544" s="10" t="n">
        <f aca="false">IF(Q544="No",P544,0)</f>
        <v>0</v>
      </c>
    </row>
    <row r="545" customFormat="false" ht="15" hidden="false" customHeight="false" outlineLevel="0" collapsed="false">
      <c r="A545" s="5" t="s">
        <v>679</v>
      </c>
      <c r="B545" s="5" t="s">
        <v>79</v>
      </c>
      <c r="C545" s="7" t="n">
        <v>45584</v>
      </c>
      <c r="D545" s="8" t="str">
        <f aca="false">INDEX(Dim_Supplier!$C$2:$C$21,MATCH(B545,Dim_Supplier!$A$2:$A$21,0))</f>
        <v>Logistics</v>
      </c>
      <c r="E545" s="8" t="str">
        <f aca="false">INDEX(Dim_Supplier!$B$2:$B$21,MATCH(B545,Dim_Supplier!$A$2:$A$21,0))</f>
        <v>Niagara Freight Solutions</v>
      </c>
      <c r="F545" s="5" t="s">
        <v>237</v>
      </c>
      <c r="G545" s="5" t="s">
        <v>112</v>
      </c>
      <c r="H545" s="8" t="n">
        <f aca="false">INDEX(Lookup_Tables!$B$2:$B$5,MATCH(D545,Lookup_Tables!$A$2:$A$5,0))</f>
        <v>5</v>
      </c>
      <c r="I545" s="9" t="n">
        <f aca="false">C545+H545</f>
        <v>45589</v>
      </c>
      <c r="J545" s="5" t="n">
        <v>-4</v>
      </c>
      <c r="K545" s="9" t="n">
        <f aca="false">I545+J545</f>
        <v>45585</v>
      </c>
      <c r="L545" s="5" t="n">
        <v>4</v>
      </c>
      <c r="M545" s="10" t="n">
        <f aca="false">INDEX(Dim_Supplier!$F$2:$F$21,MATCH(B545,Dim_Supplier!$A$2:$A$21,0))</f>
        <v>340</v>
      </c>
      <c r="N545" s="11" t="n">
        <v>0.0229</v>
      </c>
      <c r="O545" s="10" t="n">
        <f aca="false">M545*(1+N545)</f>
        <v>347.786</v>
      </c>
      <c r="P545" s="10" t="n">
        <f aca="false">O545*L545</f>
        <v>1391.144</v>
      </c>
      <c r="Q545" s="5" t="s">
        <v>113</v>
      </c>
      <c r="R545" s="5" t="n">
        <v>0</v>
      </c>
      <c r="S545" s="5" t="n">
        <v>30</v>
      </c>
      <c r="T545" s="12" t="n">
        <f aca="false">(O545-M545)/M545</f>
        <v>0.0228999999999998</v>
      </c>
      <c r="U545" s="8" t="n">
        <f aca="false">IF(AND(K545&lt;=I545,R545=0),1,0)</f>
        <v>1</v>
      </c>
      <c r="V545" s="10" t="n">
        <f aca="false">IF(Q545="No",P545,0)</f>
        <v>0</v>
      </c>
    </row>
    <row r="546" customFormat="false" ht="15" hidden="false" customHeight="false" outlineLevel="0" collapsed="false">
      <c r="A546" s="5" t="s">
        <v>680</v>
      </c>
      <c r="B546" s="5" t="s">
        <v>73</v>
      </c>
      <c r="C546" s="7" t="n">
        <v>45384</v>
      </c>
      <c r="D546" s="8" t="str">
        <f aca="false">INDEX(Dim_Supplier!$C$2:$C$21,MATCH(B546,Dim_Supplier!$A$2:$A$21,0))</f>
        <v>MRO</v>
      </c>
      <c r="E546" s="8" t="str">
        <f aca="false">INDEX(Dim_Supplier!$B$2:$B$21,MATCH(B546,Dim_Supplier!$A$2:$A$21,0))</f>
        <v>Frontier MRO Solutions</v>
      </c>
      <c r="F546" s="5" t="s">
        <v>132</v>
      </c>
      <c r="G546" s="5" t="s">
        <v>129</v>
      </c>
      <c r="H546" s="8" t="n">
        <f aca="false">INDEX(Lookup_Tables!$B$2:$B$5,MATCH(D546,Lookup_Tables!$A$2:$A$5,0))</f>
        <v>10</v>
      </c>
      <c r="I546" s="9" t="n">
        <f aca="false">C546+H546</f>
        <v>45394</v>
      </c>
      <c r="J546" s="5" t="n">
        <v>6</v>
      </c>
      <c r="K546" s="9" t="n">
        <f aca="false">I546+J546</f>
        <v>45400</v>
      </c>
      <c r="L546" s="5" t="n">
        <v>183</v>
      </c>
      <c r="M546" s="10" t="n">
        <f aca="false">INDEX(Dim_Supplier!$F$2:$F$21,MATCH(B546,Dim_Supplier!$A$2:$A$21,0))</f>
        <v>15.9</v>
      </c>
      <c r="N546" s="11" t="n">
        <v>0.174</v>
      </c>
      <c r="O546" s="10" t="n">
        <f aca="false">M546*(1+N546)</f>
        <v>18.6666</v>
      </c>
      <c r="P546" s="10" t="n">
        <f aca="false">O546*L546</f>
        <v>3415.9878</v>
      </c>
      <c r="Q546" s="5" t="s">
        <v>133</v>
      </c>
      <c r="R546" s="5" t="n">
        <v>0</v>
      </c>
      <c r="S546" s="5" t="n">
        <v>30</v>
      </c>
      <c r="T546" s="12" t="n">
        <f aca="false">(O546-M546)/M546</f>
        <v>0.174</v>
      </c>
      <c r="U546" s="8" t="n">
        <f aca="false">IF(AND(K546&lt;=I546,R546=0),1,0)</f>
        <v>0</v>
      </c>
      <c r="V546" s="10" t="n">
        <f aca="false">IF(Q546="No",P546,0)</f>
        <v>3415.9878</v>
      </c>
    </row>
    <row r="547" customFormat="false" ht="15" hidden="false" customHeight="false" outlineLevel="0" collapsed="false">
      <c r="A547" s="5" t="s">
        <v>681</v>
      </c>
      <c r="B547" s="5" t="s">
        <v>41</v>
      </c>
      <c r="C547" s="7" t="n">
        <v>45756</v>
      </c>
      <c r="D547" s="8" t="str">
        <f aca="false">INDEX(Dim_Supplier!$C$2:$C$21,MATCH(B547,Dim_Supplier!$A$2:$A$21,0))</f>
        <v>Raw Materials</v>
      </c>
      <c r="E547" s="8" t="str">
        <f aca="false">INDEX(Dim_Supplier!$B$2:$B$21,MATCH(B547,Dim_Supplier!$A$2:$A$21,0))</f>
        <v>Ontario Steel Partners</v>
      </c>
      <c r="F547" s="5" t="s">
        <v>144</v>
      </c>
      <c r="G547" s="5" t="s">
        <v>112</v>
      </c>
      <c r="H547" s="8" t="n">
        <f aca="false">INDEX(Lookup_Tables!$B$2:$B$5,MATCH(D547,Lookup_Tables!$A$2:$A$5,0))</f>
        <v>21</v>
      </c>
      <c r="I547" s="9" t="n">
        <f aca="false">C547+H547</f>
        <v>45777</v>
      </c>
      <c r="J547" s="5" t="n">
        <v>-2</v>
      </c>
      <c r="K547" s="9" t="n">
        <f aca="false">I547+J547</f>
        <v>45775</v>
      </c>
      <c r="L547" s="5" t="n">
        <v>763</v>
      </c>
      <c r="M547" s="10" t="n">
        <f aca="false">INDEX(Dim_Supplier!$F$2:$F$21,MATCH(B547,Dim_Supplier!$A$2:$A$21,0))</f>
        <v>58</v>
      </c>
      <c r="N547" s="11" t="n">
        <v>0.0041</v>
      </c>
      <c r="O547" s="10" t="n">
        <f aca="false">M547*(1+N547)</f>
        <v>58.2378</v>
      </c>
      <c r="P547" s="10" t="n">
        <f aca="false">O547*L547</f>
        <v>44435.4414</v>
      </c>
      <c r="Q547" s="5" t="s">
        <v>113</v>
      </c>
      <c r="R547" s="5" t="n">
        <v>0</v>
      </c>
      <c r="S547" s="5" t="n">
        <v>45</v>
      </c>
      <c r="T547" s="12" t="n">
        <f aca="false">(O547-M547)/M547</f>
        <v>0.0041</v>
      </c>
      <c r="U547" s="8" t="n">
        <f aca="false">IF(AND(K547&lt;=I547,R547=0),1,0)</f>
        <v>1</v>
      </c>
      <c r="V547" s="10" t="n">
        <f aca="false">IF(Q547="No",P547,0)</f>
        <v>0</v>
      </c>
    </row>
    <row r="548" customFormat="false" ht="15" hidden="false" customHeight="false" outlineLevel="0" collapsed="false">
      <c r="A548" s="5" t="s">
        <v>682</v>
      </c>
      <c r="B548" s="5" t="s">
        <v>77</v>
      </c>
      <c r="C548" s="7" t="n">
        <v>45418</v>
      </c>
      <c r="D548" s="8" t="str">
        <f aca="false">INDEX(Dim_Supplier!$C$2:$C$21,MATCH(B548,Dim_Supplier!$A$2:$A$21,0))</f>
        <v>MRO</v>
      </c>
      <c r="E548" s="8" t="str">
        <f aca="false">INDEX(Dim_Supplier!$B$2:$B$21,MATCH(B548,Dim_Supplier!$A$2:$A$21,0))</f>
        <v>Apex Industrial Supply</v>
      </c>
      <c r="F548" s="5" t="s">
        <v>127</v>
      </c>
      <c r="G548" s="5" t="s">
        <v>129</v>
      </c>
      <c r="H548" s="8" t="n">
        <f aca="false">INDEX(Lookup_Tables!$B$2:$B$5,MATCH(D548,Lookup_Tables!$A$2:$A$5,0))</f>
        <v>10</v>
      </c>
      <c r="I548" s="9" t="n">
        <f aca="false">C548+H548</f>
        <v>45428</v>
      </c>
      <c r="J548" s="5" t="n">
        <v>-2</v>
      </c>
      <c r="K548" s="9" t="n">
        <f aca="false">I548+J548</f>
        <v>45426</v>
      </c>
      <c r="L548" s="5" t="n">
        <v>26</v>
      </c>
      <c r="M548" s="10" t="n">
        <f aca="false">INDEX(Dim_Supplier!$F$2:$F$21,MATCH(B548,Dim_Supplier!$A$2:$A$21,0))</f>
        <v>24.6</v>
      </c>
      <c r="N548" s="11" t="n">
        <v>0.0227</v>
      </c>
      <c r="O548" s="10" t="n">
        <f aca="false">M548*(1+N548)</f>
        <v>25.15842</v>
      </c>
      <c r="P548" s="10" t="n">
        <f aca="false">O548*L548</f>
        <v>654.11892</v>
      </c>
      <c r="Q548" s="5" t="s">
        <v>113</v>
      </c>
      <c r="R548" s="5" t="n">
        <v>0</v>
      </c>
      <c r="S548" s="5" t="n">
        <v>45</v>
      </c>
      <c r="T548" s="12" t="n">
        <f aca="false">(O548-M548)/M548</f>
        <v>0.0226999999999999</v>
      </c>
      <c r="U548" s="8" t="n">
        <f aca="false">IF(AND(K548&lt;=I548,R548=0),1,0)</f>
        <v>1</v>
      </c>
      <c r="V548" s="10" t="n">
        <f aca="false">IF(Q548="No",P548,0)</f>
        <v>0</v>
      </c>
    </row>
    <row r="549" customFormat="false" ht="15" hidden="false" customHeight="false" outlineLevel="0" collapsed="false">
      <c r="A549" s="5" t="s">
        <v>683</v>
      </c>
      <c r="B549" s="5" t="s">
        <v>66</v>
      </c>
      <c r="C549" s="7" t="n">
        <v>45455</v>
      </c>
      <c r="D549" s="8" t="str">
        <f aca="false">INDEX(Dim_Supplier!$C$2:$C$21,MATCH(B549,Dim_Supplier!$A$2:$A$21,0))</f>
        <v>Packaging</v>
      </c>
      <c r="E549" s="8" t="str">
        <f aca="false">INDEX(Dim_Supplier!$B$2:$B$21,MATCH(B549,Dim_Supplier!$A$2:$A$21,0))</f>
        <v>EverGreen Wrap Industries</v>
      </c>
      <c r="F549" s="5" t="s">
        <v>137</v>
      </c>
      <c r="G549" s="5" t="s">
        <v>125</v>
      </c>
      <c r="H549" s="8" t="n">
        <f aca="false">INDEX(Lookup_Tables!$B$2:$B$5,MATCH(D549,Lookup_Tables!$A$2:$A$5,0))</f>
        <v>14</v>
      </c>
      <c r="I549" s="9" t="n">
        <f aca="false">C549+H549</f>
        <v>45469</v>
      </c>
      <c r="J549" s="5" t="n">
        <v>0</v>
      </c>
      <c r="K549" s="9" t="n">
        <f aca="false">I549+J549</f>
        <v>45469</v>
      </c>
      <c r="L549" s="5" t="n">
        <v>3245</v>
      </c>
      <c r="M549" s="10" t="n">
        <f aca="false">INDEX(Dim_Supplier!$F$2:$F$21,MATCH(B549,Dim_Supplier!$A$2:$A$21,0))</f>
        <v>6.8</v>
      </c>
      <c r="N549" s="11" t="n">
        <v>0.0633</v>
      </c>
      <c r="O549" s="10" t="n">
        <f aca="false">M549*(1+N549)</f>
        <v>7.23044</v>
      </c>
      <c r="P549" s="10" t="n">
        <f aca="false">O549*L549</f>
        <v>23462.7778</v>
      </c>
      <c r="Q549" s="5" t="s">
        <v>113</v>
      </c>
      <c r="R549" s="5" t="n">
        <v>0</v>
      </c>
      <c r="S549" s="5" t="n">
        <v>30</v>
      </c>
      <c r="T549" s="12" t="n">
        <f aca="false">(O549-M549)/M549</f>
        <v>0.0632999999999999</v>
      </c>
      <c r="U549" s="8" t="n">
        <f aca="false">IF(AND(K549&lt;=I549,R549=0),1,0)</f>
        <v>1</v>
      </c>
      <c r="V549" s="10" t="n">
        <f aca="false">IF(Q549="No",P549,0)</f>
        <v>0</v>
      </c>
    </row>
    <row r="550" customFormat="false" ht="15" hidden="false" customHeight="false" outlineLevel="0" collapsed="false">
      <c r="A550" s="5" t="s">
        <v>684</v>
      </c>
      <c r="B550" s="5" t="s">
        <v>82</v>
      </c>
      <c r="C550" s="7" t="n">
        <v>45475</v>
      </c>
      <c r="D550" s="8" t="str">
        <f aca="false">INDEX(Dim_Supplier!$C$2:$C$21,MATCH(B550,Dim_Supplier!$A$2:$A$21,0))</f>
        <v>Logistics</v>
      </c>
      <c r="E550" s="8" t="str">
        <f aca="false">INDEX(Dim_Supplier!$B$2:$B$21,MATCH(B550,Dim_Supplier!$A$2:$A$21,0))</f>
        <v>Maple Route Logistics</v>
      </c>
      <c r="F550" s="5" t="s">
        <v>124</v>
      </c>
      <c r="G550" s="5" t="s">
        <v>125</v>
      </c>
      <c r="H550" s="8" t="n">
        <f aca="false">INDEX(Lookup_Tables!$B$2:$B$5,MATCH(D550,Lookup_Tables!$A$2:$A$5,0))</f>
        <v>5</v>
      </c>
      <c r="I550" s="9" t="n">
        <f aca="false">C550+H550</f>
        <v>45480</v>
      </c>
      <c r="J550" s="5" t="n">
        <v>-2</v>
      </c>
      <c r="K550" s="9" t="n">
        <f aca="false">I550+J550</f>
        <v>45478</v>
      </c>
      <c r="L550" s="5" t="n">
        <v>29</v>
      </c>
      <c r="M550" s="10" t="n">
        <f aca="false">INDEX(Dim_Supplier!$F$2:$F$21,MATCH(B550,Dim_Supplier!$A$2:$A$21,0))</f>
        <v>285</v>
      </c>
      <c r="N550" s="11" t="n">
        <v>0.0602</v>
      </c>
      <c r="O550" s="10" t="n">
        <f aca="false">M550*(1+N550)</f>
        <v>302.157</v>
      </c>
      <c r="P550" s="10" t="n">
        <f aca="false">O550*L550</f>
        <v>8762.553</v>
      </c>
      <c r="Q550" s="5" t="s">
        <v>113</v>
      </c>
      <c r="R550" s="5" t="n">
        <v>0</v>
      </c>
      <c r="S550" s="5" t="n">
        <v>60</v>
      </c>
      <c r="T550" s="12" t="n">
        <f aca="false">(O550-M550)/M550</f>
        <v>0.0601999999999999</v>
      </c>
      <c r="U550" s="8" t="n">
        <f aca="false">IF(AND(K550&lt;=I550,R550=0),1,0)</f>
        <v>1</v>
      </c>
      <c r="V550" s="10" t="n">
        <f aca="false">IF(Q550="No",P550,0)</f>
        <v>0</v>
      </c>
    </row>
    <row r="551" customFormat="false" ht="15" hidden="false" customHeight="false" outlineLevel="0" collapsed="false">
      <c r="A551" s="5" t="s">
        <v>685</v>
      </c>
      <c r="B551" s="5" t="s">
        <v>88</v>
      </c>
      <c r="C551" s="7" t="n">
        <v>45295</v>
      </c>
      <c r="D551" s="8" t="str">
        <f aca="false">INDEX(Dim_Supplier!$C$2:$C$21,MATCH(B551,Dim_Supplier!$A$2:$A$21,0))</f>
        <v>Logistics</v>
      </c>
      <c r="E551" s="8" t="str">
        <f aca="false">INDEX(Dim_Supplier!$B$2:$B$21,MATCH(B551,Dim_Supplier!$A$2:$A$21,0))</f>
        <v>Summit Last-Mile Delivery</v>
      </c>
      <c r="F551" s="5" t="s">
        <v>185</v>
      </c>
      <c r="G551" s="5" t="s">
        <v>120</v>
      </c>
      <c r="H551" s="8" t="n">
        <f aca="false">INDEX(Lookup_Tables!$B$2:$B$5,MATCH(D551,Lookup_Tables!$A$2:$A$5,0))</f>
        <v>5</v>
      </c>
      <c r="I551" s="9" t="n">
        <f aca="false">C551+H551</f>
        <v>45300</v>
      </c>
      <c r="J551" s="5" t="n">
        <v>1</v>
      </c>
      <c r="K551" s="9" t="n">
        <f aca="false">I551+J551</f>
        <v>45301</v>
      </c>
      <c r="L551" s="5" t="n">
        <v>32</v>
      </c>
      <c r="M551" s="10" t="n">
        <f aca="false">INDEX(Dim_Supplier!$F$2:$F$21,MATCH(B551,Dim_Supplier!$A$2:$A$21,0))</f>
        <v>95</v>
      </c>
      <c r="N551" s="11" t="n">
        <v>0.0418</v>
      </c>
      <c r="O551" s="10" t="n">
        <f aca="false">M551*(1+N551)</f>
        <v>98.971</v>
      </c>
      <c r="P551" s="10" t="n">
        <f aca="false">O551*L551</f>
        <v>3167.072</v>
      </c>
      <c r="Q551" s="5" t="s">
        <v>113</v>
      </c>
      <c r="R551" s="5" t="n">
        <v>2</v>
      </c>
      <c r="S551" s="5" t="n">
        <v>30</v>
      </c>
      <c r="T551" s="12" t="n">
        <f aca="false">(O551-M551)/M551</f>
        <v>0.0418</v>
      </c>
      <c r="U551" s="8" t="n">
        <f aca="false">IF(AND(K551&lt;=I551,R551=0),1,0)</f>
        <v>0</v>
      </c>
      <c r="V551" s="10" t="n">
        <f aca="false">IF(Q551="No",P551,0)</f>
        <v>0</v>
      </c>
    </row>
    <row r="552" customFormat="false" ht="15" hidden="false" customHeight="false" outlineLevel="0" collapsed="false">
      <c r="A552" s="5" t="s">
        <v>686</v>
      </c>
      <c r="B552" s="5" t="s">
        <v>68</v>
      </c>
      <c r="C552" s="7" t="n">
        <v>45779</v>
      </c>
      <c r="D552" s="8" t="str">
        <f aca="false">INDEX(Dim_Supplier!$C$2:$C$21,MATCH(B552,Dim_Supplier!$A$2:$A$21,0))</f>
        <v>MRO</v>
      </c>
      <c r="E552" s="8" t="str">
        <f aca="false">INDEX(Dim_Supplier!$B$2:$B$21,MATCH(B552,Dim_Supplier!$A$2:$A$21,0))</f>
        <v>Precision Tool &amp; Supply</v>
      </c>
      <c r="F552" s="5" t="s">
        <v>179</v>
      </c>
      <c r="G552" s="5" t="s">
        <v>125</v>
      </c>
      <c r="H552" s="8" t="n">
        <f aca="false">INDEX(Lookup_Tables!$B$2:$B$5,MATCH(D552,Lookup_Tables!$A$2:$A$5,0))</f>
        <v>10</v>
      </c>
      <c r="I552" s="9" t="n">
        <f aca="false">C552+H552</f>
        <v>45789</v>
      </c>
      <c r="J552" s="5" t="n">
        <v>-4</v>
      </c>
      <c r="K552" s="9" t="n">
        <f aca="false">I552+J552</f>
        <v>45785</v>
      </c>
      <c r="L552" s="5" t="n">
        <v>6</v>
      </c>
      <c r="M552" s="10" t="n">
        <f aca="false">INDEX(Dim_Supplier!$F$2:$F$21,MATCH(B552,Dim_Supplier!$A$2:$A$21,0))</f>
        <v>22.4</v>
      </c>
      <c r="N552" s="11" t="n">
        <v>0.0197</v>
      </c>
      <c r="O552" s="10" t="n">
        <f aca="false">M552*(1+N552)</f>
        <v>22.84128</v>
      </c>
      <c r="P552" s="10" t="n">
        <f aca="false">O552*L552</f>
        <v>137.04768</v>
      </c>
      <c r="Q552" s="5" t="s">
        <v>113</v>
      </c>
      <c r="R552" s="5" t="n">
        <v>0</v>
      </c>
      <c r="S552" s="5" t="n">
        <v>45</v>
      </c>
      <c r="T552" s="12" t="n">
        <f aca="false">(O552-M552)/M552</f>
        <v>0.0197000000000001</v>
      </c>
      <c r="U552" s="8" t="n">
        <f aca="false">IF(AND(K552&lt;=I552,R552=0),1,0)</f>
        <v>1</v>
      </c>
      <c r="V552" s="10" t="n">
        <f aca="false">IF(Q552="No",P552,0)</f>
        <v>0</v>
      </c>
    </row>
    <row r="553" customFormat="false" ht="15" hidden="false" customHeight="false" outlineLevel="0" collapsed="false">
      <c r="A553" s="5" t="s">
        <v>687</v>
      </c>
      <c r="B553" s="5" t="s">
        <v>68</v>
      </c>
      <c r="C553" s="7" t="n">
        <v>46137</v>
      </c>
      <c r="D553" s="8" t="str">
        <f aca="false">INDEX(Dim_Supplier!$C$2:$C$21,MATCH(B553,Dim_Supplier!$A$2:$A$21,0))</f>
        <v>MRO</v>
      </c>
      <c r="E553" s="8" t="str">
        <f aca="false">INDEX(Dim_Supplier!$B$2:$B$21,MATCH(B553,Dim_Supplier!$A$2:$A$21,0))</f>
        <v>Precision Tool &amp; Supply</v>
      </c>
      <c r="F553" s="5" t="s">
        <v>164</v>
      </c>
      <c r="G553" s="5" t="s">
        <v>129</v>
      </c>
      <c r="H553" s="8" t="n">
        <f aca="false">INDEX(Lookup_Tables!$B$2:$B$5,MATCH(D553,Lookup_Tables!$A$2:$A$5,0))</f>
        <v>10</v>
      </c>
      <c r="I553" s="9" t="n">
        <f aca="false">C553+H553</f>
        <v>46147</v>
      </c>
      <c r="J553" s="5" t="n">
        <v>-3</v>
      </c>
      <c r="K553" s="9" t="n">
        <f aca="false">I553+J553</f>
        <v>46144</v>
      </c>
      <c r="L553" s="5" t="n">
        <v>94</v>
      </c>
      <c r="M553" s="10" t="n">
        <f aca="false">INDEX(Dim_Supplier!$F$2:$F$21,MATCH(B553,Dim_Supplier!$A$2:$A$21,0))</f>
        <v>22.4</v>
      </c>
      <c r="N553" s="11" t="n">
        <v>0.0162</v>
      </c>
      <c r="O553" s="10" t="n">
        <f aca="false">M553*(1+N553)</f>
        <v>22.76288</v>
      </c>
      <c r="P553" s="10" t="n">
        <f aca="false">O553*L553</f>
        <v>2139.71072</v>
      </c>
      <c r="Q553" s="5" t="s">
        <v>113</v>
      </c>
      <c r="R553" s="5" t="n">
        <v>0</v>
      </c>
      <c r="S553" s="5" t="n">
        <v>45</v>
      </c>
      <c r="T553" s="12" t="n">
        <f aca="false">(O553-M553)/M553</f>
        <v>0.0162</v>
      </c>
      <c r="U553" s="8" t="n">
        <f aca="false">IF(AND(K553&lt;=I553,R553=0),1,0)</f>
        <v>1</v>
      </c>
      <c r="V553" s="10" t="n">
        <f aca="false">IF(Q553="No",P553,0)</f>
        <v>0</v>
      </c>
    </row>
    <row r="554" customFormat="false" ht="15" hidden="false" customHeight="false" outlineLevel="0" collapsed="false">
      <c r="A554" s="5" t="s">
        <v>688</v>
      </c>
      <c r="B554" s="5" t="s">
        <v>82</v>
      </c>
      <c r="C554" s="7" t="n">
        <v>45597</v>
      </c>
      <c r="D554" s="8" t="str">
        <f aca="false">INDEX(Dim_Supplier!$C$2:$C$21,MATCH(B554,Dim_Supplier!$A$2:$A$21,0))</f>
        <v>Logistics</v>
      </c>
      <c r="E554" s="8" t="str">
        <f aca="false">INDEX(Dim_Supplier!$B$2:$B$21,MATCH(B554,Dim_Supplier!$A$2:$A$21,0))</f>
        <v>Maple Route Logistics</v>
      </c>
      <c r="F554" s="5" t="s">
        <v>146</v>
      </c>
      <c r="G554" s="5" t="s">
        <v>129</v>
      </c>
      <c r="H554" s="8" t="n">
        <f aca="false">INDEX(Lookup_Tables!$B$2:$B$5,MATCH(D554,Lookup_Tables!$A$2:$A$5,0))</f>
        <v>5</v>
      </c>
      <c r="I554" s="9" t="n">
        <f aca="false">C554+H554</f>
        <v>45602</v>
      </c>
      <c r="J554" s="5" t="n">
        <v>1</v>
      </c>
      <c r="K554" s="9" t="n">
        <f aca="false">I554+J554</f>
        <v>45603</v>
      </c>
      <c r="L554" s="5" t="n">
        <v>12</v>
      </c>
      <c r="M554" s="10" t="n">
        <f aca="false">INDEX(Dim_Supplier!$F$2:$F$21,MATCH(B554,Dim_Supplier!$A$2:$A$21,0))</f>
        <v>285</v>
      </c>
      <c r="N554" s="11" t="n">
        <v>0.0363</v>
      </c>
      <c r="O554" s="10" t="n">
        <f aca="false">M554*(1+N554)</f>
        <v>295.3455</v>
      </c>
      <c r="P554" s="10" t="n">
        <f aca="false">O554*L554</f>
        <v>3544.146</v>
      </c>
      <c r="Q554" s="5" t="s">
        <v>113</v>
      </c>
      <c r="R554" s="5" t="n">
        <v>0</v>
      </c>
      <c r="S554" s="5" t="n">
        <v>45</v>
      </c>
      <c r="T554" s="12" t="n">
        <f aca="false">(O554-M554)/M554</f>
        <v>0.0363000000000001</v>
      </c>
      <c r="U554" s="8" t="n">
        <f aca="false">IF(AND(K554&lt;=I554,R554=0),1,0)</f>
        <v>0</v>
      </c>
      <c r="V554" s="10" t="n">
        <f aca="false">IF(Q554="No",P554,0)</f>
        <v>0</v>
      </c>
    </row>
    <row r="555" customFormat="false" ht="15" hidden="false" customHeight="false" outlineLevel="0" collapsed="false">
      <c r="A555" s="5" t="s">
        <v>689</v>
      </c>
      <c r="B555" s="5" t="s">
        <v>75</v>
      </c>
      <c r="C555" s="7" t="n">
        <v>45878</v>
      </c>
      <c r="D555" s="8" t="str">
        <f aca="false">INDEX(Dim_Supplier!$C$2:$C$21,MATCH(B555,Dim_Supplier!$A$2:$A$21,0))</f>
        <v>MRO</v>
      </c>
      <c r="E555" s="8" t="str">
        <f aca="false">INDEX(Dim_Supplier!$B$2:$B$21,MATCH(B555,Dim_Supplier!$A$2:$A$21,0))</f>
        <v>Sterling Lubricants Inc.</v>
      </c>
      <c r="F555" s="5" t="s">
        <v>132</v>
      </c>
      <c r="G555" s="5" t="s">
        <v>112</v>
      </c>
      <c r="H555" s="8" t="n">
        <f aca="false">INDEX(Lookup_Tables!$B$2:$B$5,MATCH(D555,Lookup_Tables!$A$2:$A$5,0))</f>
        <v>10</v>
      </c>
      <c r="I555" s="9" t="n">
        <f aca="false">C555+H555</f>
        <v>45888</v>
      </c>
      <c r="J555" s="5" t="n">
        <v>0</v>
      </c>
      <c r="K555" s="9" t="n">
        <f aca="false">I555+J555</f>
        <v>45888</v>
      </c>
      <c r="L555" s="5" t="n">
        <v>97</v>
      </c>
      <c r="M555" s="10" t="n">
        <f aca="false">INDEX(Dim_Supplier!$F$2:$F$21,MATCH(B555,Dim_Supplier!$A$2:$A$21,0))</f>
        <v>27.1</v>
      </c>
      <c r="N555" s="11" t="n">
        <v>0.013</v>
      </c>
      <c r="O555" s="10" t="n">
        <f aca="false">M555*(1+N555)</f>
        <v>27.4523</v>
      </c>
      <c r="P555" s="10" t="n">
        <f aca="false">O555*L555</f>
        <v>2662.8731</v>
      </c>
      <c r="Q555" s="5" t="s">
        <v>133</v>
      </c>
      <c r="R555" s="5" t="n">
        <v>0</v>
      </c>
      <c r="S555" s="5" t="n">
        <v>30</v>
      </c>
      <c r="T555" s="12" t="n">
        <f aca="false">(O555-M555)/M555</f>
        <v>0.0129999999999999</v>
      </c>
      <c r="U555" s="8" t="n">
        <f aca="false">IF(AND(K555&lt;=I555,R555=0),1,0)</f>
        <v>1</v>
      </c>
      <c r="V555" s="10" t="n">
        <f aca="false">IF(Q555="No",P555,0)</f>
        <v>2662.8731</v>
      </c>
    </row>
    <row r="556" customFormat="false" ht="15" hidden="false" customHeight="false" outlineLevel="0" collapsed="false">
      <c r="A556" s="5" t="s">
        <v>690</v>
      </c>
      <c r="B556" s="5" t="s">
        <v>60</v>
      </c>
      <c r="C556" s="7" t="n">
        <v>45680</v>
      </c>
      <c r="D556" s="8" t="str">
        <f aca="false">INDEX(Dim_Supplier!$C$2:$C$21,MATCH(B556,Dim_Supplier!$A$2:$A$21,0))</f>
        <v>Packaging</v>
      </c>
      <c r="E556" s="8" t="str">
        <f aca="false">INDEX(Dim_Supplier!$B$2:$B$21,MATCH(B556,Dim_Supplier!$A$2:$A$21,0))</f>
        <v>Maple Leaf Box &amp; Crate</v>
      </c>
      <c r="F556" s="5" t="s">
        <v>117</v>
      </c>
      <c r="G556" s="5" t="s">
        <v>125</v>
      </c>
      <c r="H556" s="8" t="n">
        <f aca="false">INDEX(Lookup_Tables!$B$2:$B$5,MATCH(D556,Lookup_Tables!$A$2:$A$5,0))</f>
        <v>14</v>
      </c>
      <c r="I556" s="9" t="n">
        <f aca="false">C556+H556</f>
        <v>45694</v>
      </c>
      <c r="J556" s="5" t="n">
        <v>-1</v>
      </c>
      <c r="K556" s="9" t="n">
        <f aca="false">I556+J556</f>
        <v>45693</v>
      </c>
      <c r="L556" s="5" t="n">
        <v>4356</v>
      </c>
      <c r="M556" s="10" t="n">
        <f aca="false">INDEX(Dim_Supplier!$F$2:$F$21,MATCH(B556,Dim_Supplier!$A$2:$A$21,0))</f>
        <v>3.1</v>
      </c>
      <c r="N556" s="11" t="n">
        <v>0.0339</v>
      </c>
      <c r="O556" s="10" t="n">
        <f aca="false">M556*(1+N556)</f>
        <v>3.20509</v>
      </c>
      <c r="P556" s="10" t="n">
        <f aca="false">O556*L556</f>
        <v>13961.37204</v>
      </c>
      <c r="Q556" s="5" t="s">
        <v>113</v>
      </c>
      <c r="R556" s="5" t="n">
        <v>0</v>
      </c>
      <c r="S556" s="5" t="n">
        <v>30</v>
      </c>
      <c r="T556" s="12" t="n">
        <f aca="false">(O556-M556)/M556</f>
        <v>0.0339</v>
      </c>
      <c r="U556" s="8" t="n">
        <f aca="false">IF(AND(K556&lt;=I556,R556=0),1,0)</f>
        <v>1</v>
      </c>
      <c r="V556" s="10" t="n">
        <f aca="false">IF(Q556="No",P556,0)</f>
        <v>0</v>
      </c>
    </row>
    <row r="557" customFormat="false" ht="15" hidden="false" customHeight="false" outlineLevel="0" collapsed="false">
      <c r="A557" s="5" t="s">
        <v>691</v>
      </c>
      <c r="B557" s="5" t="s">
        <v>68</v>
      </c>
      <c r="C557" s="7" t="n">
        <v>45829</v>
      </c>
      <c r="D557" s="8" t="str">
        <f aca="false">INDEX(Dim_Supplier!$C$2:$C$21,MATCH(B557,Dim_Supplier!$A$2:$A$21,0))</f>
        <v>MRO</v>
      </c>
      <c r="E557" s="8" t="str">
        <f aca="false">INDEX(Dim_Supplier!$B$2:$B$21,MATCH(B557,Dim_Supplier!$A$2:$A$21,0))</f>
        <v>Precision Tool &amp; Supply</v>
      </c>
      <c r="F557" s="5" t="s">
        <v>164</v>
      </c>
      <c r="G557" s="5" t="s">
        <v>112</v>
      </c>
      <c r="H557" s="8" t="n">
        <f aca="false">INDEX(Lookup_Tables!$B$2:$B$5,MATCH(D557,Lookup_Tables!$A$2:$A$5,0))</f>
        <v>10</v>
      </c>
      <c r="I557" s="9" t="n">
        <f aca="false">C557+H557</f>
        <v>45839</v>
      </c>
      <c r="J557" s="5" t="n">
        <v>-4</v>
      </c>
      <c r="K557" s="9" t="n">
        <f aca="false">I557+J557</f>
        <v>45835</v>
      </c>
      <c r="L557" s="5" t="n">
        <v>191</v>
      </c>
      <c r="M557" s="10" t="n">
        <f aca="false">INDEX(Dim_Supplier!$F$2:$F$21,MATCH(B557,Dim_Supplier!$A$2:$A$21,0))</f>
        <v>22.4</v>
      </c>
      <c r="N557" s="11" t="n">
        <v>0.0038</v>
      </c>
      <c r="O557" s="10" t="n">
        <f aca="false">M557*(1+N557)</f>
        <v>22.48512</v>
      </c>
      <c r="P557" s="10" t="n">
        <f aca="false">O557*L557</f>
        <v>4294.65792</v>
      </c>
      <c r="Q557" s="5" t="s">
        <v>133</v>
      </c>
      <c r="R557" s="5" t="n">
        <v>0</v>
      </c>
      <c r="S557" s="5" t="n">
        <v>30</v>
      </c>
      <c r="T557" s="12" t="n">
        <f aca="false">(O557-M557)/M557</f>
        <v>0.00379999999999999</v>
      </c>
      <c r="U557" s="8" t="n">
        <f aca="false">IF(AND(K557&lt;=I557,R557=0),1,0)</f>
        <v>1</v>
      </c>
      <c r="V557" s="10" t="n">
        <f aca="false">IF(Q557="No",P557,0)</f>
        <v>4294.65792</v>
      </c>
    </row>
    <row r="558" customFormat="false" ht="15" hidden="false" customHeight="false" outlineLevel="0" collapsed="false">
      <c r="A558" s="5" t="s">
        <v>692</v>
      </c>
      <c r="B558" s="5" t="s">
        <v>77</v>
      </c>
      <c r="C558" s="7" t="n">
        <v>45911</v>
      </c>
      <c r="D558" s="8" t="str">
        <f aca="false">INDEX(Dim_Supplier!$C$2:$C$21,MATCH(B558,Dim_Supplier!$A$2:$A$21,0))</f>
        <v>MRO</v>
      </c>
      <c r="E558" s="8" t="str">
        <f aca="false">INDEX(Dim_Supplier!$B$2:$B$21,MATCH(B558,Dim_Supplier!$A$2:$A$21,0))</f>
        <v>Apex Industrial Supply</v>
      </c>
      <c r="F558" s="5" t="s">
        <v>111</v>
      </c>
      <c r="G558" s="5" t="s">
        <v>125</v>
      </c>
      <c r="H558" s="8" t="n">
        <f aca="false">INDEX(Lookup_Tables!$B$2:$B$5,MATCH(D558,Lookup_Tables!$A$2:$A$5,0))</f>
        <v>10</v>
      </c>
      <c r="I558" s="9" t="n">
        <f aca="false">C558+H558</f>
        <v>45921</v>
      </c>
      <c r="J558" s="5" t="n">
        <v>-2</v>
      </c>
      <c r="K558" s="9" t="n">
        <f aca="false">I558+J558</f>
        <v>45919</v>
      </c>
      <c r="L558" s="5" t="n">
        <v>139</v>
      </c>
      <c r="M558" s="10" t="n">
        <f aca="false">INDEX(Dim_Supplier!$F$2:$F$21,MATCH(B558,Dim_Supplier!$A$2:$A$21,0))</f>
        <v>24.6</v>
      </c>
      <c r="N558" s="11" t="n">
        <v>0.039</v>
      </c>
      <c r="O558" s="10" t="n">
        <f aca="false">M558*(1+N558)</f>
        <v>25.5594</v>
      </c>
      <c r="P558" s="10" t="n">
        <f aca="false">O558*L558</f>
        <v>3552.7566</v>
      </c>
      <c r="Q558" s="5" t="s">
        <v>113</v>
      </c>
      <c r="R558" s="5" t="n">
        <v>0</v>
      </c>
      <c r="S558" s="5" t="n">
        <v>60</v>
      </c>
      <c r="T558" s="12" t="n">
        <f aca="false">(O558-M558)/M558</f>
        <v>0.0389999999999999</v>
      </c>
      <c r="U558" s="8" t="n">
        <f aca="false">IF(AND(K558&lt;=I558,R558=0),1,0)</f>
        <v>1</v>
      </c>
      <c r="V558" s="10" t="n">
        <f aca="false">IF(Q558="No",P558,0)</f>
        <v>0</v>
      </c>
    </row>
    <row r="559" customFormat="false" ht="15" hidden="false" customHeight="false" outlineLevel="0" collapsed="false">
      <c r="A559" s="5" t="s">
        <v>693</v>
      </c>
      <c r="B559" s="5" t="s">
        <v>71</v>
      </c>
      <c r="C559" s="7" t="n">
        <v>45800</v>
      </c>
      <c r="D559" s="8" t="str">
        <f aca="false">INDEX(Dim_Supplier!$C$2:$C$21,MATCH(B559,Dim_Supplier!$A$2:$A$21,0))</f>
        <v>MRO</v>
      </c>
      <c r="E559" s="8" t="str">
        <f aca="false">INDEX(Dim_Supplier!$B$2:$B$21,MATCH(B559,Dim_Supplier!$A$2:$A$21,0))</f>
        <v>CanSafe Equipment Ltd.</v>
      </c>
      <c r="F559" s="5" t="s">
        <v>132</v>
      </c>
      <c r="G559" s="5" t="s">
        <v>125</v>
      </c>
      <c r="H559" s="8" t="n">
        <f aca="false">INDEX(Lookup_Tables!$B$2:$B$5,MATCH(D559,Lookup_Tables!$A$2:$A$5,0))</f>
        <v>10</v>
      </c>
      <c r="I559" s="9" t="n">
        <f aca="false">C559+H559</f>
        <v>45810</v>
      </c>
      <c r="J559" s="5" t="n">
        <v>-2</v>
      </c>
      <c r="K559" s="9" t="n">
        <f aca="false">I559+J559</f>
        <v>45808</v>
      </c>
      <c r="L559" s="5" t="n">
        <v>161</v>
      </c>
      <c r="M559" s="10" t="n">
        <f aca="false">INDEX(Dim_Supplier!$F$2:$F$21,MATCH(B559,Dim_Supplier!$A$2:$A$21,0))</f>
        <v>18.75</v>
      </c>
      <c r="N559" s="11" t="n">
        <v>0.0306</v>
      </c>
      <c r="O559" s="10" t="n">
        <f aca="false">M559*(1+N559)</f>
        <v>19.32375</v>
      </c>
      <c r="P559" s="10" t="n">
        <f aca="false">O559*L559</f>
        <v>3111.12375</v>
      </c>
      <c r="Q559" s="5" t="s">
        <v>113</v>
      </c>
      <c r="R559" s="5" t="n">
        <v>0</v>
      </c>
      <c r="S559" s="5" t="n">
        <v>30</v>
      </c>
      <c r="T559" s="12" t="n">
        <f aca="false">(O559-M559)/M559</f>
        <v>0.0306</v>
      </c>
      <c r="U559" s="8" t="n">
        <f aca="false">IF(AND(K559&lt;=I559,R559=0),1,0)</f>
        <v>1</v>
      </c>
      <c r="V559" s="10" t="n">
        <f aca="false">IF(Q559="No",P559,0)</f>
        <v>0</v>
      </c>
    </row>
    <row r="560" customFormat="false" ht="15" hidden="false" customHeight="false" outlineLevel="0" collapsed="false">
      <c r="A560" s="5" t="s">
        <v>694</v>
      </c>
      <c r="B560" s="5" t="s">
        <v>46</v>
      </c>
      <c r="C560" s="7" t="n">
        <v>45768</v>
      </c>
      <c r="D560" s="8" t="str">
        <f aca="false">INDEX(Dim_Supplier!$C$2:$C$21,MATCH(B560,Dim_Supplier!$A$2:$A$21,0))</f>
        <v>Raw Materials</v>
      </c>
      <c r="E560" s="8" t="str">
        <f aca="false">INDEX(Dim_Supplier!$B$2:$B$21,MATCH(B560,Dim_Supplier!$A$2:$A$21,0))</f>
        <v>Niagara Alloy Supply</v>
      </c>
      <c r="F560" s="5" t="s">
        <v>148</v>
      </c>
      <c r="G560" s="5" t="s">
        <v>112</v>
      </c>
      <c r="H560" s="8" t="n">
        <f aca="false">INDEX(Lookup_Tables!$B$2:$B$5,MATCH(D560,Lookup_Tables!$A$2:$A$5,0))</f>
        <v>21</v>
      </c>
      <c r="I560" s="9" t="n">
        <f aca="false">C560+H560</f>
        <v>45789</v>
      </c>
      <c r="J560" s="5" t="n">
        <v>1</v>
      </c>
      <c r="K560" s="9" t="n">
        <f aca="false">I560+J560</f>
        <v>45790</v>
      </c>
      <c r="L560" s="5" t="n">
        <v>947</v>
      </c>
      <c r="M560" s="10" t="n">
        <f aca="false">INDEX(Dim_Supplier!$F$2:$F$21,MATCH(B560,Dim_Supplier!$A$2:$A$21,0))</f>
        <v>46.5</v>
      </c>
      <c r="N560" s="11" t="n">
        <v>-0.0407</v>
      </c>
      <c r="O560" s="10" t="n">
        <f aca="false">M560*(1+N560)</f>
        <v>44.60745</v>
      </c>
      <c r="P560" s="10" t="n">
        <f aca="false">O560*L560</f>
        <v>42243.25515</v>
      </c>
      <c r="Q560" s="5" t="s">
        <v>113</v>
      </c>
      <c r="R560" s="5" t="n">
        <v>0</v>
      </c>
      <c r="S560" s="5" t="n">
        <v>60</v>
      </c>
      <c r="T560" s="12" t="n">
        <f aca="false">(O560-M560)/M560</f>
        <v>-0.0407</v>
      </c>
      <c r="U560" s="8" t="n">
        <f aca="false">IF(AND(K560&lt;=I560,R560=0),1,0)</f>
        <v>0</v>
      </c>
      <c r="V560" s="10" t="n">
        <f aca="false">IF(Q560="No",P560,0)</f>
        <v>0</v>
      </c>
    </row>
    <row r="561" customFormat="false" ht="15" hidden="false" customHeight="false" outlineLevel="0" collapsed="false">
      <c r="A561" s="5" t="s">
        <v>695</v>
      </c>
      <c r="B561" s="5" t="s">
        <v>52</v>
      </c>
      <c r="C561" s="7" t="n">
        <v>45947</v>
      </c>
      <c r="D561" s="8" t="str">
        <f aca="false">INDEX(Dim_Supplier!$C$2:$C$21,MATCH(B561,Dim_Supplier!$A$2:$A$21,0))</f>
        <v>Raw Materials</v>
      </c>
      <c r="E561" s="8" t="str">
        <f aca="false">INDEX(Dim_Supplier!$B$2:$B$21,MATCH(B561,Dim_Supplier!$A$2:$A$21,0))</f>
        <v>Laurentian Metals Inc.</v>
      </c>
      <c r="F561" s="5" t="s">
        <v>115</v>
      </c>
      <c r="G561" s="5" t="s">
        <v>120</v>
      </c>
      <c r="H561" s="8" t="n">
        <f aca="false">INDEX(Lookup_Tables!$B$2:$B$5,MATCH(D561,Lookup_Tables!$A$2:$A$5,0))</f>
        <v>21</v>
      </c>
      <c r="I561" s="9" t="n">
        <f aca="false">C561+H561</f>
        <v>45968</v>
      </c>
      <c r="J561" s="5" t="n">
        <v>-3</v>
      </c>
      <c r="K561" s="9" t="n">
        <f aca="false">I561+J561</f>
        <v>45965</v>
      </c>
      <c r="L561" s="5" t="n">
        <v>714</v>
      </c>
      <c r="M561" s="10" t="n">
        <f aca="false">INDEX(Dim_Supplier!$F$2:$F$21,MATCH(B561,Dim_Supplier!$A$2:$A$21,0))</f>
        <v>61.2</v>
      </c>
      <c r="N561" s="11" t="n">
        <v>0.0275</v>
      </c>
      <c r="O561" s="10" t="n">
        <f aca="false">M561*(1+N561)</f>
        <v>62.883</v>
      </c>
      <c r="P561" s="10" t="n">
        <f aca="false">O561*L561</f>
        <v>44898.462</v>
      </c>
      <c r="Q561" s="5" t="s">
        <v>113</v>
      </c>
      <c r="R561" s="5" t="n">
        <v>0</v>
      </c>
      <c r="S561" s="5" t="n">
        <v>30</v>
      </c>
      <c r="T561" s="12" t="n">
        <f aca="false">(O561-M561)/M561</f>
        <v>0.0275000000000001</v>
      </c>
      <c r="U561" s="8" t="n">
        <f aca="false">IF(AND(K561&lt;=I561,R561=0),1,0)</f>
        <v>1</v>
      </c>
      <c r="V561" s="10" t="n">
        <f aca="false">IF(Q561="No",P561,0)</f>
        <v>0</v>
      </c>
    </row>
    <row r="562" customFormat="false" ht="15" hidden="false" customHeight="false" outlineLevel="0" collapsed="false">
      <c r="A562" s="5" t="s">
        <v>696</v>
      </c>
      <c r="B562" s="5" t="s">
        <v>75</v>
      </c>
      <c r="C562" s="7" t="n">
        <v>45641</v>
      </c>
      <c r="D562" s="8" t="str">
        <f aca="false">INDEX(Dim_Supplier!$C$2:$C$21,MATCH(B562,Dim_Supplier!$A$2:$A$21,0))</f>
        <v>MRO</v>
      </c>
      <c r="E562" s="8" t="str">
        <f aca="false">INDEX(Dim_Supplier!$B$2:$B$21,MATCH(B562,Dim_Supplier!$A$2:$A$21,0))</f>
        <v>Sterling Lubricants Inc.</v>
      </c>
      <c r="F562" s="5" t="s">
        <v>179</v>
      </c>
      <c r="G562" s="5" t="s">
        <v>129</v>
      </c>
      <c r="H562" s="8" t="n">
        <f aca="false">INDEX(Lookup_Tables!$B$2:$B$5,MATCH(D562,Lookup_Tables!$A$2:$A$5,0))</f>
        <v>10</v>
      </c>
      <c r="I562" s="9" t="n">
        <f aca="false">C562+H562</f>
        <v>45651</v>
      </c>
      <c r="J562" s="5" t="n">
        <v>-2</v>
      </c>
      <c r="K562" s="9" t="n">
        <f aca="false">I562+J562</f>
        <v>45649</v>
      </c>
      <c r="L562" s="5" t="n">
        <v>91</v>
      </c>
      <c r="M562" s="10" t="n">
        <f aca="false">INDEX(Dim_Supplier!$F$2:$F$21,MATCH(B562,Dim_Supplier!$A$2:$A$21,0))</f>
        <v>27.1</v>
      </c>
      <c r="N562" s="11" t="n">
        <v>0.0086</v>
      </c>
      <c r="O562" s="10" t="n">
        <f aca="false">M562*(1+N562)</f>
        <v>27.33306</v>
      </c>
      <c r="P562" s="10" t="n">
        <f aca="false">O562*L562</f>
        <v>2487.30846</v>
      </c>
      <c r="Q562" s="5" t="s">
        <v>133</v>
      </c>
      <c r="R562" s="5" t="n">
        <v>0</v>
      </c>
      <c r="S562" s="5" t="n">
        <v>30</v>
      </c>
      <c r="T562" s="12" t="n">
        <f aca="false">(O562-M562)/M562</f>
        <v>0.00859999999999994</v>
      </c>
      <c r="U562" s="8" t="n">
        <f aca="false">IF(AND(K562&lt;=I562,R562=0),1,0)</f>
        <v>1</v>
      </c>
      <c r="V562" s="10" t="n">
        <f aca="false">IF(Q562="No",P562,0)</f>
        <v>2487.30846</v>
      </c>
    </row>
    <row r="563" customFormat="false" ht="15" hidden="false" customHeight="false" outlineLevel="0" collapsed="false">
      <c r="A563" s="5" t="s">
        <v>697</v>
      </c>
      <c r="B563" s="5" t="s">
        <v>41</v>
      </c>
      <c r="C563" s="7" t="n">
        <v>45431</v>
      </c>
      <c r="D563" s="8" t="str">
        <f aca="false">INDEX(Dim_Supplier!$C$2:$C$21,MATCH(B563,Dim_Supplier!$A$2:$A$21,0))</f>
        <v>Raw Materials</v>
      </c>
      <c r="E563" s="8" t="str">
        <f aca="false">INDEX(Dim_Supplier!$B$2:$B$21,MATCH(B563,Dim_Supplier!$A$2:$A$21,0))</f>
        <v>Ontario Steel Partners</v>
      </c>
      <c r="F563" s="5" t="s">
        <v>142</v>
      </c>
      <c r="G563" s="5" t="s">
        <v>112</v>
      </c>
      <c r="H563" s="8" t="n">
        <f aca="false">INDEX(Lookup_Tables!$B$2:$B$5,MATCH(D563,Lookup_Tables!$A$2:$A$5,0))</f>
        <v>21</v>
      </c>
      <c r="I563" s="9" t="n">
        <f aca="false">C563+H563</f>
        <v>45452</v>
      </c>
      <c r="J563" s="5" t="n">
        <v>-4</v>
      </c>
      <c r="K563" s="9" t="n">
        <f aca="false">I563+J563</f>
        <v>45448</v>
      </c>
      <c r="L563" s="5" t="n">
        <v>1199</v>
      </c>
      <c r="M563" s="10" t="n">
        <f aca="false">INDEX(Dim_Supplier!$F$2:$F$21,MATCH(B563,Dim_Supplier!$A$2:$A$21,0))</f>
        <v>58</v>
      </c>
      <c r="N563" s="11" t="n">
        <v>-0.0203</v>
      </c>
      <c r="O563" s="10" t="n">
        <f aca="false">M563*(1+N563)</f>
        <v>56.8226</v>
      </c>
      <c r="P563" s="10" t="n">
        <f aca="false">O563*L563</f>
        <v>68130.2974</v>
      </c>
      <c r="Q563" s="5" t="s">
        <v>113</v>
      </c>
      <c r="R563" s="5" t="n">
        <v>0</v>
      </c>
      <c r="S563" s="5" t="n">
        <v>60</v>
      </c>
      <c r="T563" s="12" t="n">
        <f aca="false">(O563-M563)/M563</f>
        <v>-0.0203</v>
      </c>
      <c r="U563" s="8" t="n">
        <f aca="false">IF(AND(K563&lt;=I563,R563=0),1,0)</f>
        <v>1</v>
      </c>
      <c r="V563" s="10" t="n">
        <f aca="false">IF(Q563="No",P563,0)</f>
        <v>0</v>
      </c>
    </row>
    <row r="564" customFormat="false" ht="15" hidden="false" customHeight="false" outlineLevel="0" collapsed="false">
      <c r="A564" s="5" t="s">
        <v>698</v>
      </c>
      <c r="B564" s="5" t="s">
        <v>86</v>
      </c>
      <c r="C564" s="7" t="n">
        <v>45349</v>
      </c>
      <c r="D564" s="8" t="str">
        <f aca="false">INDEX(Dim_Supplier!$C$2:$C$21,MATCH(B564,Dim_Supplier!$A$2:$A$21,0))</f>
        <v>Logistics</v>
      </c>
      <c r="E564" s="8" t="str">
        <f aca="false">INDEX(Dim_Supplier!$B$2:$B$21,MATCH(B564,Dim_Supplier!$A$2:$A$21,0))</f>
        <v>Blue Water Customs Brokerage</v>
      </c>
      <c r="F564" s="5" t="s">
        <v>185</v>
      </c>
      <c r="G564" s="5" t="s">
        <v>120</v>
      </c>
      <c r="H564" s="8" t="n">
        <f aca="false">INDEX(Lookup_Tables!$B$2:$B$5,MATCH(D564,Lookup_Tables!$A$2:$A$5,0))</f>
        <v>5</v>
      </c>
      <c r="I564" s="9" t="n">
        <f aca="false">C564+H564</f>
        <v>45354</v>
      </c>
      <c r="J564" s="5" t="n">
        <v>-4</v>
      </c>
      <c r="K564" s="9" t="n">
        <f aca="false">I564+J564</f>
        <v>45350</v>
      </c>
      <c r="L564" s="5" t="n">
        <v>36</v>
      </c>
      <c r="M564" s="10" t="n">
        <f aca="false">INDEX(Dim_Supplier!$F$2:$F$21,MATCH(B564,Dim_Supplier!$A$2:$A$21,0))</f>
        <v>175</v>
      </c>
      <c r="N564" s="11" t="n">
        <v>-0.002</v>
      </c>
      <c r="O564" s="10" t="n">
        <f aca="false">M564*(1+N564)</f>
        <v>174.65</v>
      </c>
      <c r="P564" s="10" t="n">
        <f aca="false">O564*L564</f>
        <v>6287.4</v>
      </c>
      <c r="Q564" s="5" t="s">
        <v>113</v>
      </c>
      <c r="R564" s="5" t="n">
        <v>0</v>
      </c>
      <c r="S564" s="5" t="n">
        <v>45</v>
      </c>
      <c r="T564" s="12" t="n">
        <f aca="false">(O564-M564)/M564</f>
        <v>-0.00199999999999997</v>
      </c>
      <c r="U564" s="8" t="n">
        <f aca="false">IF(AND(K564&lt;=I564,R564=0),1,0)</f>
        <v>1</v>
      </c>
      <c r="V564" s="10" t="n">
        <f aca="false">IF(Q564="No",P564,0)</f>
        <v>0</v>
      </c>
    </row>
    <row r="565" customFormat="false" ht="15" hidden="false" customHeight="false" outlineLevel="0" collapsed="false">
      <c r="A565" s="5" t="s">
        <v>699</v>
      </c>
      <c r="B565" s="5" t="s">
        <v>79</v>
      </c>
      <c r="C565" s="7" t="n">
        <v>46201</v>
      </c>
      <c r="D565" s="8" t="str">
        <f aca="false">INDEX(Dim_Supplier!$C$2:$C$21,MATCH(B565,Dim_Supplier!$A$2:$A$21,0))</f>
        <v>Logistics</v>
      </c>
      <c r="E565" s="8" t="str">
        <f aca="false">INDEX(Dim_Supplier!$B$2:$B$21,MATCH(B565,Dim_Supplier!$A$2:$A$21,0))</f>
        <v>Niagara Freight Solutions</v>
      </c>
      <c r="F565" s="5" t="s">
        <v>146</v>
      </c>
      <c r="G565" s="5" t="s">
        <v>129</v>
      </c>
      <c r="H565" s="8" t="n">
        <f aca="false">INDEX(Lookup_Tables!$B$2:$B$5,MATCH(D565,Lookup_Tables!$A$2:$A$5,0))</f>
        <v>5</v>
      </c>
      <c r="I565" s="9" t="n">
        <f aca="false">C565+H565</f>
        <v>46206</v>
      </c>
      <c r="J565" s="5" t="n">
        <v>0</v>
      </c>
      <c r="K565" s="9" t="n">
        <f aca="false">I565+J565</f>
        <v>46206</v>
      </c>
      <c r="L565" s="5" t="n">
        <v>2</v>
      </c>
      <c r="M565" s="10" t="n">
        <f aca="false">INDEX(Dim_Supplier!$F$2:$F$21,MATCH(B565,Dim_Supplier!$A$2:$A$21,0))</f>
        <v>340</v>
      </c>
      <c r="N565" s="11" t="n">
        <v>0.0069</v>
      </c>
      <c r="O565" s="10" t="n">
        <f aca="false">M565*(1+N565)</f>
        <v>342.346</v>
      </c>
      <c r="P565" s="10" t="n">
        <f aca="false">O565*L565</f>
        <v>684.692</v>
      </c>
      <c r="Q565" s="5" t="s">
        <v>113</v>
      </c>
      <c r="R565" s="5" t="n">
        <v>0</v>
      </c>
      <c r="S565" s="5" t="n">
        <v>45</v>
      </c>
      <c r="T565" s="12" t="n">
        <f aca="false">(O565-M565)/M565</f>
        <v>0.00689999999999984</v>
      </c>
      <c r="U565" s="8" t="n">
        <f aca="false">IF(AND(K565&lt;=I565,R565=0),1,0)</f>
        <v>1</v>
      </c>
      <c r="V565" s="10" t="n">
        <f aca="false">IF(Q565="No",P565,0)</f>
        <v>0</v>
      </c>
    </row>
    <row r="566" customFormat="false" ht="15" hidden="false" customHeight="false" outlineLevel="0" collapsed="false">
      <c r="A566" s="5" t="s">
        <v>700</v>
      </c>
      <c r="B566" s="5" t="s">
        <v>49</v>
      </c>
      <c r="C566" s="7" t="n">
        <v>45912</v>
      </c>
      <c r="D566" s="8" t="str">
        <f aca="false">INDEX(Dim_Supplier!$C$2:$C$21,MATCH(B566,Dim_Supplier!$A$2:$A$21,0))</f>
        <v>Raw Materials</v>
      </c>
      <c r="E566" s="8" t="str">
        <f aca="false">INDEX(Dim_Supplier!$B$2:$B$21,MATCH(B566,Dim_Supplier!$A$2:$A$21,0))</f>
        <v>Great Lakes Polymer Co.</v>
      </c>
      <c r="F566" s="5" t="s">
        <v>142</v>
      </c>
      <c r="G566" s="5" t="s">
        <v>112</v>
      </c>
      <c r="H566" s="8" t="n">
        <f aca="false">INDEX(Lookup_Tables!$B$2:$B$5,MATCH(D566,Lookup_Tables!$A$2:$A$5,0))</f>
        <v>21</v>
      </c>
      <c r="I566" s="9" t="n">
        <f aca="false">C566+H566</f>
        <v>45933</v>
      </c>
      <c r="J566" s="5" t="n">
        <v>1</v>
      </c>
      <c r="K566" s="9" t="n">
        <f aca="false">I566+J566</f>
        <v>45934</v>
      </c>
      <c r="L566" s="5" t="n">
        <v>1639</v>
      </c>
      <c r="M566" s="10" t="n">
        <f aca="false">INDEX(Dim_Supplier!$F$2:$F$21,MATCH(B566,Dim_Supplier!$A$2:$A$21,0))</f>
        <v>32.75</v>
      </c>
      <c r="N566" s="11" t="n">
        <v>0.0975</v>
      </c>
      <c r="O566" s="10" t="n">
        <f aca="false">M566*(1+N566)</f>
        <v>35.943125</v>
      </c>
      <c r="P566" s="10" t="n">
        <f aca="false">O566*L566</f>
        <v>58910.781875</v>
      </c>
      <c r="Q566" s="5" t="s">
        <v>113</v>
      </c>
      <c r="R566" s="5" t="n">
        <v>0</v>
      </c>
      <c r="S566" s="5" t="n">
        <v>45</v>
      </c>
      <c r="T566" s="12" t="n">
        <f aca="false">(O566-M566)/M566</f>
        <v>0.0974999999999999</v>
      </c>
      <c r="U566" s="8" t="n">
        <f aca="false">IF(AND(K566&lt;=I566,R566=0),1,0)</f>
        <v>0</v>
      </c>
      <c r="V566" s="10" t="n">
        <f aca="false">IF(Q566="No",P566,0)</f>
        <v>0</v>
      </c>
    </row>
    <row r="567" customFormat="false" ht="15" hidden="false" customHeight="false" outlineLevel="0" collapsed="false">
      <c r="A567" s="5" t="s">
        <v>701</v>
      </c>
      <c r="B567" s="5" t="s">
        <v>54</v>
      </c>
      <c r="C567" s="7" t="n">
        <v>45380</v>
      </c>
      <c r="D567" s="8" t="str">
        <f aca="false">INDEX(Dim_Supplier!$C$2:$C$21,MATCH(B567,Dim_Supplier!$A$2:$A$21,0))</f>
        <v>Raw Materials</v>
      </c>
      <c r="E567" s="8" t="str">
        <f aca="false">INDEX(Dim_Supplier!$B$2:$B$21,MATCH(B567,Dim_Supplier!$A$2:$A$21,0))</f>
        <v>Northern Resin Solutions</v>
      </c>
      <c r="F567" s="5" t="s">
        <v>142</v>
      </c>
      <c r="G567" s="5" t="s">
        <v>112</v>
      </c>
      <c r="H567" s="8" t="n">
        <f aca="false">INDEX(Lookup_Tables!$B$2:$B$5,MATCH(D567,Lookup_Tables!$A$2:$A$5,0))</f>
        <v>21</v>
      </c>
      <c r="I567" s="9" t="n">
        <f aca="false">C567+H567</f>
        <v>45401</v>
      </c>
      <c r="J567" s="5" t="n">
        <v>-4</v>
      </c>
      <c r="K567" s="9" t="n">
        <f aca="false">I567+J567</f>
        <v>45397</v>
      </c>
      <c r="L567" s="5" t="n">
        <v>719</v>
      </c>
      <c r="M567" s="10" t="n">
        <f aca="false">INDEX(Dim_Supplier!$F$2:$F$21,MATCH(B567,Dim_Supplier!$A$2:$A$21,0))</f>
        <v>38.9</v>
      </c>
      <c r="N567" s="11" t="n">
        <v>0.0772</v>
      </c>
      <c r="O567" s="10" t="n">
        <f aca="false">M567*(1+N567)</f>
        <v>41.90308</v>
      </c>
      <c r="P567" s="10" t="n">
        <f aca="false">O567*L567</f>
        <v>30128.31452</v>
      </c>
      <c r="Q567" s="5" t="s">
        <v>113</v>
      </c>
      <c r="R567" s="5" t="n">
        <v>0</v>
      </c>
      <c r="S567" s="5" t="n">
        <v>30</v>
      </c>
      <c r="T567" s="12" t="n">
        <f aca="false">(O567-M567)/M567</f>
        <v>0.0771999999999999</v>
      </c>
      <c r="U567" s="8" t="n">
        <f aca="false">IF(AND(K567&lt;=I567,R567=0),1,0)</f>
        <v>1</v>
      </c>
      <c r="V567" s="10" t="n">
        <f aca="false">IF(Q567="No",P567,0)</f>
        <v>0</v>
      </c>
    </row>
    <row r="568" customFormat="false" ht="15" hidden="false" customHeight="false" outlineLevel="0" collapsed="false">
      <c r="A568" s="5" t="s">
        <v>702</v>
      </c>
      <c r="B568" s="5" t="s">
        <v>79</v>
      </c>
      <c r="C568" s="7" t="n">
        <v>46088</v>
      </c>
      <c r="D568" s="8" t="str">
        <f aca="false">INDEX(Dim_Supplier!$C$2:$C$21,MATCH(B568,Dim_Supplier!$A$2:$A$21,0))</f>
        <v>Logistics</v>
      </c>
      <c r="E568" s="8" t="str">
        <f aca="false">INDEX(Dim_Supplier!$B$2:$B$21,MATCH(B568,Dim_Supplier!$A$2:$A$21,0))</f>
        <v>Niagara Freight Solutions</v>
      </c>
      <c r="F568" s="5" t="s">
        <v>154</v>
      </c>
      <c r="G568" s="5" t="s">
        <v>129</v>
      </c>
      <c r="H568" s="8" t="n">
        <f aca="false">INDEX(Lookup_Tables!$B$2:$B$5,MATCH(D568,Lookup_Tables!$A$2:$A$5,0))</f>
        <v>5</v>
      </c>
      <c r="I568" s="9" t="n">
        <f aca="false">C568+H568</f>
        <v>46093</v>
      </c>
      <c r="J568" s="5" t="n">
        <v>-2</v>
      </c>
      <c r="K568" s="9" t="n">
        <f aca="false">I568+J568</f>
        <v>46091</v>
      </c>
      <c r="L568" s="5" t="n">
        <v>31</v>
      </c>
      <c r="M568" s="10" t="n">
        <f aca="false">INDEX(Dim_Supplier!$F$2:$F$21,MATCH(B568,Dim_Supplier!$A$2:$A$21,0))</f>
        <v>340</v>
      </c>
      <c r="N568" s="11" t="n">
        <v>0.0116</v>
      </c>
      <c r="O568" s="10" t="n">
        <f aca="false">M568*(1+N568)</f>
        <v>343.944</v>
      </c>
      <c r="P568" s="10" t="n">
        <f aca="false">O568*L568</f>
        <v>10662.264</v>
      </c>
      <c r="Q568" s="5" t="s">
        <v>113</v>
      </c>
      <c r="R568" s="5" t="n">
        <v>0</v>
      </c>
      <c r="S568" s="5" t="n">
        <v>30</v>
      </c>
      <c r="T568" s="12" t="n">
        <f aca="false">(O568-M568)/M568</f>
        <v>0.0116000000000001</v>
      </c>
      <c r="U568" s="8" t="n">
        <f aca="false">IF(AND(K568&lt;=I568,R568=0),1,0)</f>
        <v>1</v>
      </c>
      <c r="V568" s="10" t="n">
        <f aca="false">IF(Q568="No",P568,0)</f>
        <v>0</v>
      </c>
    </row>
    <row r="569" customFormat="false" ht="15" hidden="false" customHeight="false" outlineLevel="0" collapsed="false">
      <c r="A569" s="5" t="s">
        <v>703</v>
      </c>
      <c r="B569" s="5" t="s">
        <v>64</v>
      </c>
      <c r="C569" s="7" t="n">
        <v>46186</v>
      </c>
      <c r="D569" s="8" t="str">
        <f aca="false">INDEX(Dim_Supplier!$C$2:$C$21,MATCH(B569,Dim_Supplier!$A$2:$A$21,0))</f>
        <v>Packaging</v>
      </c>
      <c r="E569" s="8" t="str">
        <f aca="false">INDEX(Dim_Supplier!$B$2:$B$21,MATCH(B569,Dim_Supplier!$A$2:$A$21,0))</f>
        <v>Huron Pallet Works</v>
      </c>
      <c r="F569" s="5" t="s">
        <v>122</v>
      </c>
      <c r="G569" s="5" t="s">
        <v>120</v>
      </c>
      <c r="H569" s="8" t="n">
        <f aca="false">INDEX(Lookup_Tables!$B$2:$B$5,MATCH(D569,Lookup_Tables!$A$2:$A$5,0))</f>
        <v>14</v>
      </c>
      <c r="I569" s="9" t="n">
        <f aca="false">C569+H569</f>
        <v>46200</v>
      </c>
      <c r="J569" s="5" t="n">
        <v>5</v>
      </c>
      <c r="K569" s="9" t="n">
        <f aca="false">I569+J569</f>
        <v>46205</v>
      </c>
      <c r="L569" s="5" t="n">
        <v>1304</v>
      </c>
      <c r="M569" s="10" t="n">
        <f aca="false">INDEX(Dim_Supplier!$F$2:$F$21,MATCH(B569,Dim_Supplier!$A$2:$A$21,0))</f>
        <v>2.25</v>
      </c>
      <c r="N569" s="11" t="n">
        <v>0.129</v>
      </c>
      <c r="O569" s="10" t="n">
        <f aca="false">M569*(1+N569)</f>
        <v>2.54025</v>
      </c>
      <c r="P569" s="10" t="n">
        <f aca="false">O569*L569</f>
        <v>3312.486</v>
      </c>
      <c r="Q569" s="5" t="s">
        <v>133</v>
      </c>
      <c r="R569" s="5" t="n">
        <v>0</v>
      </c>
      <c r="S569" s="5" t="n">
        <v>45</v>
      </c>
      <c r="T569" s="12" t="n">
        <f aca="false">(O569-M569)/M569</f>
        <v>0.129</v>
      </c>
      <c r="U569" s="8" t="n">
        <f aca="false">IF(AND(K569&lt;=I569,R569=0),1,0)</f>
        <v>0</v>
      </c>
      <c r="V569" s="10" t="n">
        <f aca="false">IF(Q569="No",P569,0)</f>
        <v>3312.486</v>
      </c>
    </row>
    <row r="570" customFormat="false" ht="15" hidden="false" customHeight="false" outlineLevel="0" collapsed="false">
      <c r="A570" s="5" t="s">
        <v>704</v>
      </c>
      <c r="B570" s="5" t="s">
        <v>46</v>
      </c>
      <c r="C570" s="7" t="n">
        <v>46033</v>
      </c>
      <c r="D570" s="8" t="str">
        <f aca="false">INDEX(Dim_Supplier!$C$2:$C$21,MATCH(B570,Dim_Supplier!$A$2:$A$21,0))</f>
        <v>Raw Materials</v>
      </c>
      <c r="E570" s="8" t="str">
        <f aca="false">INDEX(Dim_Supplier!$B$2:$B$21,MATCH(B570,Dim_Supplier!$A$2:$A$21,0))</f>
        <v>Niagara Alloy Supply</v>
      </c>
      <c r="F570" s="5" t="s">
        <v>148</v>
      </c>
      <c r="G570" s="5" t="s">
        <v>125</v>
      </c>
      <c r="H570" s="8" t="n">
        <f aca="false">INDEX(Lookup_Tables!$B$2:$B$5,MATCH(D570,Lookup_Tables!$A$2:$A$5,0))</f>
        <v>21</v>
      </c>
      <c r="I570" s="9" t="n">
        <f aca="false">C570+H570</f>
        <v>46054</v>
      </c>
      <c r="J570" s="5" t="n">
        <v>-4</v>
      </c>
      <c r="K570" s="9" t="n">
        <f aca="false">I570+J570</f>
        <v>46050</v>
      </c>
      <c r="L570" s="5" t="n">
        <v>337</v>
      </c>
      <c r="M570" s="10" t="n">
        <f aca="false">INDEX(Dim_Supplier!$F$2:$F$21,MATCH(B570,Dim_Supplier!$A$2:$A$21,0))</f>
        <v>46.5</v>
      </c>
      <c r="N570" s="11" t="n">
        <v>0.056</v>
      </c>
      <c r="O570" s="10" t="n">
        <f aca="false">M570*(1+N570)</f>
        <v>49.104</v>
      </c>
      <c r="P570" s="10" t="n">
        <f aca="false">O570*L570</f>
        <v>16548.048</v>
      </c>
      <c r="Q570" s="5" t="s">
        <v>113</v>
      </c>
      <c r="R570" s="5" t="n">
        <v>0</v>
      </c>
      <c r="S570" s="5" t="n">
        <v>45</v>
      </c>
      <c r="T570" s="12" t="n">
        <f aca="false">(O570-M570)/M570</f>
        <v>0.056</v>
      </c>
      <c r="U570" s="8" t="n">
        <f aca="false">IF(AND(K570&lt;=I570,R570=0),1,0)</f>
        <v>1</v>
      </c>
      <c r="V570" s="10" t="n">
        <f aca="false">IF(Q570="No",P570,0)</f>
        <v>0</v>
      </c>
    </row>
    <row r="571" customFormat="false" ht="15" hidden="false" customHeight="false" outlineLevel="0" collapsed="false">
      <c r="A571" s="5" t="s">
        <v>705</v>
      </c>
      <c r="B571" s="5" t="s">
        <v>71</v>
      </c>
      <c r="C571" s="7" t="n">
        <v>45381</v>
      </c>
      <c r="D571" s="8" t="str">
        <f aca="false">INDEX(Dim_Supplier!$C$2:$C$21,MATCH(B571,Dim_Supplier!$A$2:$A$21,0))</f>
        <v>MRO</v>
      </c>
      <c r="E571" s="8" t="str">
        <f aca="false">INDEX(Dim_Supplier!$B$2:$B$21,MATCH(B571,Dim_Supplier!$A$2:$A$21,0))</f>
        <v>CanSafe Equipment Ltd.</v>
      </c>
      <c r="F571" s="5" t="s">
        <v>111</v>
      </c>
      <c r="G571" s="5" t="s">
        <v>125</v>
      </c>
      <c r="H571" s="8" t="n">
        <f aca="false">INDEX(Lookup_Tables!$B$2:$B$5,MATCH(D571,Lookup_Tables!$A$2:$A$5,0))</f>
        <v>10</v>
      </c>
      <c r="I571" s="9" t="n">
        <f aca="false">C571+H571</f>
        <v>45391</v>
      </c>
      <c r="J571" s="5" t="n">
        <v>0</v>
      </c>
      <c r="K571" s="9" t="n">
        <f aca="false">I571+J571</f>
        <v>45391</v>
      </c>
      <c r="L571" s="5" t="n">
        <v>173</v>
      </c>
      <c r="M571" s="10" t="n">
        <f aca="false">INDEX(Dim_Supplier!$F$2:$F$21,MATCH(B571,Dim_Supplier!$A$2:$A$21,0))</f>
        <v>18.75</v>
      </c>
      <c r="N571" s="11" t="n">
        <v>0.024</v>
      </c>
      <c r="O571" s="10" t="n">
        <f aca="false">M571*(1+N571)</f>
        <v>19.2</v>
      </c>
      <c r="P571" s="10" t="n">
        <f aca="false">O571*L571</f>
        <v>3321.6</v>
      </c>
      <c r="Q571" s="5" t="s">
        <v>113</v>
      </c>
      <c r="R571" s="5" t="n">
        <v>0</v>
      </c>
      <c r="S571" s="5" t="n">
        <v>45</v>
      </c>
      <c r="T571" s="12" t="n">
        <f aca="false">(O571-M571)/M571</f>
        <v>0.024</v>
      </c>
      <c r="U571" s="8" t="n">
        <f aca="false">IF(AND(K571&lt;=I571,R571=0),1,0)</f>
        <v>1</v>
      </c>
      <c r="V571" s="10" t="n">
        <f aca="false">IF(Q571="No",P571,0)</f>
        <v>0</v>
      </c>
    </row>
    <row r="572" customFormat="false" ht="15" hidden="false" customHeight="false" outlineLevel="0" collapsed="false">
      <c r="A572" s="5" t="s">
        <v>706</v>
      </c>
      <c r="B572" s="5" t="s">
        <v>71</v>
      </c>
      <c r="C572" s="7" t="n">
        <v>45506</v>
      </c>
      <c r="D572" s="8" t="str">
        <f aca="false">INDEX(Dim_Supplier!$C$2:$C$21,MATCH(B572,Dim_Supplier!$A$2:$A$21,0))</f>
        <v>MRO</v>
      </c>
      <c r="E572" s="8" t="str">
        <f aca="false">INDEX(Dim_Supplier!$B$2:$B$21,MATCH(B572,Dim_Supplier!$A$2:$A$21,0))</f>
        <v>CanSafe Equipment Ltd.</v>
      </c>
      <c r="F572" s="5" t="s">
        <v>111</v>
      </c>
      <c r="G572" s="5" t="s">
        <v>112</v>
      </c>
      <c r="H572" s="8" t="n">
        <f aca="false">INDEX(Lookup_Tables!$B$2:$B$5,MATCH(D572,Lookup_Tables!$A$2:$A$5,0))</f>
        <v>10</v>
      </c>
      <c r="I572" s="9" t="n">
        <f aca="false">C572+H572</f>
        <v>45516</v>
      </c>
      <c r="J572" s="5" t="n">
        <v>0</v>
      </c>
      <c r="K572" s="9" t="n">
        <f aca="false">I572+J572</f>
        <v>45516</v>
      </c>
      <c r="L572" s="5" t="n">
        <v>86</v>
      </c>
      <c r="M572" s="10" t="n">
        <f aca="false">INDEX(Dim_Supplier!$F$2:$F$21,MATCH(B572,Dim_Supplier!$A$2:$A$21,0))</f>
        <v>18.75</v>
      </c>
      <c r="N572" s="11" t="n">
        <v>0.0451</v>
      </c>
      <c r="O572" s="10" t="n">
        <f aca="false">M572*(1+N572)</f>
        <v>19.595625</v>
      </c>
      <c r="P572" s="10" t="n">
        <f aca="false">O572*L572</f>
        <v>1685.22375</v>
      </c>
      <c r="Q572" s="5" t="s">
        <v>113</v>
      </c>
      <c r="R572" s="5" t="n">
        <v>0</v>
      </c>
      <c r="S572" s="5" t="n">
        <v>30</v>
      </c>
      <c r="T572" s="12" t="n">
        <f aca="false">(O572-M572)/M572</f>
        <v>0.0450999999999999</v>
      </c>
      <c r="U572" s="8" t="n">
        <f aca="false">IF(AND(K572&lt;=I572,R572=0),1,0)</f>
        <v>1</v>
      </c>
      <c r="V572" s="10" t="n">
        <f aca="false">IF(Q572="No",P572,0)</f>
        <v>0</v>
      </c>
    </row>
    <row r="573" customFormat="false" ht="15" hidden="false" customHeight="false" outlineLevel="0" collapsed="false">
      <c r="A573" s="5" t="s">
        <v>707</v>
      </c>
      <c r="B573" s="5" t="s">
        <v>49</v>
      </c>
      <c r="C573" s="7" t="n">
        <v>45409</v>
      </c>
      <c r="D573" s="8" t="str">
        <f aca="false">INDEX(Dim_Supplier!$C$2:$C$21,MATCH(B573,Dim_Supplier!$A$2:$A$21,0))</f>
        <v>Raw Materials</v>
      </c>
      <c r="E573" s="8" t="str">
        <f aca="false">INDEX(Dim_Supplier!$B$2:$B$21,MATCH(B573,Dim_Supplier!$A$2:$A$21,0))</f>
        <v>Great Lakes Polymer Co.</v>
      </c>
      <c r="F573" s="5" t="s">
        <v>148</v>
      </c>
      <c r="G573" s="5" t="s">
        <v>129</v>
      </c>
      <c r="H573" s="8" t="n">
        <f aca="false">INDEX(Lookup_Tables!$B$2:$B$5,MATCH(D573,Lookup_Tables!$A$2:$A$5,0))</f>
        <v>21</v>
      </c>
      <c r="I573" s="9" t="n">
        <f aca="false">C573+H573</f>
        <v>45430</v>
      </c>
      <c r="J573" s="5" t="n">
        <v>5</v>
      </c>
      <c r="K573" s="9" t="n">
        <f aca="false">I573+J573</f>
        <v>45435</v>
      </c>
      <c r="L573" s="5" t="n">
        <v>752</v>
      </c>
      <c r="M573" s="10" t="n">
        <f aca="false">INDEX(Dim_Supplier!$F$2:$F$21,MATCH(B573,Dim_Supplier!$A$2:$A$21,0))</f>
        <v>32.75</v>
      </c>
      <c r="N573" s="11" t="n">
        <v>0.1379</v>
      </c>
      <c r="O573" s="10" t="n">
        <f aca="false">M573*(1+N573)</f>
        <v>37.266225</v>
      </c>
      <c r="P573" s="10" t="n">
        <f aca="false">O573*L573</f>
        <v>28024.2012</v>
      </c>
      <c r="Q573" s="5" t="s">
        <v>113</v>
      </c>
      <c r="R573" s="5" t="n">
        <v>0</v>
      </c>
      <c r="S573" s="5" t="n">
        <v>60</v>
      </c>
      <c r="T573" s="12" t="n">
        <f aca="false">(O573-M573)/M573</f>
        <v>0.1379</v>
      </c>
      <c r="U573" s="8" t="n">
        <f aca="false">IF(AND(K573&lt;=I573,R573=0),1,0)</f>
        <v>0</v>
      </c>
      <c r="V573" s="10" t="n">
        <f aca="false">IF(Q573="No",P573,0)</f>
        <v>0</v>
      </c>
    </row>
    <row r="574" customFormat="false" ht="15" hidden="false" customHeight="false" outlineLevel="0" collapsed="false">
      <c r="A574" s="5" t="s">
        <v>708</v>
      </c>
      <c r="B574" s="5" t="s">
        <v>68</v>
      </c>
      <c r="C574" s="7" t="n">
        <v>45467</v>
      </c>
      <c r="D574" s="8" t="str">
        <f aca="false">INDEX(Dim_Supplier!$C$2:$C$21,MATCH(B574,Dim_Supplier!$A$2:$A$21,0))</f>
        <v>MRO</v>
      </c>
      <c r="E574" s="8" t="str">
        <f aca="false">INDEX(Dim_Supplier!$B$2:$B$21,MATCH(B574,Dim_Supplier!$A$2:$A$21,0))</f>
        <v>Precision Tool &amp; Supply</v>
      </c>
      <c r="F574" s="5" t="s">
        <v>127</v>
      </c>
      <c r="G574" s="5" t="s">
        <v>120</v>
      </c>
      <c r="H574" s="8" t="n">
        <f aca="false">INDEX(Lookup_Tables!$B$2:$B$5,MATCH(D574,Lookup_Tables!$A$2:$A$5,0))</f>
        <v>10</v>
      </c>
      <c r="I574" s="9" t="n">
        <f aca="false">C574+H574</f>
        <v>45477</v>
      </c>
      <c r="J574" s="5" t="n">
        <v>-4</v>
      </c>
      <c r="K574" s="9" t="n">
        <f aca="false">I574+J574</f>
        <v>45473</v>
      </c>
      <c r="L574" s="5" t="n">
        <v>118</v>
      </c>
      <c r="M574" s="10" t="n">
        <f aca="false">INDEX(Dim_Supplier!$F$2:$F$21,MATCH(B574,Dim_Supplier!$A$2:$A$21,0))</f>
        <v>22.4</v>
      </c>
      <c r="N574" s="11" t="n">
        <v>-0.0019</v>
      </c>
      <c r="O574" s="10" t="n">
        <f aca="false">M574*(1+N574)</f>
        <v>22.35744</v>
      </c>
      <c r="P574" s="10" t="n">
        <f aca="false">O574*L574</f>
        <v>2638.17792</v>
      </c>
      <c r="Q574" s="5" t="s">
        <v>113</v>
      </c>
      <c r="R574" s="5" t="n">
        <v>0</v>
      </c>
      <c r="S574" s="5" t="n">
        <v>60</v>
      </c>
      <c r="T574" s="12" t="n">
        <f aca="false">(O574-M574)/M574</f>
        <v>-0.00190000000000008</v>
      </c>
      <c r="U574" s="8" t="n">
        <f aca="false">IF(AND(K574&lt;=I574,R574=0),1,0)</f>
        <v>1</v>
      </c>
      <c r="V574" s="10" t="n">
        <f aca="false">IF(Q574="No",P574,0)</f>
        <v>0</v>
      </c>
    </row>
    <row r="575" customFormat="false" ht="15" hidden="false" customHeight="false" outlineLevel="0" collapsed="false">
      <c r="A575" s="5" t="s">
        <v>709</v>
      </c>
      <c r="B575" s="5" t="s">
        <v>41</v>
      </c>
      <c r="C575" s="7" t="n">
        <v>45684</v>
      </c>
      <c r="D575" s="8" t="str">
        <f aca="false">INDEX(Dim_Supplier!$C$2:$C$21,MATCH(B575,Dim_Supplier!$A$2:$A$21,0))</f>
        <v>Raw Materials</v>
      </c>
      <c r="E575" s="8" t="str">
        <f aca="false">INDEX(Dim_Supplier!$B$2:$B$21,MATCH(B575,Dim_Supplier!$A$2:$A$21,0))</f>
        <v>Ontario Steel Partners</v>
      </c>
      <c r="F575" s="5" t="s">
        <v>148</v>
      </c>
      <c r="G575" s="5" t="s">
        <v>129</v>
      </c>
      <c r="H575" s="8" t="n">
        <f aca="false">INDEX(Lookup_Tables!$B$2:$B$5,MATCH(D575,Lookup_Tables!$A$2:$A$5,0))</f>
        <v>21</v>
      </c>
      <c r="I575" s="9" t="n">
        <f aca="false">C575+H575</f>
        <v>45705</v>
      </c>
      <c r="J575" s="5" t="n">
        <v>-4</v>
      </c>
      <c r="K575" s="9" t="n">
        <f aca="false">I575+J575</f>
        <v>45701</v>
      </c>
      <c r="L575" s="5" t="n">
        <v>1320</v>
      </c>
      <c r="M575" s="10" t="n">
        <f aca="false">INDEX(Dim_Supplier!$F$2:$F$21,MATCH(B575,Dim_Supplier!$A$2:$A$21,0))</f>
        <v>58</v>
      </c>
      <c r="N575" s="11" t="n">
        <v>0.0156</v>
      </c>
      <c r="O575" s="10" t="n">
        <f aca="false">M575*(1+N575)</f>
        <v>58.9048</v>
      </c>
      <c r="P575" s="10" t="n">
        <f aca="false">O575*L575</f>
        <v>77754.336</v>
      </c>
      <c r="Q575" s="5" t="s">
        <v>113</v>
      </c>
      <c r="R575" s="5" t="n">
        <v>0</v>
      </c>
      <c r="S575" s="5" t="n">
        <v>45</v>
      </c>
      <c r="T575" s="12" t="n">
        <f aca="false">(O575-M575)/M575</f>
        <v>0.0156</v>
      </c>
      <c r="U575" s="8" t="n">
        <f aca="false">IF(AND(K575&lt;=I575,R575=0),1,0)</f>
        <v>1</v>
      </c>
      <c r="V575" s="10" t="n">
        <f aca="false">IF(Q575="No",P575,0)</f>
        <v>0</v>
      </c>
    </row>
    <row r="576" customFormat="false" ht="15" hidden="false" customHeight="false" outlineLevel="0" collapsed="false">
      <c r="A576" s="5" t="s">
        <v>710</v>
      </c>
      <c r="B576" s="5" t="s">
        <v>62</v>
      </c>
      <c r="C576" s="7" t="n">
        <v>45656</v>
      </c>
      <c r="D576" s="8" t="str">
        <f aca="false">INDEX(Dim_Supplier!$C$2:$C$21,MATCH(B576,Dim_Supplier!$A$2:$A$21,0))</f>
        <v>Packaging</v>
      </c>
      <c r="E576" s="8" t="str">
        <f aca="false">INDEX(Dim_Supplier!$B$2:$B$21,MATCH(B576,Dim_Supplier!$A$2:$A$21,0))</f>
        <v>Trillium Packaging Solutions</v>
      </c>
      <c r="F576" s="5" t="s">
        <v>119</v>
      </c>
      <c r="G576" s="5" t="s">
        <v>120</v>
      </c>
      <c r="H576" s="8" t="n">
        <f aca="false">INDEX(Lookup_Tables!$B$2:$B$5,MATCH(D576,Lookup_Tables!$A$2:$A$5,0))</f>
        <v>14</v>
      </c>
      <c r="I576" s="9" t="n">
        <f aca="false">C576+H576</f>
        <v>45670</v>
      </c>
      <c r="J576" s="5" t="n">
        <v>-2</v>
      </c>
      <c r="K576" s="9" t="n">
        <f aca="false">I576+J576</f>
        <v>45668</v>
      </c>
      <c r="L576" s="5" t="n">
        <v>4870</v>
      </c>
      <c r="M576" s="10" t="n">
        <f aca="false">INDEX(Dim_Supplier!$F$2:$F$21,MATCH(B576,Dim_Supplier!$A$2:$A$21,0))</f>
        <v>5.6</v>
      </c>
      <c r="N576" s="11" t="n">
        <v>-0.0088</v>
      </c>
      <c r="O576" s="10" t="n">
        <f aca="false">M576*(1+N576)</f>
        <v>5.55072</v>
      </c>
      <c r="P576" s="10" t="n">
        <f aca="false">O576*L576</f>
        <v>27032.0064</v>
      </c>
      <c r="Q576" s="5" t="s">
        <v>113</v>
      </c>
      <c r="R576" s="5" t="n">
        <v>0</v>
      </c>
      <c r="S576" s="5" t="n">
        <v>45</v>
      </c>
      <c r="T576" s="12" t="n">
        <f aca="false">(O576-M576)/M576</f>
        <v>-0.00880000000000008</v>
      </c>
      <c r="U576" s="8" t="n">
        <f aca="false">IF(AND(K576&lt;=I576,R576=0),1,0)</f>
        <v>1</v>
      </c>
      <c r="V576" s="10" t="n">
        <f aca="false">IF(Q576="No",P576,0)</f>
        <v>0</v>
      </c>
    </row>
    <row r="577" customFormat="false" ht="15" hidden="false" customHeight="false" outlineLevel="0" collapsed="false">
      <c r="A577" s="5" t="s">
        <v>711</v>
      </c>
      <c r="B577" s="5" t="s">
        <v>68</v>
      </c>
      <c r="C577" s="7" t="n">
        <v>45387</v>
      </c>
      <c r="D577" s="8" t="str">
        <f aca="false">INDEX(Dim_Supplier!$C$2:$C$21,MATCH(B577,Dim_Supplier!$A$2:$A$21,0))</f>
        <v>MRO</v>
      </c>
      <c r="E577" s="8" t="str">
        <f aca="false">INDEX(Dim_Supplier!$B$2:$B$21,MATCH(B577,Dim_Supplier!$A$2:$A$21,0))</f>
        <v>Precision Tool &amp; Supply</v>
      </c>
      <c r="F577" s="5" t="s">
        <v>179</v>
      </c>
      <c r="G577" s="5" t="s">
        <v>129</v>
      </c>
      <c r="H577" s="8" t="n">
        <f aca="false">INDEX(Lookup_Tables!$B$2:$B$5,MATCH(D577,Lookup_Tables!$A$2:$A$5,0))</f>
        <v>10</v>
      </c>
      <c r="I577" s="9" t="n">
        <f aca="false">C577+H577</f>
        <v>45397</v>
      </c>
      <c r="J577" s="5" t="n">
        <v>-4</v>
      </c>
      <c r="K577" s="9" t="n">
        <f aca="false">I577+J577</f>
        <v>45393</v>
      </c>
      <c r="L577" s="5" t="n">
        <v>186</v>
      </c>
      <c r="M577" s="10" t="n">
        <f aca="false">INDEX(Dim_Supplier!$F$2:$F$21,MATCH(B577,Dim_Supplier!$A$2:$A$21,0))</f>
        <v>22.4</v>
      </c>
      <c r="N577" s="11" t="n">
        <v>0.0184</v>
      </c>
      <c r="O577" s="10" t="n">
        <f aca="false">M577*(1+N577)</f>
        <v>22.81216</v>
      </c>
      <c r="P577" s="10" t="n">
        <f aca="false">O577*L577</f>
        <v>4243.06176</v>
      </c>
      <c r="Q577" s="5" t="s">
        <v>113</v>
      </c>
      <c r="R577" s="5" t="n">
        <v>0</v>
      </c>
      <c r="S577" s="5" t="n">
        <v>60</v>
      </c>
      <c r="T577" s="12" t="n">
        <f aca="false">(O577-M577)/M577</f>
        <v>0.0184</v>
      </c>
      <c r="U577" s="8" t="n">
        <f aca="false">IF(AND(K577&lt;=I577,R577=0),1,0)</f>
        <v>1</v>
      </c>
      <c r="V577" s="10" t="n">
        <f aca="false">IF(Q577="No",P577,0)</f>
        <v>0</v>
      </c>
    </row>
    <row r="578" customFormat="false" ht="15" hidden="false" customHeight="false" outlineLevel="0" collapsed="false">
      <c r="A578" s="5" t="s">
        <v>712</v>
      </c>
      <c r="B578" s="5" t="s">
        <v>46</v>
      </c>
      <c r="C578" s="7" t="n">
        <v>45923</v>
      </c>
      <c r="D578" s="8" t="str">
        <f aca="false">INDEX(Dim_Supplier!$C$2:$C$21,MATCH(B578,Dim_Supplier!$A$2:$A$21,0))</f>
        <v>Raw Materials</v>
      </c>
      <c r="E578" s="8" t="str">
        <f aca="false">INDEX(Dim_Supplier!$B$2:$B$21,MATCH(B578,Dim_Supplier!$A$2:$A$21,0))</f>
        <v>Niagara Alloy Supply</v>
      </c>
      <c r="F578" s="5" t="s">
        <v>139</v>
      </c>
      <c r="G578" s="5" t="s">
        <v>120</v>
      </c>
      <c r="H578" s="8" t="n">
        <f aca="false">INDEX(Lookup_Tables!$B$2:$B$5,MATCH(D578,Lookup_Tables!$A$2:$A$5,0))</f>
        <v>21</v>
      </c>
      <c r="I578" s="9" t="n">
        <f aca="false">C578+H578</f>
        <v>45944</v>
      </c>
      <c r="J578" s="5" t="n">
        <v>-3</v>
      </c>
      <c r="K578" s="9" t="n">
        <f aca="false">I578+J578</f>
        <v>45941</v>
      </c>
      <c r="L578" s="5" t="n">
        <v>1462</v>
      </c>
      <c r="M578" s="10" t="n">
        <f aca="false">INDEX(Dim_Supplier!$F$2:$F$21,MATCH(B578,Dim_Supplier!$A$2:$A$21,0))</f>
        <v>46.5</v>
      </c>
      <c r="N578" s="11" t="n">
        <v>0.0495</v>
      </c>
      <c r="O578" s="10" t="n">
        <f aca="false">M578*(1+N578)</f>
        <v>48.80175</v>
      </c>
      <c r="P578" s="10" t="n">
        <f aca="false">O578*L578</f>
        <v>71348.1585</v>
      </c>
      <c r="Q578" s="5" t="s">
        <v>113</v>
      </c>
      <c r="R578" s="5" t="n">
        <v>0</v>
      </c>
      <c r="S578" s="5" t="n">
        <v>30</v>
      </c>
      <c r="T578" s="12" t="n">
        <f aca="false">(O578-M578)/M578</f>
        <v>0.0495000000000001</v>
      </c>
      <c r="U578" s="8" t="n">
        <f aca="false">IF(AND(K578&lt;=I578,R578=0),1,0)</f>
        <v>1</v>
      </c>
      <c r="V578" s="10" t="n">
        <f aca="false">IF(Q578="No",P578,0)</f>
        <v>0</v>
      </c>
    </row>
    <row r="579" customFormat="false" ht="15" hidden="false" customHeight="false" outlineLevel="0" collapsed="false">
      <c r="A579" s="5" t="s">
        <v>713</v>
      </c>
      <c r="B579" s="5" t="s">
        <v>66</v>
      </c>
      <c r="C579" s="7" t="n">
        <v>45358</v>
      </c>
      <c r="D579" s="8" t="str">
        <f aca="false">INDEX(Dim_Supplier!$C$2:$C$21,MATCH(B579,Dim_Supplier!$A$2:$A$21,0))</f>
        <v>Packaging</v>
      </c>
      <c r="E579" s="8" t="str">
        <f aca="false">INDEX(Dim_Supplier!$B$2:$B$21,MATCH(B579,Dim_Supplier!$A$2:$A$21,0))</f>
        <v>EverGreen Wrap Industries</v>
      </c>
      <c r="F579" s="5" t="s">
        <v>137</v>
      </c>
      <c r="G579" s="5" t="s">
        <v>129</v>
      </c>
      <c r="H579" s="8" t="n">
        <f aca="false">INDEX(Lookup_Tables!$B$2:$B$5,MATCH(D579,Lookup_Tables!$A$2:$A$5,0))</f>
        <v>14</v>
      </c>
      <c r="I579" s="9" t="n">
        <f aca="false">C579+H579</f>
        <v>45372</v>
      </c>
      <c r="J579" s="5" t="n">
        <v>-2</v>
      </c>
      <c r="K579" s="9" t="n">
        <f aca="false">I579+J579</f>
        <v>45370</v>
      </c>
      <c r="L579" s="5" t="n">
        <v>1899</v>
      </c>
      <c r="M579" s="10" t="n">
        <f aca="false">INDEX(Dim_Supplier!$F$2:$F$21,MATCH(B579,Dim_Supplier!$A$2:$A$21,0))</f>
        <v>6.8</v>
      </c>
      <c r="N579" s="11" t="n">
        <v>0.0779</v>
      </c>
      <c r="O579" s="10" t="n">
        <f aca="false">M579*(1+N579)</f>
        <v>7.32972</v>
      </c>
      <c r="P579" s="10" t="n">
        <f aca="false">O579*L579</f>
        <v>13919.13828</v>
      </c>
      <c r="Q579" s="5" t="s">
        <v>113</v>
      </c>
      <c r="R579" s="5" t="n">
        <v>0</v>
      </c>
      <c r="S579" s="5" t="n">
        <v>45</v>
      </c>
      <c r="T579" s="12" t="n">
        <f aca="false">(O579-M579)/M579</f>
        <v>0.0779</v>
      </c>
      <c r="U579" s="8" t="n">
        <f aca="false">IF(AND(K579&lt;=I579,R579=0),1,0)</f>
        <v>1</v>
      </c>
      <c r="V579" s="10" t="n">
        <f aca="false">IF(Q579="No",P579,0)</f>
        <v>0</v>
      </c>
    </row>
    <row r="580" customFormat="false" ht="15" hidden="false" customHeight="false" outlineLevel="0" collapsed="false">
      <c r="A580" s="5" t="s">
        <v>714</v>
      </c>
      <c r="B580" s="5" t="s">
        <v>66</v>
      </c>
      <c r="C580" s="7" t="n">
        <v>45707</v>
      </c>
      <c r="D580" s="8" t="str">
        <f aca="false">INDEX(Dim_Supplier!$C$2:$C$21,MATCH(B580,Dim_Supplier!$A$2:$A$21,0))</f>
        <v>Packaging</v>
      </c>
      <c r="E580" s="8" t="str">
        <f aca="false">INDEX(Dim_Supplier!$B$2:$B$21,MATCH(B580,Dim_Supplier!$A$2:$A$21,0))</f>
        <v>EverGreen Wrap Industries</v>
      </c>
      <c r="F580" s="5" t="s">
        <v>117</v>
      </c>
      <c r="G580" s="5" t="s">
        <v>120</v>
      </c>
      <c r="H580" s="8" t="n">
        <f aca="false">INDEX(Lookup_Tables!$B$2:$B$5,MATCH(D580,Lookup_Tables!$A$2:$A$5,0))</f>
        <v>14</v>
      </c>
      <c r="I580" s="9" t="n">
        <f aca="false">C580+H580</f>
        <v>45721</v>
      </c>
      <c r="J580" s="5" t="n">
        <v>-2</v>
      </c>
      <c r="K580" s="9" t="n">
        <f aca="false">I580+J580</f>
        <v>45719</v>
      </c>
      <c r="L580" s="5" t="n">
        <v>2974</v>
      </c>
      <c r="M580" s="10" t="n">
        <f aca="false">INDEX(Dim_Supplier!$F$2:$F$21,MATCH(B580,Dim_Supplier!$A$2:$A$21,0))</f>
        <v>6.8</v>
      </c>
      <c r="N580" s="11" t="n">
        <v>0.0573</v>
      </c>
      <c r="O580" s="10" t="n">
        <f aca="false">M580*(1+N580)</f>
        <v>7.18964</v>
      </c>
      <c r="P580" s="10" t="n">
        <f aca="false">O580*L580</f>
        <v>21381.98936</v>
      </c>
      <c r="Q580" s="5" t="s">
        <v>113</v>
      </c>
      <c r="R580" s="5" t="n">
        <v>0</v>
      </c>
      <c r="S580" s="5" t="n">
        <v>30</v>
      </c>
      <c r="T580" s="12" t="n">
        <f aca="false">(O580-M580)/M580</f>
        <v>0.0572999999999999</v>
      </c>
      <c r="U580" s="8" t="n">
        <f aca="false">IF(AND(K580&lt;=I580,R580=0),1,0)</f>
        <v>1</v>
      </c>
      <c r="V580" s="10" t="n">
        <f aca="false">IF(Q580="No",P580,0)</f>
        <v>0</v>
      </c>
    </row>
    <row r="581" customFormat="false" ht="15" hidden="false" customHeight="false" outlineLevel="0" collapsed="false">
      <c r="A581" s="5" t="s">
        <v>715</v>
      </c>
      <c r="B581" s="5" t="s">
        <v>71</v>
      </c>
      <c r="C581" s="7" t="n">
        <v>45853</v>
      </c>
      <c r="D581" s="8" t="str">
        <f aca="false">INDEX(Dim_Supplier!$C$2:$C$21,MATCH(B581,Dim_Supplier!$A$2:$A$21,0))</f>
        <v>MRO</v>
      </c>
      <c r="E581" s="8" t="str">
        <f aca="false">INDEX(Dim_Supplier!$B$2:$B$21,MATCH(B581,Dim_Supplier!$A$2:$A$21,0))</f>
        <v>CanSafe Equipment Ltd.</v>
      </c>
      <c r="F581" s="5" t="s">
        <v>164</v>
      </c>
      <c r="G581" s="5" t="s">
        <v>125</v>
      </c>
      <c r="H581" s="8" t="n">
        <f aca="false">INDEX(Lookup_Tables!$B$2:$B$5,MATCH(D581,Lookup_Tables!$A$2:$A$5,0))</f>
        <v>10</v>
      </c>
      <c r="I581" s="9" t="n">
        <f aca="false">C581+H581</f>
        <v>45863</v>
      </c>
      <c r="J581" s="5" t="n">
        <v>-2</v>
      </c>
      <c r="K581" s="9" t="n">
        <f aca="false">I581+J581</f>
        <v>45861</v>
      </c>
      <c r="L581" s="5" t="n">
        <v>182</v>
      </c>
      <c r="M581" s="10" t="n">
        <f aca="false">INDEX(Dim_Supplier!$F$2:$F$21,MATCH(B581,Dim_Supplier!$A$2:$A$21,0))</f>
        <v>18.75</v>
      </c>
      <c r="N581" s="11" t="n">
        <v>0.0422</v>
      </c>
      <c r="O581" s="10" t="n">
        <f aca="false">M581*(1+N581)</f>
        <v>19.54125</v>
      </c>
      <c r="P581" s="10" t="n">
        <f aca="false">O581*L581</f>
        <v>3556.5075</v>
      </c>
      <c r="Q581" s="5" t="s">
        <v>113</v>
      </c>
      <c r="R581" s="5" t="n">
        <v>0</v>
      </c>
      <c r="S581" s="5" t="n">
        <v>30</v>
      </c>
      <c r="T581" s="12" t="n">
        <f aca="false">(O581-M581)/M581</f>
        <v>0.0422000000000001</v>
      </c>
      <c r="U581" s="8" t="n">
        <f aca="false">IF(AND(K581&lt;=I581,R581=0),1,0)</f>
        <v>1</v>
      </c>
      <c r="V581" s="10" t="n">
        <f aca="false">IF(Q581="No",P581,0)</f>
        <v>0</v>
      </c>
    </row>
    <row r="582" customFormat="false" ht="15" hidden="false" customHeight="false" outlineLevel="0" collapsed="false">
      <c r="A582" s="5" t="s">
        <v>716</v>
      </c>
      <c r="B582" s="5" t="s">
        <v>79</v>
      </c>
      <c r="C582" s="7" t="n">
        <v>45849</v>
      </c>
      <c r="D582" s="8" t="str">
        <f aca="false">INDEX(Dim_Supplier!$C$2:$C$21,MATCH(B582,Dim_Supplier!$A$2:$A$21,0))</f>
        <v>Logistics</v>
      </c>
      <c r="E582" s="8" t="str">
        <f aca="false">INDEX(Dim_Supplier!$B$2:$B$21,MATCH(B582,Dim_Supplier!$A$2:$A$21,0))</f>
        <v>Niagara Freight Solutions</v>
      </c>
      <c r="F582" s="5" t="s">
        <v>154</v>
      </c>
      <c r="G582" s="5" t="s">
        <v>112</v>
      </c>
      <c r="H582" s="8" t="n">
        <f aca="false">INDEX(Lookup_Tables!$B$2:$B$5,MATCH(D582,Lookup_Tables!$A$2:$A$5,0))</f>
        <v>5</v>
      </c>
      <c r="I582" s="9" t="n">
        <f aca="false">C582+H582</f>
        <v>45854</v>
      </c>
      <c r="J582" s="5" t="n">
        <v>-2</v>
      </c>
      <c r="K582" s="9" t="n">
        <f aca="false">I582+J582</f>
        <v>45852</v>
      </c>
      <c r="L582" s="5" t="n">
        <v>46</v>
      </c>
      <c r="M582" s="10" t="n">
        <f aca="false">INDEX(Dim_Supplier!$F$2:$F$21,MATCH(B582,Dim_Supplier!$A$2:$A$21,0))</f>
        <v>340</v>
      </c>
      <c r="N582" s="11" t="n">
        <v>0.0031</v>
      </c>
      <c r="O582" s="10" t="n">
        <f aca="false">M582*(1+N582)</f>
        <v>341.054</v>
      </c>
      <c r="P582" s="10" t="n">
        <f aca="false">O582*L582</f>
        <v>15688.484</v>
      </c>
      <c r="Q582" s="5" t="s">
        <v>113</v>
      </c>
      <c r="R582" s="5" t="n">
        <v>0</v>
      </c>
      <c r="S582" s="5" t="n">
        <v>45</v>
      </c>
      <c r="T582" s="12" t="n">
        <f aca="false">(O582-M582)/M582</f>
        <v>0.00310000000000009</v>
      </c>
      <c r="U582" s="8" t="n">
        <f aca="false">IF(AND(K582&lt;=I582,R582=0),1,0)</f>
        <v>1</v>
      </c>
      <c r="V582" s="10" t="n">
        <f aca="false">IF(Q582="No",P582,0)</f>
        <v>0</v>
      </c>
    </row>
    <row r="583" customFormat="false" ht="15" hidden="false" customHeight="false" outlineLevel="0" collapsed="false">
      <c r="A583" s="5" t="s">
        <v>717</v>
      </c>
      <c r="B583" s="5" t="s">
        <v>62</v>
      </c>
      <c r="C583" s="7" t="n">
        <v>45860</v>
      </c>
      <c r="D583" s="8" t="str">
        <f aca="false">INDEX(Dim_Supplier!$C$2:$C$21,MATCH(B583,Dim_Supplier!$A$2:$A$21,0))</f>
        <v>Packaging</v>
      </c>
      <c r="E583" s="8" t="str">
        <f aca="false">INDEX(Dim_Supplier!$B$2:$B$21,MATCH(B583,Dim_Supplier!$A$2:$A$21,0))</f>
        <v>Trillium Packaging Solutions</v>
      </c>
      <c r="F583" s="5" t="s">
        <v>117</v>
      </c>
      <c r="G583" s="5" t="s">
        <v>125</v>
      </c>
      <c r="H583" s="8" t="n">
        <f aca="false">INDEX(Lookup_Tables!$B$2:$B$5,MATCH(D583,Lookup_Tables!$A$2:$A$5,0))</f>
        <v>14</v>
      </c>
      <c r="I583" s="9" t="n">
        <f aca="false">C583+H583</f>
        <v>45874</v>
      </c>
      <c r="J583" s="5" t="n">
        <v>-1</v>
      </c>
      <c r="K583" s="9" t="n">
        <f aca="false">I583+J583</f>
        <v>45873</v>
      </c>
      <c r="L583" s="5" t="n">
        <v>1070</v>
      </c>
      <c r="M583" s="10" t="n">
        <f aca="false">INDEX(Dim_Supplier!$F$2:$F$21,MATCH(B583,Dim_Supplier!$A$2:$A$21,0))</f>
        <v>5.6</v>
      </c>
      <c r="N583" s="11" t="n">
        <v>0.0647</v>
      </c>
      <c r="O583" s="10" t="n">
        <f aca="false">M583*(1+N583)</f>
        <v>5.96232</v>
      </c>
      <c r="P583" s="10" t="n">
        <f aca="false">O583*L583</f>
        <v>6379.6824</v>
      </c>
      <c r="Q583" s="5" t="s">
        <v>113</v>
      </c>
      <c r="R583" s="5" t="n">
        <v>0</v>
      </c>
      <c r="S583" s="5" t="n">
        <v>45</v>
      </c>
      <c r="T583" s="12" t="n">
        <f aca="false">(O583-M583)/M583</f>
        <v>0.0646999999999999</v>
      </c>
      <c r="U583" s="8" t="n">
        <f aca="false">IF(AND(K583&lt;=I583,R583=0),1,0)</f>
        <v>1</v>
      </c>
      <c r="V583" s="10" t="n">
        <f aca="false">IF(Q583="No",P583,0)</f>
        <v>0</v>
      </c>
    </row>
    <row r="584" customFormat="false" ht="15" hidden="false" customHeight="false" outlineLevel="0" collapsed="false">
      <c r="A584" s="5" t="s">
        <v>718</v>
      </c>
      <c r="B584" s="5" t="s">
        <v>79</v>
      </c>
      <c r="C584" s="7" t="n">
        <v>45627</v>
      </c>
      <c r="D584" s="8" t="str">
        <f aca="false">INDEX(Dim_Supplier!$C$2:$C$21,MATCH(B584,Dim_Supplier!$A$2:$A$21,0))</f>
        <v>Logistics</v>
      </c>
      <c r="E584" s="8" t="str">
        <f aca="false">INDEX(Dim_Supplier!$B$2:$B$21,MATCH(B584,Dim_Supplier!$A$2:$A$21,0))</f>
        <v>Niagara Freight Solutions</v>
      </c>
      <c r="F584" s="5" t="s">
        <v>237</v>
      </c>
      <c r="G584" s="5" t="s">
        <v>129</v>
      </c>
      <c r="H584" s="8" t="n">
        <f aca="false">INDEX(Lookup_Tables!$B$2:$B$5,MATCH(D584,Lookup_Tables!$A$2:$A$5,0))</f>
        <v>5</v>
      </c>
      <c r="I584" s="9" t="n">
        <f aca="false">C584+H584</f>
        <v>45632</v>
      </c>
      <c r="J584" s="5" t="n">
        <v>1</v>
      </c>
      <c r="K584" s="9" t="n">
        <f aca="false">I584+J584</f>
        <v>45633</v>
      </c>
      <c r="L584" s="5" t="n">
        <v>38</v>
      </c>
      <c r="M584" s="10" t="n">
        <f aca="false">INDEX(Dim_Supplier!$F$2:$F$21,MATCH(B584,Dim_Supplier!$A$2:$A$21,0))</f>
        <v>340</v>
      </c>
      <c r="N584" s="11" t="n">
        <v>0.0299</v>
      </c>
      <c r="O584" s="10" t="n">
        <f aca="false">M584*(1+N584)</f>
        <v>350.166</v>
      </c>
      <c r="P584" s="10" t="n">
        <f aca="false">O584*L584</f>
        <v>13306.308</v>
      </c>
      <c r="Q584" s="5" t="s">
        <v>113</v>
      </c>
      <c r="R584" s="5" t="n">
        <v>0</v>
      </c>
      <c r="S584" s="5" t="n">
        <v>30</v>
      </c>
      <c r="T584" s="12" t="n">
        <f aca="false">(O584-M584)/M584</f>
        <v>0.0299</v>
      </c>
      <c r="U584" s="8" t="n">
        <f aca="false">IF(AND(K584&lt;=I584,R584=0),1,0)</f>
        <v>0</v>
      </c>
      <c r="V584" s="10" t="n">
        <f aca="false">IF(Q584="No",P584,0)</f>
        <v>0</v>
      </c>
    </row>
    <row r="585" customFormat="false" ht="15" hidden="false" customHeight="false" outlineLevel="0" collapsed="false">
      <c r="A585" s="5" t="s">
        <v>719</v>
      </c>
      <c r="B585" s="5" t="s">
        <v>46</v>
      </c>
      <c r="C585" s="7" t="n">
        <v>45444</v>
      </c>
      <c r="D585" s="8" t="str">
        <f aca="false">INDEX(Dim_Supplier!$C$2:$C$21,MATCH(B585,Dim_Supplier!$A$2:$A$21,0))</f>
        <v>Raw Materials</v>
      </c>
      <c r="E585" s="8" t="str">
        <f aca="false">INDEX(Dim_Supplier!$B$2:$B$21,MATCH(B585,Dim_Supplier!$A$2:$A$21,0))</f>
        <v>Niagara Alloy Supply</v>
      </c>
      <c r="F585" s="5" t="s">
        <v>142</v>
      </c>
      <c r="G585" s="5" t="s">
        <v>120</v>
      </c>
      <c r="H585" s="8" t="n">
        <f aca="false">INDEX(Lookup_Tables!$B$2:$B$5,MATCH(D585,Lookup_Tables!$A$2:$A$5,0))</f>
        <v>21</v>
      </c>
      <c r="I585" s="9" t="n">
        <f aca="false">C585+H585</f>
        <v>45465</v>
      </c>
      <c r="J585" s="5" t="n">
        <v>-3</v>
      </c>
      <c r="K585" s="9" t="n">
        <f aca="false">I585+J585</f>
        <v>45462</v>
      </c>
      <c r="L585" s="5" t="n">
        <v>500</v>
      </c>
      <c r="M585" s="10" t="n">
        <f aca="false">INDEX(Dim_Supplier!$F$2:$F$21,MATCH(B585,Dim_Supplier!$A$2:$A$21,0))</f>
        <v>46.5</v>
      </c>
      <c r="N585" s="11" t="n">
        <v>0.0467</v>
      </c>
      <c r="O585" s="10" t="n">
        <f aca="false">M585*(1+N585)</f>
        <v>48.67155</v>
      </c>
      <c r="P585" s="10" t="n">
        <f aca="false">O585*L585</f>
        <v>24335.775</v>
      </c>
      <c r="Q585" s="5" t="s">
        <v>113</v>
      </c>
      <c r="R585" s="5" t="n">
        <v>0</v>
      </c>
      <c r="S585" s="5" t="n">
        <v>30</v>
      </c>
      <c r="T585" s="12" t="n">
        <f aca="false">(O585-M585)/M585</f>
        <v>0.0466999999999999</v>
      </c>
      <c r="U585" s="8" t="n">
        <f aca="false">IF(AND(K585&lt;=I585,R585=0),1,0)</f>
        <v>1</v>
      </c>
      <c r="V585" s="10" t="n">
        <f aca="false">IF(Q585="No",P585,0)</f>
        <v>0</v>
      </c>
    </row>
    <row r="586" customFormat="false" ht="15" hidden="false" customHeight="false" outlineLevel="0" collapsed="false">
      <c r="A586" s="5" t="s">
        <v>720</v>
      </c>
      <c r="B586" s="5" t="s">
        <v>79</v>
      </c>
      <c r="C586" s="7" t="n">
        <v>45987</v>
      </c>
      <c r="D586" s="8" t="str">
        <f aca="false">INDEX(Dim_Supplier!$C$2:$C$21,MATCH(B586,Dim_Supplier!$A$2:$A$21,0))</f>
        <v>Logistics</v>
      </c>
      <c r="E586" s="8" t="str">
        <f aca="false">INDEX(Dim_Supplier!$B$2:$B$21,MATCH(B586,Dim_Supplier!$A$2:$A$21,0))</f>
        <v>Niagara Freight Solutions</v>
      </c>
      <c r="F586" s="5" t="s">
        <v>146</v>
      </c>
      <c r="G586" s="5" t="s">
        <v>125</v>
      </c>
      <c r="H586" s="8" t="n">
        <f aca="false">INDEX(Lookup_Tables!$B$2:$B$5,MATCH(D586,Lookup_Tables!$A$2:$A$5,0))</f>
        <v>5</v>
      </c>
      <c r="I586" s="9" t="n">
        <f aca="false">C586+H586</f>
        <v>45992</v>
      </c>
      <c r="J586" s="5" t="n">
        <v>-3</v>
      </c>
      <c r="K586" s="9" t="n">
        <f aca="false">I586+J586</f>
        <v>45989</v>
      </c>
      <c r="L586" s="5" t="n">
        <v>6</v>
      </c>
      <c r="M586" s="10" t="n">
        <f aca="false">INDEX(Dim_Supplier!$F$2:$F$21,MATCH(B586,Dim_Supplier!$A$2:$A$21,0))</f>
        <v>340</v>
      </c>
      <c r="N586" s="11" t="n">
        <v>-0.0335</v>
      </c>
      <c r="O586" s="10" t="n">
        <f aca="false">M586*(1+N586)</f>
        <v>328.61</v>
      </c>
      <c r="P586" s="10" t="n">
        <f aca="false">O586*L586</f>
        <v>1971.66</v>
      </c>
      <c r="Q586" s="5" t="s">
        <v>113</v>
      </c>
      <c r="R586" s="5" t="n">
        <v>0</v>
      </c>
      <c r="S586" s="5" t="n">
        <v>45</v>
      </c>
      <c r="T586" s="12" t="n">
        <f aca="false">(O586-M586)/M586</f>
        <v>-0.0335</v>
      </c>
      <c r="U586" s="8" t="n">
        <f aca="false">IF(AND(K586&lt;=I586,R586=0),1,0)</f>
        <v>1</v>
      </c>
      <c r="V586" s="10" t="n">
        <f aca="false">IF(Q586="No",P586,0)</f>
        <v>0</v>
      </c>
    </row>
    <row r="587" customFormat="false" ht="15" hidden="false" customHeight="false" outlineLevel="0" collapsed="false">
      <c r="A587" s="5" t="s">
        <v>721</v>
      </c>
      <c r="B587" s="5" t="s">
        <v>82</v>
      </c>
      <c r="C587" s="7" t="n">
        <v>46164</v>
      </c>
      <c r="D587" s="8" t="str">
        <f aca="false">INDEX(Dim_Supplier!$C$2:$C$21,MATCH(B587,Dim_Supplier!$A$2:$A$21,0))</f>
        <v>Logistics</v>
      </c>
      <c r="E587" s="8" t="str">
        <f aca="false">INDEX(Dim_Supplier!$B$2:$B$21,MATCH(B587,Dim_Supplier!$A$2:$A$21,0))</f>
        <v>Maple Route Logistics</v>
      </c>
      <c r="F587" s="5" t="s">
        <v>146</v>
      </c>
      <c r="G587" s="5" t="s">
        <v>129</v>
      </c>
      <c r="H587" s="8" t="n">
        <f aca="false">INDEX(Lookup_Tables!$B$2:$B$5,MATCH(D587,Lookup_Tables!$A$2:$A$5,0))</f>
        <v>5</v>
      </c>
      <c r="I587" s="9" t="n">
        <f aca="false">C587+H587</f>
        <v>46169</v>
      </c>
      <c r="J587" s="5" t="n">
        <v>-3</v>
      </c>
      <c r="K587" s="9" t="n">
        <f aca="false">I587+J587</f>
        <v>46166</v>
      </c>
      <c r="L587" s="5" t="n">
        <v>4</v>
      </c>
      <c r="M587" s="10" t="n">
        <f aca="false">INDEX(Dim_Supplier!$F$2:$F$21,MATCH(B587,Dim_Supplier!$A$2:$A$21,0))</f>
        <v>285</v>
      </c>
      <c r="N587" s="11" t="n">
        <v>0.0485</v>
      </c>
      <c r="O587" s="10" t="n">
        <f aca="false">M587*(1+N587)</f>
        <v>298.8225</v>
      </c>
      <c r="P587" s="10" t="n">
        <f aca="false">O587*L587</f>
        <v>1195.29</v>
      </c>
      <c r="Q587" s="5" t="s">
        <v>113</v>
      </c>
      <c r="R587" s="5" t="n">
        <v>0</v>
      </c>
      <c r="S587" s="5" t="n">
        <v>60</v>
      </c>
      <c r="T587" s="12" t="n">
        <f aca="false">(O587-M587)/M587</f>
        <v>0.0485</v>
      </c>
      <c r="U587" s="8" t="n">
        <f aca="false">IF(AND(K587&lt;=I587,R587=0),1,0)</f>
        <v>1</v>
      </c>
      <c r="V587" s="10" t="n">
        <f aca="false">IF(Q587="No",P587,0)</f>
        <v>0</v>
      </c>
    </row>
    <row r="588" customFormat="false" ht="15" hidden="false" customHeight="false" outlineLevel="0" collapsed="false">
      <c r="A588" s="5" t="s">
        <v>722</v>
      </c>
      <c r="B588" s="5" t="s">
        <v>46</v>
      </c>
      <c r="C588" s="7" t="n">
        <v>45580</v>
      </c>
      <c r="D588" s="8" t="str">
        <f aca="false">INDEX(Dim_Supplier!$C$2:$C$21,MATCH(B588,Dim_Supplier!$A$2:$A$21,0))</f>
        <v>Raw Materials</v>
      </c>
      <c r="E588" s="8" t="str">
        <f aca="false">INDEX(Dim_Supplier!$B$2:$B$21,MATCH(B588,Dim_Supplier!$A$2:$A$21,0))</f>
        <v>Niagara Alloy Supply</v>
      </c>
      <c r="F588" s="5" t="s">
        <v>148</v>
      </c>
      <c r="G588" s="5" t="s">
        <v>112</v>
      </c>
      <c r="H588" s="8" t="n">
        <f aca="false">INDEX(Lookup_Tables!$B$2:$B$5,MATCH(D588,Lookup_Tables!$A$2:$A$5,0))</f>
        <v>21</v>
      </c>
      <c r="I588" s="9" t="n">
        <f aca="false">C588+H588</f>
        <v>45601</v>
      </c>
      <c r="J588" s="5" t="n">
        <v>-3</v>
      </c>
      <c r="K588" s="9" t="n">
        <f aca="false">I588+J588</f>
        <v>45598</v>
      </c>
      <c r="L588" s="5" t="n">
        <v>1380</v>
      </c>
      <c r="M588" s="10" t="n">
        <f aca="false">INDEX(Dim_Supplier!$F$2:$F$21,MATCH(B588,Dim_Supplier!$A$2:$A$21,0))</f>
        <v>46.5</v>
      </c>
      <c r="N588" s="11" t="n">
        <v>0.0411</v>
      </c>
      <c r="O588" s="10" t="n">
        <f aca="false">M588*(1+N588)</f>
        <v>48.41115</v>
      </c>
      <c r="P588" s="10" t="n">
        <f aca="false">O588*L588</f>
        <v>66807.387</v>
      </c>
      <c r="Q588" s="5" t="s">
        <v>113</v>
      </c>
      <c r="R588" s="5" t="n">
        <v>0</v>
      </c>
      <c r="S588" s="5" t="n">
        <v>30</v>
      </c>
      <c r="T588" s="12" t="n">
        <f aca="false">(O588-M588)/M588</f>
        <v>0.0411</v>
      </c>
      <c r="U588" s="8" t="n">
        <f aca="false">IF(AND(K588&lt;=I588,R588=0),1,0)</f>
        <v>1</v>
      </c>
      <c r="V588" s="10" t="n">
        <f aca="false">IF(Q588="No",P588,0)</f>
        <v>0</v>
      </c>
    </row>
    <row r="589" customFormat="false" ht="15" hidden="false" customHeight="false" outlineLevel="0" collapsed="false">
      <c r="A589" s="5" t="s">
        <v>723</v>
      </c>
      <c r="B589" s="5" t="s">
        <v>68</v>
      </c>
      <c r="C589" s="7" t="n">
        <v>45970</v>
      </c>
      <c r="D589" s="8" t="str">
        <f aca="false">INDEX(Dim_Supplier!$C$2:$C$21,MATCH(B589,Dim_Supplier!$A$2:$A$21,0))</f>
        <v>MRO</v>
      </c>
      <c r="E589" s="8" t="str">
        <f aca="false">INDEX(Dim_Supplier!$B$2:$B$21,MATCH(B589,Dim_Supplier!$A$2:$A$21,0))</f>
        <v>Precision Tool &amp; Supply</v>
      </c>
      <c r="F589" s="5" t="s">
        <v>164</v>
      </c>
      <c r="G589" s="5" t="s">
        <v>125</v>
      </c>
      <c r="H589" s="8" t="n">
        <f aca="false">INDEX(Lookup_Tables!$B$2:$B$5,MATCH(D589,Lookup_Tables!$A$2:$A$5,0))</f>
        <v>10</v>
      </c>
      <c r="I589" s="9" t="n">
        <f aca="false">C589+H589</f>
        <v>45980</v>
      </c>
      <c r="J589" s="5" t="n">
        <v>-1</v>
      </c>
      <c r="K589" s="9" t="n">
        <f aca="false">I589+J589</f>
        <v>45979</v>
      </c>
      <c r="L589" s="5" t="n">
        <v>97</v>
      </c>
      <c r="M589" s="10" t="n">
        <f aca="false">INDEX(Dim_Supplier!$F$2:$F$21,MATCH(B589,Dim_Supplier!$A$2:$A$21,0))</f>
        <v>22.4</v>
      </c>
      <c r="N589" s="11" t="n">
        <v>0.0295</v>
      </c>
      <c r="O589" s="10" t="n">
        <f aca="false">M589*(1+N589)</f>
        <v>23.0608</v>
      </c>
      <c r="P589" s="10" t="n">
        <f aca="false">O589*L589</f>
        <v>2236.8976</v>
      </c>
      <c r="Q589" s="5" t="s">
        <v>113</v>
      </c>
      <c r="R589" s="5" t="n">
        <v>0</v>
      </c>
      <c r="S589" s="5" t="n">
        <v>60</v>
      </c>
      <c r="T589" s="12" t="n">
        <f aca="false">(O589-M589)/M589</f>
        <v>0.0295000000000001</v>
      </c>
      <c r="U589" s="8" t="n">
        <f aca="false">IF(AND(K589&lt;=I589,R589=0),1,0)</f>
        <v>1</v>
      </c>
      <c r="V589" s="10" t="n">
        <f aca="false">IF(Q589="No",P589,0)</f>
        <v>0</v>
      </c>
    </row>
    <row r="590" customFormat="false" ht="15" hidden="false" customHeight="false" outlineLevel="0" collapsed="false">
      <c r="A590" s="5" t="s">
        <v>724</v>
      </c>
      <c r="B590" s="5" t="s">
        <v>75</v>
      </c>
      <c r="C590" s="7" t="n">
        <v>45429</v>
      </c>
      <c r="D590" s="8" t="str">
        <f aca="false">INDEX(Dim_Supplier!$C$2:$C$21,MATCH(B590,Dim_Supplier!$A$2:$A$21,0))</f>
        <v>MRO</v>
      </c>
      <c r="E590" s="8" t="str">
        <f aca="false">INDEX(Dim_Supplier!$B$2:$B$21,MATCH(B590,Dim_Supplier!$A$2:$A$21,0))</f>
        <v>Sterling Lubricants Inc.</v>
      </c>
      <c r="F590" s="5" t="s">
        <v>127</v>
      </c>
      <c r="G590" s="5" t="s">
        <v>129</v>
      </c>
      <c r="H590" s="8" t="n">
        <f aca="false">INDEX(Lookup_Tables!$B$2:$B$5,MATCH(D590,Lookup_Tables!$A$2:$A$5,0))</f>
        <v>10</v>
      </c>
      <c r="I590" s="9" t="n">
        <f aca="false">C590+H590</f>
        <v>45439</v>
      </c>
      <c r="J590" s="5" t="n">
        <v>-4</v>
      </c>
      <c r="K590" s="9" t="n">
        <f aca="false">I590+J590</f>
        <v>45435</v>
      </c>
      <c r="L590" s="5" t="n">
        <v>129</v>
      </c>
      <c r="M590" s="10" t="n">
        <f aca="false">INDEX(Dim_Supplier!$F$2:$F$21,MATCH(B590,Dim_Supplier!$A$2:$A$21,0))</f>
        <v>27.1</v>
      </c>
      <c r="N590" s="11" t="n">
        <v>0.011</v>
      </c>
      <c r="O590" s="10" t="n">
        <f aca="false">M590*(1+N590)</f>
        <v>27.3981</v>
      </c>
      <c r="P590" s="10" t="n">
        <f aca="false">O590*L590</f>
        <v>3534.3549</v>
      </c>
      <c r="Q590" s="5" t="s">
        <v>113</v>
      </c>
      <c r="R590" s="5" t="n">
        <v>0</v>
      </c>
      <c r="S590" s="5" t="n">
        <v>30</v>
      </c>
      <c r="T590" s="12" t="n">
        <f aca="false">(O590-M590)/M590</f>
        <v>0.0109999999999999</v>
      </c>
      <c r="U590" s="8" t="n">
        <f aca="false">IF(AND(K590&lt;=I590,R590=0),1,0)</f>
        <v>1</v>
      </c>
      <c r="V590" s="10" t="n">
        <f aca="false">IF(Q590="No",P590,0)</f>
        <v>0</v>
      </c>
    </row>
    <row r="591" customFormat="false" ht="15" hidden="false" customHeight="false" outlineLevel="0" collapsed="false">
      <c r="A591" s="5" t="s">
        <v>725</v>
      </c>
      <c r="B591" s="5" t="s">
        <v>46</v>
      </c>
      <c r="C591" s="7" t="n">
        <v>46117</v>
      </c>
      <c r="D591" s="8" t="str">
        <f aca="false">INDEX(Dim_Supplier!$C$2:$C$21,MATCH(B591,Dim_Supplier!$A$2:$A$21,0))</f>
        <v>Raw Materials</v>
      </c>
      <c r="E591" s="8" t="str">
        <f aca="false">INDEX(Dim_Supplier!$B$2:$B$21,MATCH(B591,Dim_Supplier!$A$2:$A$21,0))</f>
        <v>Niagara Alloy Supply</v>
      </c>
      <c r="F591" s="5" t="s">
        <v>142</v>
      </c>
      <c r="G591" s="5" t="s">
        <v>125</v>
      </c>
      <c r="H591" s="8" t="n">
        <f aca="false">INDEX(Lookup_Tables!$B$2:$B$5,MATCH(D591,Lookup_Tables!$A$2:$A$5,0))</f>
        <v>21</v>
      </c>
      <c r="I591" s="9" t="n">
        <f aca="false">C591+H591</f>
        <v>46138</v>
      </c>
      <c r="J591" s="5" t="n">
        <v>1</v>
      </c>
      <c r="K591" s="9" t="n">
        <f aca="false">I591+J591</f>
        <v>46139</v>
      </c>
      <c r="L591" s="5" t="n">
        <v>971</v>
      </c>
      <c r="M591" s="10" t="n">
        <f aca="false">INDEX(Dim_Supplier!$F$2:$F$21,MATCH(B591,Dim_Supplier!$A$2:$A$21,0))</f>
        <v>46.5</v>
      </c>
      <c r="N591" s="11" t="n">
        <v>0.0109</v>
      </c>
      <c r="O591" s="10" t="n">
        <f aca="false">M591*(1+N591)</f>
        <v>47.00685</v>
      </c>
      <c r="P591" s="10" t="n">
        <f aca="false">O591*L591</f>
        <v>45643.65135</v>
      </c>
      <c r="Q591" s="5" t="s">
        <v>113</v>
      </c>
      <c r="R591" s="5" t="n">
        <v>0</v>
      </c>
      <c r="S591" s="5" t="n">
        <v>30</v>
      </c>
      <c r="T591" s="12" t="n">
        <f aca="false">(O591-M591)/M591</f>
        <v>0.0108999999999998</v>
      </c>
      <c r="U591" s="8" t="n">
        <f aca="false">IF(AND(K591&lt;=I591,R591=0),1,0)</f>
        <v>0</v>
      </c>
      <c r="V591" s="10" t="n">
        <f aca="false">IF(Q591="No",P591,0)</f>
        <v>0</v>
      </c>
    </row>
    <row r="592" customFormat="false" ht="15" hidden="false" customHeight="false" outlineLevel="0" collapsed="false">
      <c r="A592" s="5" t="s">
        <v>726</v>
      </c>
      <c r="B592" s="5" t="s">
        <v>79</v>
      </c>
      <c r="C592" s="7" t="n">
        <v>45685</v>
      </c>
      <c r="D592" s="8" t="str">
        <f aca="false">INDEX(Dim_Supplier!$C$2:$C$21,MATCH(B592,Dim_Supplier!$A$2:$A$21,0))</f>
        <v>Logistics</v>
      </c>
      <c r="E592" s="8" t="str">
        <f aca="false">INDEX(Dim_Supplier!$B$2:$B$21,MATCH(B592,Dim_Supplier!$A$2:$A$21,0))</f>
        <v>Niagara Freight Solutions</v>
      </c>
      <c r="F592" s="5" t="s">
        <v>146</v>
      </c>
      <c r="G592" s="5" t="s">
        <v>112</v>
      </c>
      <c r="H592" s="8" t="n">
        <f aca="false">INDEX(Lookup_Tables!$B$2:$B$5,MATCH(D592,Lookup_Tables!$A$2:$A$5,0))</f>
        <v>5</v>
      </c>
      <c r="I592" s="9" t="n">
        <f aca="false">C592+H592</f>
        <v>45690</v>
      </c>
      <c r="J592" s="5" t="n">
        <v>-1</v>
      </c>
      <c r="K592" s="9" t="n">
        <f aca="false">I592+J592</f>
        <v>45689</v>
      </c>
      <c r="L592" s="5" t="n">
        <v>37</v>
      </c>
      <c r="M592" s="10" t="n">
        <f aca="false">INDEX(Dim_Supplier!$F$2:$F$21,MATCH(B592,Dim_Supplier!$A$2:$A$21,0))</f>
        <v>340</v>
      </c>
      <c r="N592" s="11" t="n">
        <v>0.0351</v>
      </c>
      <c r="O592" s="10" t="n">
        <f aca="false">M592*(1+N592)</f>
        <v>351.934</v>
      </c>
      <c r="P592" s="10" t="n">
        <f aca="false">O592*L592</f>
        <v>13021.558</v>
      </c>
      <c r="Q592" s="5" t="s">
        <v>113</v>
      </c>
      <c r="R592" s="5" t="n">
        <v>0</v>
      </c>
      <c r="S592" s="5" t="n">
        <v>45</v>
      </c>
      <c r="T592" s="12" t="n">
        <f aca="false">(O592-M592)/M592</f>
        <v>0.0350999999999999</v>
      </c>
      <c r="U592" s="8" t="n">
        <f aca="false">IF(AND(K592&lt;=I592,R592=0),1,0)</f>
        <v>1</v>
      </c>
      <c r="V592" s="10" t="n">
        <f aca="false">IF(Q592="No",P592,0)</f>
        <v>0</v>
      </c>
    </row>
    <row r="593" customFormat="false" ht="15" hidden="false" customHeight="false" outlineLevel="0" collapsed="false">
      <c r="A593" s="5" t="s">
        <v>727</v>
      </c>
      <c r="B593" s="5" t="s">
        <v>54</v>
      </c>
      <c r="C593" s="7" t="n">
        <v>45851</v>
      </c>
      <c r="D593" s="8" t="str">
        <f aca="false">INDEX(Dim_Supplier!$C$2:$C$21,MATCH(B593,Dim_Supplier!$A$2:$A$21,0))</f>
        <v>Raw Materials</v>
      </c>
      <c r="E593" s="8" t="str">
        <f aca="false">INDEX(Dim_Supplier!$B$2:$B$21,MATCH(B593,Dim_Supplier!$A$2:$A$21,0))</f>
        <v>Northern Resin Solutions</v>
      </c>
      <c r="F593" s="5" t="s">
        <v>144</v>
      </c>
      <c r="G593" s="5" t="s">
        <v>120</v>
      </c>
      <c r="H593" s="8" t="n">
        <f aca="false">INDEX(Lookup_Tables!$B$2:$B$5,MATCH(D593,Lookup_Tables!$A$2:$A$5,0))</f>
        <v>21</v>
      </c>
      <c r="I593" s="9" t="n">
        <f aca="false">C593+H593</f>
        <v>45872</v>
      </c>
      <c r="J593" s="5" t="n">
        <v>0</v>
      </c>
      <c r="K593" s="9" t="n">
        <f aca="false">I593+J593</f>
        <v>45872</v>
      </c>
      <c r="L593" s="5" t="n">
        <v>1089</v>
      </c>
      <c r="M593" s="10" t="n">
        <f aca="false">INDEX(Dim_Supplier!$F$2:$F$21,MATCH(B593,Dim_Supplier!$A$2:$A$21,0))</f>
        <v>38.9</v>
      </c>
      <c r="N593" s="11" t="n">
        <v>0.0512</v>
      </c>
      <c r="O593" s="10" t="n">
        <f aca="false">M593*(1+N593)</f>
        <v>40.89168</v>
      </c>
      <c r="P593" s="10" t="n">
        <f aca="false">O593*L593</f>
        <v>44531.03952</v>
      </c>
      <c r="Q593" s="5" t="s">
        <v>113</v>
      </c>
      <c r="R593" s="5" t="n">
        <v>0</v>
      </c>
      <c r="S593" s="5" t="n">
        <v>30</v>
      </c>
      <c r="T593" s="12" t="n">
        <f aca="false">(O593-M593)/M593</f>
        <v>0.0511999999999999</v>
      </c>
      <c r="U593" s="8" t="n">
        <f aca="false">IF(AND(K593&lt;=I593,R593=0),1,0)</f>
        <v>1</v>
      </c>
      <c r="V593" s="10" t="n">
        <f aca="false">IF(Q593="No",P593,0)</f>
        <v>0</v>
      </c>
    </row>
    <row r="594" customFormat="false" ht="15" hidden="false" customHeight="false" outlineLevel="0" collapsed="false">
      <c r="A594" s="5" t="s">
        <v>728</v>
      </c>
      <c r="B594" s="5" t="s">
        <v>75</v>
      </c>
      <c r="C594" s="7" t="n">
        <v>45437</v>
      </c>
      <c r="D594" s="8" t="str">
        <f aca="false">INDEX(Dim_Supplier!$C$2:$C$21,MATCH(B594,Dim_Supplier!$A$2:$A$21,0))</f>
        <v>MRO</v>
      </c>
      <c r="E594" s="8" t="str">
        <f aca="false">INDEX(Dim_Supplier!$B$2:$B$21,MATCH(B594,Dim_Supplier!$A$2:$A$21,0))</f>
        <v>Sterling Lubricants Inc.</v>
      </c>
      <c r="F594" s="5" t="s">
        <v>132</v>
      </c>
      <c r="G594" s="5" t="s">
        <v>120</v>
      </c>
      <c r="H594" s="8" t="n">
        <f aca="false">INDEX(Lookup_Tables!$B$2:$B$5,MATCH(D594,Lookup_Tables!$A$2:$A$5,0))</f>
        <v>10</v>
      </c>
      <c r="I594" s="9" t="n">
        <f aca="false">C594+H594</f>
        <v>45447</v>
      </c>
      <c r="J594" s="5" t="n">
        <v>-4</v>
      </c>
      <c r="K594" s="9" t="n">
        <f aca="false">I594+J594</f>
        <v>45443</v>
      </c>
      <c r="L594" s="5" t="n">
        <v>161</v>
      </c>
      <c r="M594" s="10" t="n">
        <f aca="false">INDEX(Dim_Supplier!$F$2:$F$21,MATCH(B594,Dim_Supplier!$A$2:$A$21,0))</f>
        <v>27.1</v>
      </c>
      <c r="N594" s="11" t="n">
        <v>0.0218</v>
      </c>
      <c r="O594" s="10" t="n">
        <f aca="false">M594*(1+N594)</f>
        <v>27.69078</v>
      </c>
      <c r="P594" s="10" t="n">
        <f aca="false">O594*L594</f>
        <v>4458.21558</v>
      </c>
      <c r="Q594" s="5" t="s">
        <v>113</v>
      </c>
      <c r="R594" s="5" t="n">
        <v>0</v>
      </c>
      <c r="S594" s="5" t="n">
        <v>45</v>
      </c>
      <c r="T594" s="12" t="n">
        <f aca="false">(O594-M594)/M594</f>
        <v>0.0218000000000001</v>
      </c>
      <c r="U594" s="8" t="n">
        <f aca="false">IF(AND(K594&lt;=I594,R594=0),1,0)</f>
        <v>1</v>
      </c>
      <c r="V594" s="10" t="n">
        <f aca="false">IF(Q594="No",P594,0)</f>
        <v>0</v>
      </c>
    </row>
    <row r="595" customFormat="false" ht="15" hidden="false" customHeight="false" outlineLevel="0" collapsed="false">
      <c r="A595" s="5" t="s">
        <v>729</v>
      </c>
      <c r="B595" s="5" t="s">
        <v>88</v>
      </c>
      <c r="C595" s="7" t="n">
        <v>45371</v>
      </c>
      <c r="D595" s="8" t="str">
        <f aca="false">INDEX(Dim_Supplier!$C$2:$C$21,MATCH(B595,Dim_Supplier!$A$2:$A$21,0))</f>
        <v>Logistics</v>
      </c>
      <c r="E595" s="8" t="str">
        <f aca="false">INDEX(Dim_Supplier!$B$2:$B$21,MATCH(B595,Dim_Supplier!$A$2:$A$21,0))</f>
        <v>Summit Last-Mile Delivery</v>
      </c>
      <c r="F595" s="5" t="s">
        <v>185</v>
      </c>
      <c r="G595" s="5" t="s">
        <v>120</v>
      </c>
      <c r="H595" s="8" t="n">
        <f aca="false">INDEX(Lookup_Tables!$B$2:$B$5,MATCH(D595,Lookup_Tables!$A$2:$A$5,0))</f>
        <v>5</v>
      </c>
      <c r="I595" s="9" t="n">
        <f aca="false">C595+H595</f>
        <v>45376</v>
      </c>
      <c r="J595" s="5" t="n">
        <v>-4</v>
      </c>
      <c r="K595" s="9" t="n">
        <f aca="false">I595+J595</f>
        <v>45372</v>
      </c>
      <c r="L595" s="5" t="n">
        <v>35</v>
      </c>
      <c r="M595" s="10" t="n">
        <f aca="false">INDEX(Dim_Supplier!$F$2:$F$21,MATCH(B595,Dim_Supplier!$A$2:$A$21,0))</f>
        <v>95</v>
      </c>
      <c r="N595" s="11" t="n">
        <v>0.0118</v>
      </c>
      <c r="O595" s="10" t="n">
        <f aca="false">M595*(1+N595)</f>
        <v>96.121</v>
      </c>
      <c r="P595" s="10" t="n">
        <f aca="false">O595*L595</f>
        <v>3364.235</v>
      </c>
      <c r="Q595" s="5" t="s">
        <v>113</v>
      </c>
      <c r="R595" s="5" t="n">
        <v>0</v>
      </c>
      <c r="S595" s="5" t="n">
        <v>45</v>
      </c>
      <c r="T595" s="12" t="n">
        <f aca="false">(O595-M595)/M595</f>
        <v>0.0118000000000001</v>
      </c>
      <c r="U595" s="8" t="n">
        <f aca="false">IF(AND(K595&lt;=I595,R595=0),1,0)</f>
        <v>1</v>
      </c>
      <c r="V595" s="10" t="n">
        <f aca="false">IF(Q595="No",P595,0)</f>
        <v>0</v>
      </c>
    </row>
    <row r="596" customFormat="false" ht="15" hidden="false" customHeight="false" outlineLevel="0" collapsed="false">
      <c r="A596" s="5" t="s">
        <v>730</v>
      </c>
      <c r="B596" s="5" t="s">
        <v>62</v>
      </c>
      <c r="C596" s="7" t="n">
        <v>46043</v>
      </c>
      <c r="D596" s="8" t="str">
        <f aca="false">INDEX(Dim_Supplier!$C$2:$C$21,MATCH(B596,Dim_Supplier!$A$2:$A$21,0))</f>
        <v>Packaging</v>
      </c>
      <c r="E596" s="8" t="str">
        <f aca="false">INDEX(Dim_Supplier!$B$2:$B$21,MATCH(B596,Dim_Supplier!$A$2:$A$21,0))</f>
        <v>Trillium Packaging Solutions</v>
      </c>
      <c r="F596" s="5" t="s">
        <v>119</v>
      </c>
      <c r="G596" s="5" t="s">
        <v>125</v>
      </c>
      <c r="H596" s="8" t="n">
        <f aca="false">INDEX(Lookup_Tables!$B$2:$B$5,MATCH(D596,Lookup_Tables!$A$2:$A$5,0))</f>
        <v>14</v>
      </c>
      <c r="I596" s="9" t="n">
        <f aca="false">C596+H596</f>
        <v>46057</v>
      </c>
      <c r="J596" s="5" t="n">
        <v>-4</v>
      </c>
      <c r="K596" s="9" t="n">
        <f aca="false">I596+J596</f>
        <v>46053</v>
      </c>
      <c r="L596" s="5" t="n">
        <v>2913</v>
      </c>
      <c r="M596" s="10" t="n">
        <f aca="false">INDEX(Dim_Supplier!$F$2:$F$21,MATCH(B596,Dim_Supplier!$A$2:$A$21,0))</f>
        <v>5.6</v>
      </c>
      <c r="N596" s="11" t="n">
        <v>0.064</v>
      </c>
      <c r="O596" s="10" t="n">
        <f aca="false">M596*(1+N596)</f>
        <v>5.9584</v>
      </c>
      <c r="P596" s="10" t="n">
        <f aca="false">O596*L596</f>
        <v>17356.8192</v>
      </c>
      <c r="Q596" s="5" t="s">
        <v>113</v>
      </c>
      <c r="R596" s="5" t="n">
        <v>0</v>
      </c>
      <c r="S596" s="5" t="n">
        <v>60</v>
      </c>
      <c r="T596" s="12" t="n">
        <f aca="false">(O596-M596)/M596</f>
        <v>0.0640000000000001</v>
      </c>
      <c r="U596" s="8" t="n">
        <f aca="false">IF(AND(K596&lt;=I596,R596=0),1,0)</f>
        <v>1</v>
      </c>
      <c r="V596" s="10" t="n">
        <f aca="false">IF(Q596="No",P596,0)</f>
        <v>0</v>
      </c>
    </row>
    <row r="597" customFormat="false" ht="15" hidden="false" customHeight="false" outlineLevel="0" collapsed="false">
      <c r="A597" s="5" t="s">
        <v>731</v>
      </c>
      <c r="B597" s="5" t="s">
        <v>77</v>
      </c>
      <c r="C597" s="7" t="n">
        <v>46036</v>
      </c>
      <c r="D597" s="8" t="str">
        <f aca="false">INDEX(Dim_Supplier!$C$2:$C$21,MATCH(B597,Dim_Supplier!$A$2:$A$21,0))</f>
        <v>MRO</v>
      </c>
      <c r="E597" s="8" t="str">
        <f aca="false">INDEX(Dim_Supplier!$B$2:$B$21,MATCH(B597,Dim_Supplier!$A$2:$A$21,0))</f>
        <v>Apex Industrial Supply</v>
      </c>
      <c r="F597" s="5" t="s">
        <v>132</v>
      </c>
      <c r="G597" s="5" t="s">
        <v>120</v>
      </c>
      <c r="H597" s="8" t="n">
        <f aca="false">INDEX(Lookup_Tables!$B$2:$B$5,MATCH(D597,Lookup_Tables!$A$2:$A$5,0))</f>
        <v>10</v>
      </c>
      <c r="I597" s="9" t="n">
        <f aca="false">C597+H597</f>
        <v>46046</v>
      </c>
      <c r="J597" s="5" t="n">
        <v>1</v>
      </c>
      <c r="K597" s="9" t="n">
        <f aca="false">I597+J597</f>
        <v>46047</v>
      </c>
      <c r="L597" s="5" t="n">
        <v>48</v>
      </c>
      <c r="M597" s="10" t="n">
        <f aca="false">INDEX(Dim_Supplier!$F$2:$F$21,MATCH(B597,Dim_Supplier!$A$2:$A$21,0))</f>
        <v>24.6</v>
      </c>
      <c r="N597" s="11" t="n">
        <v>0.0585</v>
      </c>
      <c r="O597" s="10" t="n">
        <f aca="false">M597*(1+N597)</f>
        <v>26.0391</v>
      </c>
      <c r="P597" s="10" t="n">
        <f aca="false">O597*L597</f>
        <v>1249.8768</v>
      </c>
      <c r="Q597" s="5" t="s">
        <v>113</v>
      </c>
      <c r="R597" s="5" t="n">
        <v>0</v>
      </c>
      <c r="S597" s="5" t="n">
        <v>30</v>
      </c>
      <c r="T597" s="12" t="n">
        <f aca="false">(O597-M597)/M597</f>
        <v>0.0585</v>
      </c>
      <c r="U597" s="8" t="n">
        <f aca="false">IF(AND(K597&lt;=I597,R597=0),1,0)</f>
        <v>0</v>
      </c>
      <c r="V597" s="10" t="n">
        <f aca="false">IF(Q597="No",P597,0)</f>
        <v>0</v>
      </c>
    </row>
    <row r="598" customFormat="false" ht="15" hidden="false" customHeight="false" outlineLevel="0" collapsed="false">
      <c r="A598" s="5" t="s">
        <v>732</v>
      </c>
      <c r="B598" s="5" t="s">
        <v>77</v>
      </c>
      <c r="C598" s="7" t="n">
        <v>45319</v>
      </c>
      <c r="D598" s="8" t="str">
        <f aca="false">INDEX(Dim_Supplier!$C$2:$C$21,MATCH(B598,Dim_Supplier!$A$2:$A$21,0))</f>
        <v>MRO</v>
      </c>
      <c r="E598" s="8" t="str">
        <f aca="false">INDEX(Dim_Supplier!$B$2:$B$21,MATCH(B598,Dim_Supplier!$A$2:$A$21,0))</f>
        <v>Apex Industrial Supply</v>
      </c>
      <c r="F598" s="5" t="s">
        <v>111</v>
      </c>
      <c r="G598" s="5" t="s">
        <v>125</v>
      </c>
      <c r="H598" s="8" t="n">
        <f aca="false">INDEX(Lookup_Tables!$B$2:$B$5,MATCH(D598,Lookup_Tables!$A$2:$A$5,0))</f>
        <v>10</v>
      </c>
      <c r="I598" s="9" t="n">
        <f aca="false">C598+H598</f>
        <v>45329</v>
      </c>
      <c r="J598" s="5" t="n">
        <v>1</v>
      </c>
      <c r="K598" s="9" t="n">
        <f aca="false">I598+J598</f>
        <v>45330</v>
      </c>
      <c r="L598" s="5" t="n">
        <v>76</v>
      </c>
      <c r="M598" s="10" t="n">
        <f aca="false">INDEX(Dim_Supplier!$F$2:$F$21,MATCH(B598,Dim_Supplier!$A$2:$A$21,0))</f>
        <v>24.6</v>
      </c>
      <c r="N598" s="11" t="n">
        <v>0.0618</v>
      </c>
      <c r="O598" s="10" t="n">
        <f aca="false">M598*(1+N598)</f>
        <v>26.12028</v>
      </c>
      <c r="P598" s="10" t="n">
        <f aca="false">O598*L598</f>
        <v>1985.14128</v>
      </c>
      <c r="Q598" s="5" t="s">
        <v>113</v>
      </c>
      <c r="R598" s="5" t="n">
        <v>0</v>
      </c>
      <c r="S598" s="5" t="n">
        <v>30</v>
      </c>
      <c r="T598" s="12" t="n">
        <f aca="false">(O598-M598)/M598</f>
        <v>0.0618000000000001</v>
      </c>
      <c r="U598" s="8" t="n">
        <f aca="false">IF(AND(K598&lt;=I598,R598=0),1,0)</f>
        <v>0</v>
      </c>
      <c r="V598" s="10" t="n">
        <f aca="false">IF(Q598="No",P598,0)</f>
        <v>0</v>
      </c>
    </row>
    <row r="599" customFormat="false" ht="15" hidden="false" customHeight="false" outlineLevel="0" collapsed="false">
      <c r="A599" s="5" t="s">
        <v>733</v>
      </c>
      <c r="B599" s="5" t="s">
        <v>54</v>
      </c>
      <c r="C599" s="7" t="n">
        <v>46051</v>
      </c>
      <c r="D599" s="8" t="str">
        <f aca="false">INDEX(Dim_Supplier!$C$2:$C$21,MATCH(B599,Dim_Supplier!$A$2:$A$21,0))</f>
        <v>Raw Materials</v>
      </c>
      <c r="E599" s="8" t="str">
        <f aca="false">INDEX(Dim_Supplier!$B$2:$B$21,MATCH(B599,Dim_Supplier!$A$2:$A$21,0))</f>
        <v>Northern Resin Solutions</v>
      </c>
      <c r="F599" s="5" t="s">
        <v>148</v>
      </c>
      <c r="G599" s="5" t="s">
        <v>112</v>
      </c>
      <c r="H599" s="8" t="n">
        <f aca="false">INDEX(Lookup_Tables!$B$2:$B$5,MATCH(D599,Lookup_Tables!$A$2:$A$5,0))</f>
        <v>21</v>
      </c>
      <c r="I599" s="9" t="n">
        <f aca="false">C599+H599</f>
        <v>46072</v>
      </c>
      <c r="J599" s="5" t="n">
        <v>2</v>
      </c>
      <c r="K599" s="9" t="n">
        <f aca="false">I599+J599</f>
        <v>46074</v>
      </c>
      <c r="L599" s="5" t="n">
        <v>1449</v>
      </c>
      <c r="M599" s="10" t="n">
        <f aca="false">INDEX(Dim_Supplier!$F$2:$F$21,MATCH(B599,Dim_Supplier!$A$2:$A$21,0))</f>
        <v>38.9</v>
      </c>
      <c r="N599" s="11" t="n">
        <v>0.0325</v>
      </c>
      <c r="O599" s="10" t="n">
        <f aca="false">M599*(1+N599)</f>
        <v>40.16425</v>
      </c>
      <c r="P599" s="10" t="n">
        <f aca="false">O599*L599</f>
        <v>58197.99825</v>
      </c>
      <c r="Q599" s="5" t="s">
        <v>113</v>
      </c>
      <c r="R599" s="5" t="n">
        <v>0</v>
      </c>
      <c r="S599" s="5" t="n">
        <v>30</v>
      </c>
      <c r="T599" s="12" t="n">
        <f aca="false">(O599-M599)/M599</f>
        <v>0.0324999999999999</v>
      </c>
      <c r="U599" s="8" t="n">
        <f aca="false">IF(AND(K599&lt;=I599,R599=0),1,0)</f>
        <v>0</v>
      </c>
      <c r="V599" s="10" t="n">
        <f aca="false">IF(Q599="No",P599,0)</f>
        <v>0</v>
      </c>
    </row>
    <row r="600" customFormat="false" ht="15" hidden="false" customHeight="false" outlineLevel="0" collapsed="false">
      <c r="A600" s="5" t="s">
        <v>734</v>
      </c>
      <c r="B600" s="5" t="s">
        <v>75</v>
      </c>
      <c r="C600" s="7" t="n">
        <v>45788</v>
      </c>
      <c r="D600" s="8" t="str">
        <f aca="false">INDEX(Dim_Supplier!$C$2:$C$21,MATCH(B600,Dim_Supplier!$A$2:$A$21,0))</f>
        <v>MRO</v>
      </c>
      <c r="E600" s="8" t="str">
        <f aca="false">INDEX(Dim_Supplier!$B$2:$B$21,MATCH(B600,Dim_Supplier!$A$2:$A$21,0))</f>
        <v>Sterling Lubricants Inc.</v>
      </c>
      <c r="F600" s="5" t="s">
        <v>164</v>
      </c>
      <c r="G600" s="5" t="s">
        <v>129</v>
      </c>
      <c r="H600" s="8" t="n">
        <f aca="false">INDEX(Lookup_Tables!$B$2:$B$5,MATCH(D600,Lookup_Tables!$A$2:$A$5,0))</f>
        <v>10</v>
      </c>
      <c r="I600" s="9" t="n">
        <f aca="false">C600+H600</f>
        <v>45798</v>
      </c>
      <c r="J600" s="5" t="n">
        <v>-3</v>
      </c>
      <c r="K600" s="9" t="n">
        <f aca="false">I600+J600</f>
        <v>45795</v>
      </c>
      <c r="L600" s="5" t="n">
        <v>42</v>
      </c>
      <c r="M600" s="10" t="n">
        <f aca="false">INDEX(Dim_Supplier!$F$2:$F$21,MATCH(B600,Dim_Supplier!$A$2:$A$21,0))</f>
        <v>27.1</v>
      </c>
      <c r="N600" s="11" t="n">
        <v>0.027</v>
      </c>
      <c r="O600" s="10" t="n">
        <f aca="false">M600*(1+N600)</f>
        <v>27.8317</v>
      </c>
      <c r="P600" s="10" t="n">
        <f aca="false">O600*L600</f>
        <v>1168.9314</v>
      </c>
      <c r="Q600" s="5" t="s">
        <v>113</v>
      </c>
      <c r="R600" s="5" t="n">
        <v>0</v>
      </c>
      <c r="S600" s="5" t="n">
        <v>60</v>
      </c>
      <c r="T600" s="12" t="n">
        <f aca="false">(O600-M600)/M600</f>
        <v>0.0269999999999999</v>
      </c>
      <c r="U600" s="8" t="n">
        <f aca="false">IF(AND(K600&lt;=I600,R600=0),1,0)</f>
        <v>1</v>
      </c>
      <c r="V600" s="10" t="n">
        <f aca="false">IF(Q600="No",P600,0)</f>
        <v>0</v>
      </c>
    </row>
    <row r="601" customFormat="false" ht="15" hidden="false" customHeight="false" outlineLevel="0" collapsed="false">
      <c r="A601" s="5" t="s">
        <v>735</v>
      </c>
      <c r="B601" s="5" t="s">
        <v>79</v>
      </c>
      <c r="C601" s="7" t="n">
        <v>45714</v>
      </c>
      <c r="D601" s="8" t="str">
        <f aca="false">INDEX(Dim_Supplier!$C$2:$C$21,MATCH(B601,Dim_Supplier!$A$2:$A$21,0))</f>
        <v>Logistics</v>
      </c>
      <c r="E601" s="8" t="str">
        <f aca="false">INDEX(Dim_Supplier!$B$2:$B$21,MATCH(B601,Dim_Supplier!$A$2:$A$21,0))</f>
        <v>Niagara Freight Solutions</v>
      </c>
      <c r="F601" s="5" t="s">
        <v>237</v>
      </c>
      <c r="G601" s="5" t="s">
        <v>112</v>
      </c>
      <c r="H601" s="8" t="n">
        <f aca="false">INDEX(Lookup_Tables!$B$2:$B$5,MATCH(D601,Lookup_Tables!$A$2:$A$5,0))</f>
        <v>5</v>
      </c>
      <c r="I601" s="9" t="n">
        <f aca="false">C601+H601</f>
        <v>45719</v>
      </c>
      <c r="J601" s="5" t="n">
        <v>-4</v>
      </c>
      <c r="K601" s="9" t="n">
        <f aca="false">I601+J601</f>
        <v>45715</v>
      </c>
      <c r="L601" s="5" t="n">
        <v>11</v>
      </c>
      <c r="M601" s="10" t="n">
        <f aca="false">INDEX(Dim_Supplier!$F$2:$F$21,MATCH(B601,Dim_Supplier!$A$2:$A$21,0))</f>
        <v>340</v>
      </c>
      <c r="N601" s="11" t="n">
        <v>-0.0172</v>
      </c>
      <c r="O601" s="10" t="n">
        <f aca="false">M601*(1+N601)</f>
        <v>334.152</v>
      </c>
      <c r="P601" s="10" t="n">
        <f aca="false">O601*L601</f>
        <v>3675.672</v>
      </c>
      <c r="Q601" s="5" t="s">
        <v>113</v>
      </c>
      <c r="R601" s="5" t="n">
        <v>0</v>
      </c>
      <c r="S601" s="5" t="n">
        <v>30</v>
      </c>
      <c r="T601" s="12" t="n">
        <f aca="false">(O601-M601)/M601</f>
        <v>-0.0172</v>
      </c>
      <c r="U601" s="8" t="n">
        <f aca="false">IF(AND(K601&lt;=I601,R601=0),1,0)</f>
        <v>1</v>
      </c>
      <c r="V601" s="10" t="n">
        <f aca="false">IF(Q601="No",P601,0)</f>
        <v>0</v>
      </c>
    </row>
    <row r="602" customFormat="false" ht="15" hidden="false" customHeight="false" outlineLevel="0" collapsed="false">
      <c r="A602" s="5" t="s">
        <v>736</v>
      </c>
      <c r="B602" s="5" t="s">
        <v>73</v>
      </c>
      <c r="C602" s="7" t="n">
        <v>46065</v>
      </c>
      <c r="D602" s="8" t="str">
        <f aca="false">INDEX(Dim_Supplier!$C$2:$C$21,MATCH(B602,Dim_Supplier!$A$2:$A$21,0))</f>
        <v>MRO</v>
      </c>
      <c r="E602" s="8" t="str">
        <f aca="false">INDEX(Dim_Supplier!$B$2:$B$21,MATCH(B602,Dim_Supplier!$A$2:$A$21,0))</f>
        <v>Frontier MRO Solutions</v>
      </c>
      <c r="F602" s="5" t="s">
        <v>127</v>
      </c>
      <c r="G602" s="5" t="s">
        <v>129</v>
      </c>
      <c r="H602" s="8" t="n">
        <f aca="false">INDEX(Lookup_Tables!$B$2:$B$5,MATCH(D602,Lookup_Tables!$A$2:$A$5,0))</f>
        <v>10</v>
      </c>
      <c r="I602" s="9" t="n">
        <f aca="false">C602+H602</f>
        <v>46075</v>
      </c>
      <c r="J602" s="5" t="n">
        <v>6</v>
      </c>
      <c r="K602" s="9" t="n">
        <f aca="false">I602+J602</f>
        <v>46081</v>
      </c>
      <c r="L602" s="5" t="n">
        <v>82</v>
      </c>
      <c r="M602" s="10" t="n">
        <f aca="false">INDEX(Dim_Supplier!$F$2:$F$21,MATCH(B602,Dim_Supplier!$A$2:$A$21,0))</f>
        <v>15.9</v>
      </c>
      <c r="N602" s="11" t="n">
        <v>0.1675</v>
      </c>
      <c r="O602" s="10" t="n">
        <f aca="false">M602*(1+N602)</f>
        <v>18.56325</v>
      </c>
      <c r="P602" s="10" t="n">
        <f aca="false">O602*L602</f>
        <v>1522.1865</v>
      </c>
      <c r="Q602" s="5" t="s">
        <v>133</v>
      </c>
      <c r="R602" s="5" t="n">
        <v>0</v>
      </c>
      <c r="S602" s="5" t="n">
        <v>60</v>
      </c>
      <c r="T602" s="12" t="n">
        <f aca="false">(O602-M602)/M602</f>
        <v>0.1675</v>
      </c>
      <c r="U602" s="8" t="n">
        <f aca="false">IF(AND(K602&lt;=I602,R602=0),1,0)</f>
        <v>0</v>
      </c>
      <c r="V602" s="10" t="n">
        <f aca="false">IF(Q602="No",P602,0)</f>
        <v>1522.1865</v>
      </c>
    </row>
    <row r="603" customFormat="false" ht="15" hidden="false" customHeight="false" outlineLevel="0" collapsed="false">
      <c r="A603" s="5" t="s">
        <v>737</v>
      </c>
      <c r="B603" s="5" t="s">
        <v>52</v>
      </c>
      <c r="C603" s="7" t="n">
        <v>45991</v>
      </c>
      <c r="D603" s="8" t="str">
        <f aca="false">INDEX(Dim_Supplier!$C$2:$C$21,MATCH(B603,Dim_Supplier!$A$2:$A$21,0))</f>
        <v>Raw Materials</v>
      </c>
      <c r="E603" s="8" t="str">
        <f aca="false">INDEX(Dim_Supplier!$B$2:$B$21,MATCH(B603,Dim_Supplier!$A$2:$A$21,0))</f>
        <v>Laurentian Metals Inc.</v>
      </c>
      <c r="F603" s="5" t="s">
        <v>142</v>
      </c>
      <c r="G603" s="5" t="s">
        <v>125</v>
      </c>
      <c r="H603" s="8" t="n">
        <f aca="false">INDEX(Lookup_Tables!$B$2:$B$5,MATCH(D603,Lookup_Tables!$A$2:$A$5,0))</f>
        <v>21</v>
      </c>
      <c r="I603" s="9" t="n">
        <f aca="false">C603+H603</f>
        <v>46012</v>
      </c>
      <c r="J603" s="5" t="n">
        <v>-3</v>
      </c>
      <c r="K603" s="9" t="n">
        <f aca="false">I603+J603</f>
        <v>46009</v>
      </c>
      <c r="L603" s="5" t="n">
        <v>990</v>
      </c>
      <c r="M603" s="10" t="n">
        <f aca="false">INDEX(Dim_Supplier!$F$2:$F$21,MATCH(B603,Dim_Supplier!$A$2:$A$21,0))</f>
        <v>61.2</v>
      </c>
      <c r="N603" s="11" t="n">
        <v>0.0445</v>
      </c>
      <c r="O603" s="10" t="n">
        <f aca="false">M603*(1+N603)</f>
        <v>63.9234</v>
      </c>
      <c r="P603" s="10" t="n">
        <f aca="false">O603*L603</f>
        <v>63284.166</v>
      </c>
      <c r="Q603" s="5" t="s">
        <v>113</v>
      </c>
      <c r="R603" s="5" t="n">
        <v>0</v>
      </c>
      <c r="S603" s="5" t="n">
        <v>30</v>
      </c>
      <c r="T603" s="12" t="n">
        <f aca="false">(O603-M603)/M603</f>
        <v>0.0445</v>
      </c>
      <c r="U603" s="8" t="n">
        <f aca="false">IF(AND(K603&lt;=I603,R603=0),1,0)</f>
        <v>1</v>
      </c>
      <c r="V603" s="10" t="n">
        <f aca="false">IF(Q603="No",P603,0)</f>
        <v>0</v>
      </c>
    </row>
    <row r="604" customFormat="false" ht="15" hidden="false" customHeight="false" outlineLevel="0" collapsed="false">
      <c r="A604" s="5" t="s">
        <v>738</v>
      </c>
      <c r="B604" s="5" t="s">
        <v>75</v>
      </c>
      <c r="C604" s="7" t="n">
        <v>45834</v>
      </c>
      <c r="D604" s="8" t="str">
        <f aca="false">INDEX(Dim_Supplier!$C$2:$C$21,MATCH(B604,Dim_Supplier!$A$2:$A$21,0))</f>
        <v>MRO</v>
      </c>
      <c r="E604" s="8" t="str">
        <f aca="false">INDEX(Dim_Supplier!$B$2:$B$21,MATCH(B604,Dim_Supplier!$A$2:$A$21,0))</f>
        <v>Sterling Lubricants Inc.</v>
      </c>
      <c r="F604" s="5" t="s">
        <v>127</v>
      </c>
      <c r="G604" s="5" t="s">
        <v>129</v>
      </c>
      <c r="H604" s="8" t="n">
        <f aca="false">INDEX(Lookup_Tables!$B$2:$B$5,MATCH(D604,Lookup_Tables!$A$2:$A$5,0))</f>
        <v>10</v>
      </c>
      <c r="I604" s="9" t="n">
        <f aca="false">C604+H604</f>
        <v>45844</v>
      </c>
      <c r="J604" s="5" t="n">
        <v>-1</v>
      </c>
      <c r="K604" s="9" t="n">
        <f aca="false">I604+J604</f>
        <v>45843</v>
      </c>
      <c r="L604" s="5" t="n">
        <v>115</v>
      </c>
      <c r="M604" s="10" t="n">
        <f aca="false">INDEX(Dim_Supplier!$F$2:$F$21,MATCH(B604,Dim_Supplier!$A$2:$A$21,0))</f>
        <v>27.1</v>
      </c>
      <c r="N604" s="11" t="n">
        <v>0.0059</v>
      </c>
      <c r="O604" s="10" t="n">
        <f aca="false">M604*(1+N604)</f>
        <v>27.25989</v>
      </c>
      <c r="P604" s="10" t="n">
        <f aca="false">O604*L604</f>
        <v>3134.88735</v>
      </c>
      <c r="Q604" s="5" t="s">
        <v>113</v>
      </c>
      <c r="R604" s="5" t="n">
        <v>0</v>
      </c>
      <c r="S604" s="5" t="n">
        <v>30</v>
      </c>
      <c r="T604" s="12" t="n">
        <f aca="false">(O604-M604)/M604</f>
        <v>0.00590000000000003</v>
      </c>
      <c r="U604" s="8" t="n">
        <f aca="false">IF(AND(K604&lt;=I604,R604=0),1,0)</f>
        <v>1</v>
      </c>
      <c r="V604" s="10" t="n">
        <f aca="false">IF(Q604="No",P604,0)</f>
        <v>0</v>
      </c>
    </row>
    <row r="605" customFormat="false" ht="15" hidden="false" customHeight="false" outlineLevel="0" collapsed="false">
      <c r="A605" s="5" t="s">
        <v>739</v>
      </c>
      <c r="B605" s="5" t="s">
        <v>54</v>
      </c>
      <c r="C605" s="7" t="n">
        <v>46113</v>
      </c>
      <c r="D605" s="8" t="str">
        <f aca="false">INDEX(Dim_Supplier!$C$2:$C$21,MATCH(B605,Dim_Supplier!$A$2:$A$21,0))</f>
        <v>Raw Materials</v>
      </c>
      <c r="E605" s="8" t="str">
        <f aca="false">INDEX(Dim_Supplier!$B$2:$B$21,MATCH(B605,Dim_Supplier!$A$2:$A$21,0))</f>
        <v>Northern Resin Solutions</v>
      </c>
      <c r="F605" s="5" t="s">
        <v>148</v>
      </c>
      <c r="G605" s="5" t="s">
        <v>120</v>
      </c>
      <c r="H605" s="8" t="n">
        <f aca="false">INDEX(Lookup_Tables!$B$2:$B$5,MATCH(D605,Lookup_Tables!$A$2:$A$5,0))</f>
        <v>21</v>
      </c>
      <c r="I605" s="9" t="n">
        <f aca="false">C605+H605</f>
        <v>46134</v>
      </c>
      <c r="J605" s="5" t="n">
        <v>-2</v>
      </c>
      <c r="K605" s="9" t="n">
        <f aca="false">I605+J605</f>
        <v>46132</v>
      </c>
      <c r="L605" s="5" t="n">
        <v>1683</v>
      </c>
      <c r="M605" s="10" t="n">
        <f aca="false">INDEX(Dim_Supplier!$F$2:$F$21,MATCH(B605,Dim_Supplier!$A$2:$A$21,0))</f>
        <v>38.9</v>
      </c>
      <c r="N605" s="11" t="n">
        <v>0.0336</v>
      </c>
      <c r="O605" s="10" t="n">
        <f aca="false">M605*(1+N605)</f>
        <v>40.20704</v>
      </c>
      <c r="P605" s="10" t="n">
        <f aca="false">O605*L605</f>
        <v>67668.44832</v>
      </c>
      <c r="Q605" s="5" t="s">
        <v>113</v>
      </c>
      <c r="R605" s="5" t="n">
        <v>0</v>
      </c>
      <c r="S605" s="5" t="n">
        <v>45</v>
      </c>
      <c r="T605" s="12" t="n">
        <f aca="false">(O605-M605)/M605</f>
        <v>0.0336</v>
      </c>
      <c r="U605" s="8" t="n">
        <f aca="false">IF(AND(K605&lt;=I605,R605=0),1,0)</f>
        <v>1</v>
      </c>
      <c r="V605" s="10" t="n">
        <f aca="false">IF(Q605="No",P605,0)</f>
        <v>0</v>
      </c>
    </row>
    <row r="606" customFormat="false" ht="15" hidden="false" customHeight="false" outlineLevel="0" collapsed="false">
      <c r="A606" s="5" t="s">
        <v>740</v>
      </c>
      <c r="B606" s="5" t="s">
        <v>79</v>
      </c>
      <c r="C606" s="7" t="n">
        <v>45824</v>
      </c>
      <c r="D606" s="8" t="str">
        <f aca="false">INDEX(Dim_Supplier!$C$2:$C$21,MATCH(B606,Dim_Supplier!$A$2:$A$21,0))</f>
        <v>Logistics</v>
      </c>
      <c r="E606" s="8" t="str">
        <f aca="false">INDEX(Dim_Supplier!$B$2:$B$21,MATCH(B606,Dim_Supplier!$A$2:$A$21,0))</f>
        <v>Niagara Freight Solutions</v>
      </c>
      <c r="F606" s="5" t="s">
        <v>146</v>
      </c>
      <c r="G606" s="5" t="s">
        <v>112</v>
      </c>
      <c r="H606" s="8" t="n">
        <f aca="false">INDEX(Lookup_Tables!$B$2:$B$5,MATCH(D606,Lookup_Tables!$A$2:$A$5,0))</f>
        <v>5</v>
      </c>
      <c r="I606" s="9" t="n">
        <f aca="false">C606+H606</f>
        <v>45829</v>
      </c>
      <c r="J606" s="5" t="n">
        <v>-2</v>
      </c>
      <c r="K606" s="9" t="n">
        <f aca="false">I606+J606</f>
        <v>45827</v>
      </c>
      <c r="L606" s="5" t="n">
        <v>1</v>
      </c>
      <c r="M606" s="10" t="n">
        <f aca="false">INDEX(Dim_Supplier!$F$2:$F$21,MATCH(B606,Dim_Supplier!$A$2:$A$21,0))</f>
        <v>340</v>
      </c>
      <c r="N606" s="11" t="n">
        <v>0.0127</v>
      </c>
      <c r="O606" s="10" t="n">
        <f aca="false">M606*(1+N606)</f>
        <v>344.318</v>
      </c>
      <c r="P606" s="10" t="n">
        <f aca="false">O606*L606</f>
        <v>344.318</v>
      </c>
      <c r="Q606" s="5" t="s">
        <v>113</v>
      </c>
      <c r="R606" s="5" t="n">
        <v>0</v>
      </c>
      <c r="S606" s="5" t="n">
        <v>30</v>
      </c>
      <c r="T606" s="12" t="n">
        <f aca="false">(O606-M606)/M606</f>
        <v>0.0127</v>
      </c>
      <c r="U606" s="8" t="n">
        <f aca="false">IF(AND(K606&lt;=I606,R606=0),1,0)</f>
        <v>1</v>
      </c>
      <c r="V606" s="10" t="n">
        <f aca="false">IF(Q606="No",P606,0)</f>
        <v>0</v>
      </c>
    </row>
    <row r="607" customFormat="false" ht="15" hidden="false" customHeight="false" outlineLevel="0" collapsed="false">
      <c r="A607" s="5" t="s">
        <v>741</v>
      </c>
      <c r="B607" s="5" t="s">
        <v>46</v>
      </c>
      <c r="C607" s="7" t="n">
        <v>45748</v>
      </c>
      <c r="D607" s="8" t="str">
        <f aca="false">INDEX(Dim_Supplier!$C$2:$C$21,MATCH(B607,Dim_Supplier!$A$2:$A$21,0))</f>
        <v>Raw Materials</v>
      </c>
      <c r="E607" s="8" t="str">
        <f aca="false">INDEX(Dim_Supplier!$B$2:$B$21,MATCH(B607,Dim_Supplier!$A$2:$A$21,0))</f>
        <v>Niagara Alloy Supply</v>
      </c>
      <c r="F607" s="5" t="s">
        <v>139</v>
      </c>
      <c r="G607" s="5" t="s">
        <v>112</v>
      </c>
      <c r="H607" s="8" t="n">
        <f aca="false">INDEX(Lookup_Tables!$B$2:$B$5,MATCH(D607,Lookup_Tables!$A$2:$A$5,0))</f>
        <v>21</v>
      </c>
      <c r="I607" s="9" t="n">
        <f aca="false">C607+H607</f>
        <v>45769</v>
      </c>
      <c r="J607" s="5" t="n">
        <v>-1</v>
      </c>
      <c r="K607" s="9" t="n">
        <f aca="false">I607+J607</f>
        <v>45768</v>
      </c>
      <c r="L607" s="5" t="n">
        <v>169</v>
      </c>
      <c r="M607" s="10" t="n">
        <f aca="false">INDEX(Dim_Supplier!$F$2:$F$21,MATCH(B607,Dim_Supplier!$A$2:$A$21,0))</f>
        <v>46.5</v>
      </c>
      <c r="N607" s="11" t="n">
        <v>0.0149</v>
      </c>
      <c r="O607" s="10" t="n">
        <f aca="false">M607*(1+N607)</f>
        <v>47.19285</v>
      </c>
      <c r="P607" s="10" t="n">
        <f aca="false">O607*L607</f>
        <v>7975.59165</v>
      </c>
      <c r="Q607" s="5" t="s">
        <v>113</v>
      </c>
      <c r="R607" s="5" t="n">
        <v>0</v>
      </c>
      <c r="S607" s="5" t="n">
        <v>60</v>
      </c>
      <c r="T607" s="12" t="n">
        <f aca="false">(O607-M607)/M607</f>
        <v>0.0148999999999998</v>
      </c>
      <c r="U607" s="8" t="n">
        <f aca="false">IF(AND(K607&lt;=I607,R607=0),1,0)</f>
        <v>1</v>
      </c>
      <c r="V607" s="10" t="n">
        <f aca="false">IF(Q607="No",P607,0)</f>
        <v>0</v>
      </c>
    </row>
    <row r="608" customFormat="false" ht="15" hidden="false" customHeight="false" outlineLevel="0" collapsed="false">
      <c r="A608" s="5" t="s">
        <v>742</v>
      </c>
      <c r="B608" s="5" t="s">
        <v>73</v>
      </c>
      <c r="C608" s="7" t="n">
        <v>46147</v>
      </c>
      <c r="D608" s="8" t="str">
        <f aca="false">INDEX(Dim_Supplier!$C$2:$C$21,MATCH(B608,Dim_Supplier!$A$2:$A$21,0))</f>
        <v>MRO</v>
      </c>
      <c r="E608" s="8" t="str">
        <f aca="false">INDEX(Dim_Supplier!$B$2:$B$21,MATCH(B608,Dim_Supplier!$A$2:$A$21,0))</f>
        <v>Frontier MRO Solutions</v>
      </c>
      <c r="F608" s="5" t="s">
        <v>164</v>
      </c>
      <c r="G608" s="5" t="s">
        <v>129</v>
      </c>
      <c r="H608" s="8" t="n">
        <f aca="false">INDEX(Lookup_Tables!$B$2:$B$5,MATCH(D608,Lookup_Tables!$A$2:$A$5,0))</f>
        <v>10</v>
      </c>
      <c r="I608" s="9" t="n">
        <f aca="false">C608+H608</f>
        <v>46157</v>
      </c>
      <c r="J608" s="5" t="n">
        <v>5</v>
      </c>
      <c r="K608" s="9" t="n">
        <f aca="false">I608+J608</f>
        <v>46162</v>
      </c>
      <c r="L608" s="5" t="n">
        <v>159</v>
      </c>
      <c r="M608" s="10" t="n">
        <f aca="false">INDEX(Dim_Supplier!$F$2:$F$21,MATCH(B608,Dim_Supplier!$A$2:$A$21,0))</f>
        <v>15.9</v>
      </c>
      <c r="N608" s="11" t="n">
        <v>0.1402</v>
      </c>
      <c r="O608" s="10" t="n">
        <f aca="false">M608*(1+N608)</f>
        <v>18.12918</v>
      </c>
      <c r="P608" s="10" t="n">
        <f aca="false">O608*L608</f>
        <v>2882.53962</v>
      </c>
      <c r="Q608" s="5" t="s">
        <v>113</v>
      </c>
      <c r="R608" s="5" t="n">
        <v>0</v>
      </c>
      <c r="S608" s="5" t="n">
        <v>60</v>
      </c>
      <c r="T608" s="12" t="n">
        <f aca="false">(O608-M608)/M608</f>
        <v>0.1402</v>
      </c>
      <c r="U608" s="8" t="n">
        <f aca="false">IF(AND(K608&lt;=I608,R608=0),1,0)</f>
        <v>0</v>
      </c>
      <c r="V608" s="10" t="n">
        <f aca="false">IF(Q608="No",P608,0)</f>
        <v>0</v>
      </c>
    </row>
    <row r="609" customFormat="false" ht="15" hidden="false" customHeight="false" outlineLevel="0" collapsed="false">
      <c r="A609" s="5" t="s">
        <v>743</v>
      </c>
      <c r="B609" s="5" t="s">
        <v>68</v>
      </c>
      <c r="C609" s="7" t="n">
        <v>45481</v>
      </c>
      <c r="D609" s="8" t="str">
        <f aca="false">INDEX(Dim_Supplier!$C$2:$C$21,MATCH(B609,Dim_Supplier!$A$2:$A$21,0))</f>
        <v>MRO</v>
      </c>
      <c r="E609" s="8" t="str">
        <f aca="false">INDEX(Dim_Supplier!$B$2:$B$21,MATCH(B609,Dim_Supplier!$A$2:$A$21,0))</f>
        <v>Precision Tool &amp; Supply</v>
      </c>
      <c r="F609" s="5" t="s">
        <v>127</v>
      </c>
      <c r="G609" s="5" t="s">
        <v>112</v>
      </c>
      <c r="H609" s="8" t="n">
        <f aca="false">INDEX(Lookup_Tables!$B$2:$B$5,MATCH(D609,Lookup_Tables!$A$2:$A$5,0))</f>
        <v>10</v>
      </c>
      <c r="I609" s="9" t="n">
        <f aca="false">C609+H609</f>
        <v>45491</v>
      </c>
      <c r="J609" s="5" t="n">
        <v>-3</v>
      </c>
      <c r="K609" s="9" t="n">
        <f aca="false">I609+J609</f>
        <v>45488</v>
      </c>
      <c r="L609" s="5" t="n">
        <v>24</v>
      </c>
      <c r="M609" s="10" t="n">
        <f aca="false">INDEX(Dim_Supplier!$F$2:$F$21,MATCH(B609,Dim_Supplier!$A$2:$A$21,0))</f>
        <v>22.4</v>
      </c>
      <c r="N609" s="11" t="n">
        <v>0.0324</v>
      </c>
      <c r="O609" s="10" t="n">
        <f aca="false">M609*(1+N609)</f>
        <v>23.12576</v>
      </c>
      <c r="P609" s="10" t="n">
        <f aca="false">O609*L609</f>
        <v>555.01824</v>
      </c>
      <c r="Q609" s="5" t="s">
        <v>113</v>
      </c>
      <c r="R609" s="5" t="n">
        <v>0</v>
      </c>
      <c r="S609" s="5" t="n">
        <v>30</v>
      </c>
      <c r="T609" s="12" t="n">
        <f aca="false">(O609-M609)/M609</f>
        <v>0.0324000000000001</v>
      </c>
      <c r="U609" s="8" t="n">
        <f aca="false">IF(AND(K609&lt;=I609,R609=0),1,0)</f>
        <v>1</v>
      </c>
      <c r="V609" s="10" t="n">
        <f aca="false">IF(Q609="No",P609,0)</f>
        <v>0</v>
      </c>
    </row>
    <row r="610" customFormat="false" ht="15" hidden="false" customHeight="false" outlineLevel="0" collapsed="false">
      <c r="A610" s="5" t="s">
        <v>744</v>
      </c>
      <c r="B610" s="5" t="s">
        <v>62</v>
      </c>
      <c r="C610" s="7" t="n">
        <v>45975</v>
      </c>
      <c r="D610" s="8" t="str">
        <f aca="false">INDEX(Dim_Supplier!$C$2:$C$21,MATCH(B610,Dim_Supplier!$A$2:$A$21,0))</f>
        <v>Packaging</v>
      </c>
      <c r="E610" s="8" t="str">
        <f aca="false">INDEX(Dim_Supplier!$B$2:$B$21,MATCH(B610,Dim_Supplier!$A$2:$A$21,0))</f>
        <v>Trillium Packaging Solutions</v>
      </c>
      <c r="F610" s="5" t="s">
        <v>119</v>
      </c>
      <c r="G610" s="5" t="s">
        <v>120</v>
      </c>
      <c r="H610" s="8" t="n">
        <f aca="false">INDEX(Lookup_Tables!$B$2:$B$5,MATCH(D610,Lookup_Tables!$A$2:$A$5,0))</f>
        <v>14</v>
      </c>
      <c r="I610" s="9" t="n">
        <f aca="false">C610+H610</f>
        <v>45989</v>
      </c>
      <c r="J610" s="5" t="n">
        <v>-3</v>
      </c>
      <c r="K610" s="9" t="n">
        <f aca="false">I610+J610</f>
        <v>45986</v>
      </c>
      <c r="L610" s="5" t="n">
        <v>1011</v>
      </c>
      <c r="M610" s="10" t="n">
        <f aca="false">INDEX(Dim_Supplier!$F$2:$F$21,MATCH(B610,Dim_Supplier!$A$2:$A$21,0))</f>
        <v>5.6</v>
      </c>
      <c r="N610" s="11" t="n">
        <v>0.0267</v>
      </c>
      <c r="O610" s="10" t="n">
        <f aca="false">M610*(1+N610)</f>
        <v>5.74952</v>
      </c>
      <c r="P610" s="10" t="n">
        <f aca="false">O610*L610</f>
        <v>5812.76472</v>
      </c>
      <c r="Q610" s="5" t="s">
        <v>113</v>
      </c>
      <c r="R610" s="5" t="n">
        <v>0</v>
      </c>
      <c r="S610" s="5" t="n">
        <v>30</v>
      </c>
      <c r="T610" s="12" t="n">
        <f aca="false">(O610-M610)/M610</f>
        <v>0.0267</v>
      </c>
      <c r="U610" s="8" t="n">
        <f aca="false">IF(AND(K610&lt;=I610,R610=0),1,0)</f>
        <v>1</v>
      </c>
      <c r="V610" s="10" t="n">
        <f aca="false">IF(Q610="No",P610,0)</f>
        <v>0</v>
      </c>
    </row>
    <row r="611" customFormat="false" ht="15" hidden="false" customHeight="false" outlineLevel="0" collapsed="false">
      <c r="A611" s="5" t="s">
        <v>745</v>
      </c>
      <c r="B611" s="5" t="s">
        <v>86</v>
      </c>
      <c r="C611" s="7" t="n">
        <v>45563</v>
      </c>
      <c r="D611" s="8" t="str">
        <f aca="false">INDEX(Dim_Supplier!$C$2:$C$21,MATCH(B611,Dim_Supplier!$A$2:$A$21,0))</f>
        <v>Logistics</v>
      </c>
      <c r="E611" s="8" t="str">
        <f aca="false">INDEX(Dim_Supplier!$B$2:$B$21,MATCH(B611,Dim_Supplier!$A$2:$A$21,0))</f>
        <v>Blue Water Customs Brokerage</v>
      </c>
      <c r="F611" s="5" t="s">
        <v>154</v>
      </c>
      <c r="G611" s="5" t="s">
        <v>125</v>
      </c>
      <c r="H611" s="8" t="n">
        <f aca="false">INDEX(Lookup_Tables!$B$2:$B$5,MATCH(D611,Lookup_Tables!$A$2:$A$5,0))</f>
        <v>5</v>
      </c>
      <c r="I611" s="9" t="n">
        <f aca="false">C611+H611</f>
        <v>45568</v>
      </c>
      <c r="J611" s="5" t="n">
        <v>3</v>
      </c>
      <c r="K611" s="9" t="n">
        <f aca="false">I611+J611</f>
        <v>45571</v>
      </c>
      <c r="L611" s="5" t="n">
        <v>13</v>
      </c>
      <c r="M611" s="10" t="n">
        <f aca="false">INDEX(Dim_Supplier!$F$2:$F$21,MATCH(B611,Dim_Supplier!$A$2:$A$21,0))</f>
        <v>175</v>
      </c>
      <c r="N611" s="11" t="n">
        <v>0.0335</v>
      </c>
      <c r="O611" s="10" t="n">
        <f aca="false">M611*(1+N611)</f>
        <v>180.8625</v>
      </c>
      <c r="P611" s="10" t="n">
        <f aca="false">O611*L611</f>
        <v>2351.2125</v>
      </c>
      <c r="Q611" s="5" t="s">
        <v>113</v>
      </c>
      <c r="R611" s="5" t="n">
        <v>0</v>
      </c>
      <c r="S611" s="5" t="n">
        <v>30</v>
      </c>
      <c r="T611" s="12" t="n">
        <f aca="false">(O611-M611)/M611</f>
        <v>0.0335000000000001</v>
      </c>
      <c r="U611" s="8" t="n">
        <f aca="false">IF(AND(K611&lt;=I611,R611=0),1,0)</f>
        <v>0</v>
      </c>
      <c r="V611" s="10" t="n">
        <f aca="false">IF(Q611="No",P611,0)</f>
        <v>0</v>
      </c>
    </row>
    <row r="612" customFormat="false" ht="15" hidden="false" customHeight="false" outlineLevel="0" collapsed="false">
      <c r="A612" s="5" t="s">
        <v>746</v>
      </c>
      <c r="B612" s="5" t="s">
        <v>46</v>
      </c>
      <c r="C612" s="7" t="n">
        <v>46079</v>
      </c>
      <c r="D612" s="8" t="str">
        <f aca="false">INDEX(Dim_Supplier!$C$2:$C$21,MATCH(B612,Dim_Supplier!$A$2:$A$21,0))</f>
        <v>Raw Materials</v>
      </c>
      <c r="E612" s="8" t="str">
        <f aca="false">INDEX(Dim_Supplier!$B$2:$B$21,MATCH(B612,Dim_Supplier!$A$2:$A$21,0))</f>
        <v>Niagara Alloy Supply</v>
      </c>
      <c r="F612" s="5" t="s">
        <v>142</v>
      </c>
      <c r="G612" s="5" t="s">
        <v>112</v>
      </c>
      <c r="H612" s="8" t="n">
        <f aca="false">INDEX(Lookup_Tables!$B$2:$B$5,MATCH(D612,Lookup_Tables!$A$2:$A$5,0))</f>
        <v>21</v>
      </c>
      <c r="I612" s="9" t="n">
        <f aca="false">C612+H612</f>
        <v>46100</v>
      </c>
      <c r="J612" s="5" t="n">
        <v>-2</v>
      </c>
      <c r="K612" s="9" t="n">
        <f aca="false">I612+J612</f>
        <v>46098</v>
      </c>
      <c r="L612" s="5" t="n">
        <v>1004</v>
      </c>
      <c r="M612" s="10" t="n">
        <f aca="false">INDEX(Dim_Supplier!$F$2:$F$21,MATCH(B612,Dim_Supplier!$A$2:$A$21,0))</f>
        <v>46.5</v>
      </c>
      <c r="N612" s="11" t="n">
        <v>0.0238</v>
      </c>
      <c r="O612" s="10" t="n">
        <f aca="false">M612*(1+N612)</f>
        <v>47.6067</v>
      </c>
      <c r="P612" s="10" t="n">
        <f aca="false">O612*L612</f>
        <v>47797.1268</v>
      </c>
      <c r="Q612" s="5" t="s">
        <v>113</v>
      </c>
      <c r="R612" s="5" t="n">
        <v>0</v>
      </c>
      <c r="S612" s="5" t="n">
        <v>30</v>
      </c>
      <c r="T612" s="12" t="n">
        <f aca="false">(O612-M612)/M612</f>
        <v>0.0238000000000001</v>
      </c>
      <c r="U612" s="8" t="n">
        <f aca="false">IF(AND(K612&lt;=I612,R612=0),1,0)</f>
        <v>1</v>
      </c>
      <c r="V612" s="10" t="n">
        <f aca="false">IF(Q612="No",P612,0)</f>
        <v>0</v>
      </c>
    </row>
    <row r="613" customFormat="false" ht="15" hidden="false" customHeight="false" outlineLevel="0" collapsed="false">
      <c r="A613" s="5" t="s">
        <v>747</v>
      </c>
      <c r="B613" s="5" t="s">
        <v>68</v>
      </c>
      <c r="C613" s="7" t="n">
        <v>45548</v>
      </c>
      <c r="D613" s="8" t="str">
        <f aca="false">INDEX(Dim_Supplier!$C$2:$C$21,MATCH(B613,Dim_Supplier!$A$2:$A$21,0))</f>
        <v>MRO</v>
      </c>
      <c r="E613" s="8" t="str">
        <f aca="false">INDEX(Dim_Supplier!$B$2:$B$21,MATCH(B613,Dim_Supplier!$A$2:$A$21,0))</f>
        <v>Precision Tool &amp; Supply</v>
      </c>
      <c r="F613" s="5" t="s">
        <v>179</v>
      </c>
      <c r="G613" s="5" t="s">
        <v>129</v>
      </c>
      <c r="H613" s="8" t="n">
        <f aca="false">INDEX(Lookup_Tables!$B$2:$B$5,MATCH(D613,Lookup_Tables!$A$2:$A$5,0))</f>
        <v>10</v>
      </c>
      <c r="I613" s="9" t="n">
        <f aca="false">C613+H613</f>
        <v>45558</v>
      </c>
      <c r="J613" s="5" t="n">
        <v>-2</v>
      </c>
      <c r="K613" s="9" t="n">
        <f aca="false">I613+J613</f>
        <v>45556</v>
      </c>
      <c r="L613" s="5" t="n">
        <v>168</v>
      </c>
      <c r="M613" s="10" t="n">
        <f aca="false">INDEX(Dim_Supplier!$F$2:$F$21,MATCH(B613,Dim_Supplier!$A$2:$A$21,0))</f>
        <v>22.4</v>
      </c>
      <c r="N613" s="11" t="n">
        <v>0.0031</v>
      </c>
      <c r="O613" s="10" t="n">
        <f aca="false">M613*(1+N613)</f>
        <v>22.46944</v>
      </c>
      <c r="P613" s="10" t="n">
        <f aca="false">O613*L613</f>
        <v>3774.86592</v>
      </c>
      <c r="Q613" s="5" t="s">
        <v>113</v>
      </c>
      <c r="R613" s="5" t="n">
        <v>0</v>
      </c>
      <c r="S613" s="5" t="n">
        <v>30</v>
      </c>
      <c r="T613" s="12" t="n">
        <f aca="false">(O613-M613)/M613</f>
        <v>0.00310000000000017</v>
      </c>
      <c r="U613" s="8" t="n">
        <f aca="false">IF(AND(K613&lt;=I613,R613=0),1,0)</f>
        <v>1</v>
      </c>
      <c r="V613" s="10" t="n">
        <f aca="false">IF(Q613="No",P613,0)</f>
        <v>0</v>
      </c>
    </row>
    <row r="614" customFormat="false" ht="15" hidden="false" customHeight="false" outlineLevel="0" collapsed="false">
      <c r="A614" s="5" t="s">
        <v>748</v>
      </c>
      <c r="B614" s="5" t="s">
        <v>46</v>
      </c>
      <c r="C614" s="7" t="n">
        <v>45629</v>
      </c>
      <c r="D614" s="8" t="str">
        <f aca="false">INDEX(Dim_Supplier!$C$2:$C$21,MATCH(B614,Dim_Supplier!$A$2:$A$21,0))</f>
        <v>Raw Materials</v>
      </c>
      <c r="E614" s="8" t="str">
        <f aca="false">INDEX(Dim_Supplier!$B$2:$B$21,MATCH(B614,Dim_Supplier!$A$2:$A$21,0))</f>
        <v>Niagara Alloy Supply</v>
      </c>
      <c r="F614" s="5" t="s">
        <v>142</v>
      </c>
      <c r="G614" s="5" t="s">
        <v>129</v>
      </c>
      <c r="H614" s="8" t="n">
        <f aca="false">INDEX(Lookup_Tables!$B$2:$B$5,MATCH(D614,Lookup_Tables!$A$2:$A$5,0))</f>
        <v>21</v>
      </c>
      <c r="I614" s="9" t="n">
        <f aca="false">C614+H614</f>
        <v>45650</v>
      </c>
      <c r="J614" s="5" t="n">
        <v>-4</v>
      </c>
      <c r="K614" s="9" t="n">
        <f aca="false">I614+J614</f>
        <v>45646</v>
      </c>
      <c r="L614" s="5" t="n">
        <v>1104</v>
      </c>
      <c r="M614" s="10" t="n">
        <f aca="false">INDEX(Dim_Supplier!$F$2:$F$21,MATCH(B614,Dim_Supplier!$A$2:$A$21,0))</f>
        <v>46.5</v>
      </c>
      <c r="N614" s="11" t="n">
        <v>0.0254</v>
      </c>
      <c r="O614" s="10" t="n">
        <f aca="false">M614*(1+N614)</f>
        <v>47.6811</v>
      </c>
      <c r="P614" s="10" t="n">
        <f aca="false">O614*L614</f>
        <v>52639.9344</v>
      </c>
      <c r="Q614" s="5" t="s">
        <v>113</v>
      </c>
      <c r="R614" s="5" t="n">
        <v>0</v>
      </c>
      <c r="S614" s="5" t="n">
        <v>45</v>
      </c>
      <c r="T614" s="12" t="n">
        <f aca="false">(O614-M614)/M614</f>
        <v>0.0254</v>
      </c>
      <c r="U614" s="8" t="n">
        <f aca="false">IF(AND(K614&lt;=I614,R614=0),1,0)</f>
        <v>1</v>
      </c>
      <c r="V614" s="10" t="n">
        <f aca="false">IF(Q614="No",P614,0)</f>
        <v>0</v>
      </c>
    </row>
    <row r="615" customFormat="false" ht="15" hidden="false" customHeight="false" outlineLevel="0" collapsed="false">
      <c r="A615" s="5" t="s">
        <v>749</v>
      </c>
      <c r="B615" s="5" t="s">
        <v>79</v>
      </c>
      <c r="C615" s="7" t="n">
        <v>45363</v>
      </c>
      <c r="D615" s="8" t="str">
        <f aca="false">INDEX(Dim_Supplier!$C$2:$C$21,MATCH(B615,Dim_Supplier!$A$2:$A$21,0))</f>
        <v>Logistics</v>
      </c>
      <c r="E615" s="8" t="str">
        <f aca="false">INDEX(Dim_Supplier!$B$2:$B$21,MATCH(B615,Dim_Supplier!$A$2:$A$21,0))</f>
        <v>Niagara Freight Solutions</v>
      </c>
      <c r="F615" s="5" t="s">
        <v>185</v>
      </c>
      <c r="G615" s="5" t="s">
        <v>112</v>
      </c>
      <c r="H615" s="8" t="n">
        <f aca="false">INDEX(Lookup_Tables!$B$2:$B$5,MATCH(D615,Lookup_Tables!$A$2:$A$5,0))</f>
        <v>5</v>
      </c>
      <c r="I615" s="9" t="n">
        <f aca="false">C615+H615</f>
        <v>45368</v>
      </c>
      <c r="J615" s="5" t="n">
        <v>3</v>
      </c>
      <c r="K615" s="9" t="n">
        <f aca="false">I615+J615</f>
        <v>45371</v>
      </c>
      <c r="L615" s="5" t="n">
        <v>50</v>
      </c>
      <c r="M615" s="10" t="n">
        <f aca="false">INDEX(Dim_Supplier!$F$2:$F$21,MATCH(B615,Dim_Supplier!$A$2:$A$21,0))</f>
        <v>340</v>
      </c>
      <c r="N615" s="11" t="n">
        <v>0.011</v>
      </c>
      <c r="O615" s="10" t="n">
        <f aca="false">M615*(1+N615)</f>
        <v>343.74</v>
      </c>
      <c r="P615" s="10" t="n">
        <f aca="false">O615*L615</f>
        <v>17187</v>
      </c>
      <c r="Q615" s="5" t="s">
        <v>113</v>
      </c>
      <c r="R615" s="5" t="n">
        <v>0</v>
      </c>
      <c r="S615" s="5" t="n">
        <v>60</v>
      </c>
      <c r="T615" s="12" t="n">
        <f aca="false">(O615-M615)/M615</f>
        <v>0.0109999999999999</v>
      </c>
      <c r="U615" s="8" t="n">
        <f aca="false">IF(AND(K615&lt;=I615,R615=0),1,0)</f>
        <v>0</v>
      </c>
      <c r="V615" s="10" t="n">
        <f aca="false">IF(Q615="No",P615,0)</f>
        <v>0</v>
      </c>
    </row>
    <row r="616" customFormat="false" ht="15" hidden="false" customHeight="false" outlineLevel="0" collapsed="false">
      <c r="A616" s="5" t="s">
        <v>750</v>
      </c>
      <c r="B616" s="5" t="s">
        <v>57</v>
      </c>
      <c r="C616" s="7" t="n">
        <v>45990</v>
      </c>
      <c r="D616" s="8" t="str">
        <f aca="false">INDEX(Dim_Supplier!$C$2:$C$21,MATCH(B616,Dim_Supplier!$A$2:$A$21,0))</f>
        <v>Packaging</v>
      </c>
      <c r="E616" s="8" t="str">
        <f aca="false">INDEX(Dim_Supplier!$B$2:$B$21,MATCH(B616,Dim_Supplier!$A$2:$A$21,0))</f>
        <v>Great Lakes Packaging Co.</v>
      </c>
      <c r="F616" s="5" t="s">
        <v>119</v>
      </c>
      <c r="G616" s="5" t="s">
        <v>125</v>
      </c>
      <c r="H616" s="8" t="n">
        <f aca="false">INDEX(Lookup_Tables!$B$2:$B$5,MATCH(D616,Lookup_Tables!$A$2:$A$5,0))</f>
        <v>14</v>
      </c>
      <c r="I616" s="9" t="n">
        <f aca="false">C616+H616</f>
        <v>46004</v>
      </c>
      <c r="J616" s="5" t="n">
        <v>3</v>
      </c>
      <c r="K616" s="9" t="n">
        <f aca="false">I616+J616</f>
        <v>46007</v>
      </c>
      <c r="L616" s="5" t="n">
        <v>1242</v>
      </c>
      <c r="M616" s="10" t="n">
        <f aca="false">INDEX(Dim_Supplier!$F$2:$F$21,MATCH(B616,Dim_Supplier!$A$2:$A$21,0))</f>
        <v>4.35</v>
      </c>
      <c r="N616" s="11" t="n">
        <v>0.0332</v>
      </c>
      <c r="O616" s="10" t="n">
        <f aca="false">M616*(1+N616)</f>
        <v>4.49442</v>
      </c>
      <c r="P616" s="10" t="n">
        <f aca="false">O616*L616</f>
        <v>5582.06964</v>
      </c>
      <c r="Q616" s="5" t="s">
        <v>113</v>
      </c>
      <c r="R616" s="5" t="n">
        <v>0</v>
      </c>
      <c r="S616" s="5" t="n">
        <v>30</v>
      </c>
      <c r="T616" s="12" t="n">
        <f aca="false">(O616-M616)/M616</f>
        <v>0.0331999999999999</v>
      </c>
      <c r="U616" s="8" t="n">
        <f aca="false">IF(AND(K616&lt;=I616,R616=0),1,0)</f>
        <v>0</v>
      </c>
      <c r="V616" s="10" t="n">
        <f aca="false">IF(Q616="No",P616,0)</f>
        <v>0</v>
      </c>
    </row>
    <row r="617" customFormat="false" ht="15" hidden="false" customHeight="false" outlineLevel="0" collapsed="false">
      <c r="A617" s="5" t="s">
        <v>751</v>
      </c>
      <c r="B617" s="5" t="s">
        <v>82</v>
      </c>
      <c r="C617" s="7" t="n">
        <v>46070</v>
      </c>
      <c r="D617" s="8" t="str">
        <f aca="false">INDEX(Dim_Supplier!$C$2:$C$21,MATCH(B617,Dim_Supplier!$A$2:$A$21,0))</f>
        <v>Logistics</v>
      </c>
      <c r="E617" s="8" t="str">
        <f aca="false">INDEX(Dim_Supplier!$B$2:$B$21,MATCH(B617,Dim_Supplier!$A$2:$A$21,0))</f>
        <v>Maple Route Logistics</v>
      </c>
      <c r="F617" s="5" t="s">
        <v>146</v>
      </c>
      <c r="G617" s="5" t="s">
        <v>112</v>
      </c>
      <c r="H617" s="8" t="n">
        <f aca="false">INDEX(Lookup_Tables!$B$2:$B$5,MATCH(D617,Lookup_Tables!$A$2:$A$5,0))</f>
        <v>5</v>
      </c>
      <c r="I617" s="9" t="n">
        <f aca="false">C617+H617</f>
        <v>46075</v>
      </c>
      <c r="J617" s="5" t="n">
        <v>-1</v>
      </c>
      <c r="K617" s="9" t="n">
        <f aca="false">I617+J617</f>
        <v>46074</v>
      </c>
      <c r="L617" s="5" t="n">
        <v>25</v>
      </c>
      <c r="M617" s="10" t="n">
        <f aca="false">INDEX(Dim_Supplier!$F$2:$F$21,MATCH(B617,Dim_Supplier!$A$2:$A$21,0))</f>
        <v>285</v>
      </c>
      <c r="N617" s="11" t="n">
        <v>0.0351</v>
      </c>
      <c r="O617" s="10" t="n">
        <f aca="false">M617*(1+N617)</f>
        <v>295.0035</v>
      </c>
      <c r="P617" s="10" t="n">
        <f aca="false">O617*L617</f>
        <v>7375.0875</v>
      </c>
      <c r="Q617" s="5" t="s">
        <v>113</v>
      </c>
      <c r="R617" s="5" t="n">
        <v>0</v>
      </c>
      <c r="S617" s="5" t="n">
        <v>30</v>
      </c>
      <c r="T617" s="12" t="n">
        <f aca="false">(O617-M617)/M617</f>
        <v>0.0350999999999999</v>
      </c>
      <c r="U617" s="8" t="n">
        <f aca="false">IF(AND(K617&lt;=I617,R617=0),1,0)</f>
        <v>1</v>
      </c>
      <c r="V617" s="10" t="n">
        <f aca="false">IF(Q617="No",P617,0)</f>
        <v>0</v>
      </c>
    </row>
    <row r="618" customFormat="false" ht="15" hidden="false" customHeight="false" outlineLevel="0" collapsed="false">
      <c r="A618" s="5" t="s">
        <v>752</v>
      </c>
      <c r="B618" s="5" t="s">
        <v>46</v>
      </c>
      <c r="C618" s="7" t="n">
        <v>45997</v>
      </c>
      <c r="D618" s="8" t="str">
        <f aca="false">INDEX(Dim_Supplier!$C$2:$C$21,MATCH(B618,Dim_Supplier!$A$2:$A$21,0))</f>
        <v>Raw Materials</v>
      </c>
      <c r="E618" s="8" t="str">
        <f aca="false">INDEX(Dim_Supplier!$B$2:$B$21,MATCH(B618,Dim_Supplier!$A$2:$A$21,0))</f>
        <v>Niagara Alloy Supply</v>
      </c>
      <c r="F618" s="5" t="s">
        <v>139</v>
      </c>
      <c r="G618" s="5" t="s">
        <v>125</v>
      </c>
      <c r="H618" s="8" t="n">
        <f aca="false">INDEX(Lookup_Tables!$B$2:$B$5,MATCH(D618,Lookup_Tables!$A$2:$A$5,0))</f>
        <v>21</v>
      </c>
      <c r="I618" s="9" t="n">
        <f aca="false">C618+H618</f>
        <v>46018</v>
      </c>
      <c r="J618" s="5" t="n">
        <v>1</v>
      </c>
      <c r="K618" s="9" t="n">
        <f aca="false">I618+J618</f>
        <v>46019</v>
      </c>
      <c r="L618" s="5" t="n">
        <v>1605</v>
      </c>
      <c r="M618" s="10" t="n">
        <f aca="false">INDEX(Dim_Supplier!$F$2:$F$21,MATCH(B618,Dim_Supplier!$A$2:$A$21,0))</f>
        <v>46.5</v>
      </c>
      <c r="N618" s="11" t="n">
        <v>0.0444</v>
      </c>
      <c r="O618" s="10" t="n">
        <f aca="false">M618*(1+N618)</f>
        <v>48.5646</v>
      </c>
      <c r="P618" s="10" t="n">
        <f aca="false">O618*L618</f>
        <v>77946.183</v>
      </c>
      <c r="Q618" s="5" t="s">
        <v>113</v>
      </c>
      <c r="R618" s="5" t="n">
        <v>0</v>
      </c>
      <c r="S618" s="5" t="n">
        <v>30</v>
      </c>
      <c r="T618" s="12" t="n">
        <f aca="false">(O618-M618)/M618</f>
        <v>0.0444</v>
      </c>
      <c r="U618" s="8" t="n">
        <f aca="false">IF(AND(K618&lt;=I618,R618=0),1,0)</f>
        <v>0</v>
      </c>
      <c r="V618" s="10" t="n">
        <f aca="false">IF(Q618="No",P618,0)</f>
        <v>0</v>
      </c>
    </row>
    <row r="619" customFormat="false" ht="15" hidden="false" customHeight="false" outlineLevel="0" collapsed="false">
      <c r="A619" s="5" t="s">
        <v>753</v>
      </c>
      <c r="B619" s="5" t="s">
        <v>88</v>
      </c>
      <c r="C619" s="7" t="n">
        <v>45536</v>
      </c>
      <c r="D619" s="8" t="str">
        <f aca="false">INDEX(Dim_Supplier!$C$2:$C$21,MATCH(B619,Dim_Supplier!$A$2:$A$21,0))</f>
        <v>Logistics</v>
      </c>
      <c r="E619" s="8" t="str">
        <f aca="false">INDEX(Dim_Supplier!$B$2:$B$21,MATCH(B619,Dim_Supplier!$A$2:$A$21,0))</f>
        <v>Summit Last-Mile Delivery</v>
      </c>
      <c r="F619" s="5" t="s">
        <v>237</v>
      </c>
      <c r="G619" s="5" t="s">
        <v>125</v>
      </c>
      <c r="H619" s="8" t="n">
        <f aca="false">INDEX(Lookup_Tables!$B$2:$B$5,MATCH(D619,Lookup_Tables!$A$2:$A$5,0))</f>
        <v>5</v>
      </c>
      <c r="I619" s="9" t="n">
        <f aca="false">C619+H619</f>
        <v>45541</v>
      </c>
      <c r="J619" s="5" t="n">
        <v>1</v>
      </c>
      <c r="K619" s="9" t="n">
        <f aca="false">I619+J619</f>
        <v>45542</v>
      </c>
      <c r="L619" s="5" t="n">
        <v>20</v>
      </c>
      <c r="M619" s="10" t="n">
        <f aca="false">INDEX(Dim_Supplier!$F$2:$F$21,MATCH(B619,Dim_Supplier!$A$2:$A$21,0))</f>
        <v>95</v>
      </c>
      <c r="N619" s="11" t="n">
        <v>0.0496</v>
      </c>
      <c r="O619" s="10" t="n">
        <f aca="false">M619*(1+N619)</f>
        <v>99.712</v>
      </c>
      <c r="P619" s="10" t="n">
        <f aca="false">O619*L619</f>
        <v>1994.24</v>
      </c>
      <c r="Q619" s="5" t="s">
        <v>113</v>
      </c>
      <c r="R619" s="5" t="n">
        <v>0</v>
      </c>
      <c r="S619" s="5" t="n">
        <v>60</v>
      </c>
      <c r="T619" s="12" t="n">
        <f aca="false">(O619-M619)/M619</f>
        <v>0.0496</v>
      </c>
      <c r="U619" s="8" t="n">
        <f aca="false">IF(AND(K619&lt;=I619,R619=0),1,0)</f>
        <v>0</v>
      </c>
      <c r="V619" s="10" t="n">
        <f aca="false">IF(Q619="No",P619,0)</f>
        <v>0</v>
      </c>
    </row>
    <row r="620" customFormat="false" ht="15" hidden="false" customHeight="false" outlineLevel="0" collapsed="false">
      <c r="A620" s="5" t="s">
        <v>754</v>
      </c>
      <c r="B620" s="5" t="s">
        <v>88</v>
      </c>
      <c r="C620" s="7" t="n">
        <v>45308</v>
      </c>
      <c r="D620" s="8" t="str">
        <f aca="false">INDEX(Dim_Supplier!$C$2:$C$21,MATCH(B620,Dim_Supplier!$A$2:$A$21,0))</f>
        <v>Logistics</v>
      </c>
      <c r="E620" s="8" t="str">
        <f aca="false">INDEX(Dim_Supplier!$B$2:$B$21,MATCH(B620,Dim_Supplier!$A$2:$A$21,0))</f>
        <v>Summit Last-Mile Delivery</v>
      </c>
      <c r="F620" s="5" t="s">
        <v>124</v>
      </c>
      <c r="G620" s="5" t="s">
        <v>120</v>
      </c>
      <c r="H620" s="8" t="n">
        <f aca="false">INDEX(Lookup_Tables!$B$2:$B$5,MATCH(D620,Lookup_Tables!$A$2:$A$5,0))</f>
        <v>5</v>
      </c>
      <c r="I620" s="9" t="n">
        <f aca="false">C620+H620</f>
        <v>45313</v>
      </c>
      <c r="J620" s="5" t="n">
        <v>2</v>
      </c>
      <c r="K620" s="9" t="n">
        <f aca="false">I620+J620</f>
        <v>45315</v>
      </c>
      <c r="L620" s="5" t="n">
        <v>3</v>
      </c>
      <c r="M620" s="10" t="n">
        <f aca="false">INDEX(Dim_Supplier!$F$2:$F$21,MATCH(B620,Dim_Supplier!$A$2:$A$21,0))</f>
        <v>95</v>
      </c>
      <c r="N620" s="11" t="n">
        <v>0.0521</v>
      </c>
      <c r="O620" s="10" t="n">
        <f aca="false">M620*(1+N620)</f>
        <v>99.9495</v>
      </c>
      <c r="P620" s="10" t="n">
        <f aca="false">O620*L620</f>
        <v>299.8485</v>
      </c>
      <c r="Q620" s="5" t="s">
        <v>113</v>
      </c>
      <c r="R620" s="5" t="n">
        <v>0</v>
      </c>
      <c r="S620" s="5" t="n">
        <v>45</v>
      </c>
      <c r="T620" s="12" t="n">
        <f aca="false">(O620-M620)/M620</f>
        <v>0.0521</v>
      </c>
      <c r="U620" s="8" t="n">
        <f aca="false">IF(AND(K620&lt;=I620,R620=0),1,0)</f>
        <v>0</v>
      </c>
      <c r="V620" s="10" t="n">
        <f aca="false">IF(Q620="No",P620,0)</f>
        <v>0</v>
      </c>
    </row>
    <row r="621" customFormat="false" ht="15" hidden="false" customHeight="false" outlineLevel="0" collapsed="false">
      <c r="A621" s="5" t="s">
        <v>755</v>
      </c>
      <c r="B621" s="5" t="s">
        <v>68</v>
      </c>
      <c r="C621" s="7" t="n">
        <v>45986</v>
      </c>
      <c r="D621" s="8" t="str">
        <f aca="false">INDEX(Dim_Supplier!$C$2:$C$21,MATCH(B621,Dim_Supplier!$A$2:$A$21,0))</f>
        <v>MRO</v>
      </c>
      <c r="E621" s="8" t="str">
        <f aca="false">INDEX(Dim_Supplier!$B$2:$B$21,MATCH(B621,Dim_Supplier!$A$2:$A$21,0))</f>
        <v>Precision Tool &amp; Supply</v>
      </c>
      <c r="F621" s="5" t="s">
        <v>132</v>
      </c>
      <c r="G621" s="5" t="s">
        <v>112</v>
      </c>
      <c r="H621" s="8" t="n">
        <f aca="false">INDEX(Lookup_Tables!$B$2:$B$5,MATCH(D621,Lookup_Tables!$A$2:$A$5,0))</f>
        <v>10</v>
      </c>
      <c r="I621" s="9" t="n">
        <f aca="false">C621+H621</f>
        <v>45996</v>
      </c>
      <c r="J621" s="5" t="n">
        <v>-3</v>
      </c>
      <c r="K621" s="9" t="n">
        <f aca="false">I621+J621</f>
        <v>45993</v>
      </c>
      <c r="L621" s="5" t="n">
        <v>23</v>
      </c>
      <c r="M621" s="10" t="n">
        <f aca="false">INDEX(Dim_Supplier!$F$2:$F$21,MATCH(B621,Dim_Supplier!$A$2:$A$21,0))</f>
        <v>22.4</v>
      </c>
      <c r="N621" s="11" t="n">
        <v>-0.0045</v>
      </c>
      <c r="O621" s="10" t="n">
        <f aca="false">M621*(1+N621)</f>
        <v>22.2992</v>
      </c>
      <c r="P621" s="10" t="n">
        <f aca="false">O621*L621</f>
        <v>512.8816</v>
      </c>
      <c r="Q621" s="5" t="s">
        <v>113</v>
      </c>
      <c r="R621" s="5" t="n">
        <v>0</v>
      </c>
      <c r="S621" s="5" t="n">
        <v>45</v>
      </c>
      <c r="T621" s="12" t="n">
        <f aca="false">(O621-M621)/M621</f>
        <v>-0.00449999999999998</v>
      </c>
      <c r="U621" s="8" t="n">
        <f aca="false">IF(AND(K621&lt;=I621,R621=0),1,0)</f>
        <v>1</v>
      </c>
      <c r="V621" s="10" t="n">
        <f aca="false">IF(Q621="No",P621,0)</f>
        <v>0</v>
      </c>
    </row>
    <row r="622" customFormat="false" ht="15" hidden="false" customHeight="false" outlineLevel="0" collapsed="false">
      <c r="A622" s="5" t="s">
        <v>756</v>
      </c>
      <c r="B622" s="5" t="s">
        <v>64</v>
      </c>
      <c r="C622" s="7" t="n">
        <v>45925</v>
      </c>
      <c r="D622" s="8" t="str">
        <f aca="false">INDEX(Dim_Supplier!$C$2:$C$21,MATCH(B622,Dim_Supplier!$A$2:$A$21,0))</f>
        <v>Packaging</v>
      </c>
      <c r="E622" s="8" t="str">
        <f aca="false">INDEX(Dim_Supplier!$B$2:$B$21,MATCH(B622,Dim_Supplier!$A$2:$A$21,0))</f>
        <v>Huron Pallet Works</v>
      </c>
      <c r="F622" s="5" t="s">
        <v>117</v>
      </c>
      <c r="G622" s="5" t="s">
        <v>112</v>
      </c>
      <c r="H622" s="8" t="n">
        <f aca="false">INDEX(Lookup_Tables!$B$2:$B$5,MATCH(D622,Lookup_Tables!$A$2:$A$5,0))</f>
        <v>14</v>
      </c>
      <c r="I622" s="9" t="n">
        <f aca="false">C622+H622</f>
        <v>45939</v>
      </c>
      <c r="J622" s="5" t="n">
        <v>5</v>
      </c>
      <c r="K622" s="9" t="n">
        <f aca="false">I622+J622</f>
        <v>45944</v>
      </c>
      <c r="L622" s="5" t="n">
        <v>1911</v>
      </c>
      <c r="M622" s="10" t="n">
        <f aca="false">INDEX(Dim_Supplier!$F$2:$F$21,MATCH(B622,Dim_Supplier!$A$2:$A$21,0))</f>
        <v>2.25</v>
      </c>
      <c r="N622" s="11" t="n">
        <v>0.1299</v>
      </c>
      <c r="O622" s="10" t="n">
        <f aca="false">M622*(1+N622)</f>
        <v>2.542275</v>
      </c>
      <c r="P622" s="10" t="n">
        <f aca="false">O622*L622</f>
        <v>4858.287525</v>
      </c>
      <c r="Q622" s="5" t="s">
        <v>133</v>
      </c>
      <c r="R622" s="5" t="n">
        <v>0</v>
      </c>
      <c r="S622" s="5" t="n">
        <v>60</v>
      </c>
      <c r="T622" s="12" t="n">
        <f aca="false">(O622-M622)/M622</f>
        <v>0.1299</v>
      </c>
      <c r="U622" s="8" t="n">
        <f aca="false">IF(AND(K622&lt;=I622,R622=0),1,0)</f>
        <v>0</v>
      </c>
      <c r="V622" s="10" t="n">
        <f aca="false">IF(Q622="No",P622,0)</f>
        <v>4858.287525</v>
      </c>
    </row>
    <row r="623" customFormat="false" ht="15" hidden="false" customHeight="false" outlineLevel="0" collapsed="false">
      <c r="A623" s="5" t="s">
        <v>757</v>
      </c>
      <c r="B623" s="5" t="s">
        <v>46</v>
      </c>
      <c r="C623" s="7" t="n">
        <v>45917</v>
      </c>
      <c r="D623" s="8" t="str">
        <f aca="false">INDEX(Dim_Supplier!$C$2:$C$21,MATCH(B623,Dim_Supplier!$A$2:$A$21,0))</f>
        <v>Raw Materials</v>
      </c>
      <c r="E623" s="8" t="str">
        <f aca="false">INDEX(Dim_Supplier!$B$2:$B$21,MATCH(B623,Dim_Supplier!$A$2:$A$21,0))</f>
        <v>Niagara Alloy Supply</v>
      </c>
      <c r="F623" s="5" t="s">
        <v>115</v>
      </c>
      <c r="G623" s="5" t="s">
        <v>129</v>
      </c>
      <c r="H623" s="8" t="n">
        <f aca="false">INDEX(Lookup_Tables!$B$2:$B$5,MATCH(D623,Lookup_Tables!$A$2:$A$5,0))</f>
        <v>21</v>
      </c>
      <c r="I623" s="9" t="n">
        <f aca="false">C623+H623</f>
        <v>45938</v>
      </c>
      <c r="J623" s="5" t="n">
        <v>-1</v>
      </c>
      <c r="K623" s="9" t="n">
        <f aca="false">I623+J623</f>
        <v>45937</v>
      </c>
      <c r="L623" s="5" t="n">
        <v>1118</v>
      </c>
      <c r="M623" s="10" t="n">
        <f aca="false">INDEX(Dim_Supplier!$F$2:$F$21,MATCH(B623,Dim_Supplier!$A$2:$A$21,0))</f>
        <v>46.5</v>
      </c>
      <c r="N623" s="11" t="n">
        <v>0.0214</v>
      </c>
      <c r="O623" s="10" t="n">
        <f aca="false">M623*(1+N623)</f>
        <v>47.4951</v>
      </c>
      <c r="P623" s="10" t="n">
        <f aca="false">O623*L623</f>
        <v>53099.5218</v>
      </c>
      <c r="Q623" s="5" t="s">
        <v>113</v>
      </c>
      <c r="R623" s="5" t="n">
        <v>0</v>
      </c>
      <c r="S623" s="5" t="n">
        <v>30</v>
      </c>
      <c r="T623" s="12" t="n">
        <f aca="false">(O623-M623)/M623</f>
        <v>0.0214</v>
      </c>
      <c r="U623" s="8" t="n">
        <f aca="false">IF(AND(K623&lt;=I623,R623=0),1,0)</f>
        <v>1</v>
      </c>
      <c r="V623" s="10" t="n">
        <f aca="false">IF(Q623="No",P623,0)</f>
        <v>0</v>
      </c>
    </row>
    <row r="624" customFormat="false" ht="15" hidden="false" customHeight="false" outlineLevel="0" collapsed="false">
      <c r="A624" s="5" t="s">
        <v>758</v>
      </c>
      <c r="B624" s="5" t="s">
        <v>52</v>
      </c>
      <c r="C624" s="7" t="n">
        <v>45637</v>
      </c>
      <c r="D624" s="8" t="str">
        <f aca="false">INDEX(Dim_Supplier!$C$2:$C$21,MATCH(B624,Dim_Supplier!$A$2:$A$21,0))</f>
        <v>Raw Materials</v>
      </c>
      <c r="E624" s="8" t="str">
        <f aca="false">INDEX(Dim_Supplier!$B$2:$B$21,MATCH(B624,Dim_Supplier!$A$2:$A$21,0))</f>
        <v>Laurentian Metals Inc.</v>
      </c>
      <c r="F624" s="5" t="s">
        <v>142</v>
      </c>
      <c r="G624" s="5" t="s">
        <v>120</v>
      </c>
      <c r="H624" s="8" t="n">
        <f aca="false">INDEX(Lookup_Tables!$B$2:$B$5,MATCH(D624,Lookup_Tables!$A$2:$A$5,0))</f>
        <v>21</v>
      </c>
      <c r="I624" s="9" t="n">
        <f aca="false">C624+H624</f>
        <v>45658</v>
      </c>
      <c r="J624" s="5" t="n">
        <v>-1</v>
      </c>
      <c r="K624" s="9" t="n">
        <f aca="false">I624+J624</f>
        <v>45657</v>
      </c>
      <c r="L624" s="5" t="n">
        <v>1217</v>
      </c>
      <c r="M624" s="10" t="n">
        <f aca="false">INDEX(Dim_Supplier!$F$2:$F$21,MATCH(B624,Dim_Supplier!$A$2:$A$21,0))</f>
        <v>61.2</v>
      </c>
      <c r="N624" s="11" t="n">
        <v>0.0409</v>
      </c>
      <c r="O624" s="10" t="n">
        <f aca="false">M624*(1+N624)</f>
        <v>63.70308</v>
      </c>
      <c r="P624" s="10" t="n">
        <f aca="false">O624*L624</f>
        <v>77526.64836</v>
      </c>
      <c r="Q624" s="5" t="s">
        <v>113</v>
      </c>
      <c r="R624" s="5" t="n">
        <v>0</v>
      </c>
      <c r="S624" s="5" t="n">
        <v>45</v>
      </c>
      <c r="T624" s="12" t="n">
        <f aca="false">(O624-M624)/M624</f>
        <v>0.0409</v>
      </c>
      <c r="U624" s="8" t="n">
        <f aca="false">IF(AND(K624&lt;=I624,R624=0),1,0)</f>
        <v>1</v>
      </c>
      <c r="V624" s="10" t="n">
        <f aca="false">IF(Q624="No",P624,0)</f>
        <v>0</v>
      </c>
    </row>
    <row r="625" customFormat="false" ht="15" hidden="false" customHeight="false" outlineLevel="0" collapsed="false">
      <c r="A625" s="5" t="s">
        <v>759</v>
      </c>
      <c r="B625" s="5" t="s">
        <v>79</v>
      </c>
      <c r="C625" s="7" t="n">
        <v>45899</v>
      </c>
      <c r="D625" s="8" t="str">
        <f aca="false">INDEX(Dim_Supplier!$C$2:$C$21,MATCH(B625,Dim_Supplier!$A$2:$A$21,0))</f>
        <v>Logistics</v>
      </c>
      <c r="E625" s="8" t="str">
        <f aca="false">INDEX(Dim_Supplier!$B$2:$B$21,MATCH(B625,Dim_Supplier!$A$2:$A$21,0))</f>
        <v>Niagara Freight Solutions</v>
      </c>
      <c r="F625" s="5" t="s">
        <v>154</v>
      </c>
      <c r="G625" s="5" t="s">
        <v>120</v>
      </c>
      <c r="H625" s="8" t="n">
        <f aca="false">INDEX(Lookup_Tables!$B$2:$B$5,MATCH(D625,Lookup_Tables!$A$2:$A$5,0))</f>
        <v>5</v>
      </c>
      <c r="I625" s="9" t="n">
        <f aca="false">C625+H625</f>
        <v>45904</v>
      </c>
      <c r="J625" s="5" t="n">
        <v>-1</v>
      </c>
      <c r="K625" s="9" t="n">
        <f aca="false">I625+J625</f>
        <v>45903</v>
      </c>
      <c r="L625" s="5" t="n">
        <v>49</v>
      </c>
      <c r="M625" s="10" t="n">
        <f aca="false">INDEX(Dim_Supplier!$F$2:$F$21,MATCH(B625,Dim_Supplier!$A$2:$A$21,0))</f>
        <v>340</v>
      </c>
      <c r="N625" s="11" t="n">
        <v>0.0162</v>
      </c>
      <c r="O625" s="10" t="n">
        <f aca="false">M625*(1+N625)</f>
        <v>345.508</v>
      </c>
      <c r="P625" s="10" t="n">
        <f aca="false">O625*L625</f>
        <v>16929.892</v>
      </c>
      <c r="Q625" s="5" t="s">
        <v>113</v>
      </c>
      <c r="R625" s="5" t="n">
        <v>0</v>
      </c>
      <c r="S625" s="5" t="n">
        <v>45</v>
      </c>
      <c r="T625" s="12" t="n">
        <f aca="false">(O625-M625)/M625</f>
        <v>0.0161999999999999</v>
      </c>
      <c r="U625" s="8" t="n">
        <f aca="false">IF(AND(K625&lt;=I625,R625=0),1,0)</f>
        <v>1</v>
      </c>
      <c r="V625" s="10" t="n">
        <f aca="false">IF(Q625="No",P625,0)</f>
        <v>0</v>
      </c>
    </row>
    <row r="626" customFormat="false" ht="15" hidden="false" customHeight="false" outlineLevel="0" collapsed="false">
      <c r="A626" s="5" t="s">
        <v>760</v>
      </c>
      <c r="B626" s="5" t="s">
        <v>62</v>
      </c>
      <c r="C626" s="7" t="n">
        <v>45887</v>
      </c>
      <c r="D626" s="8" t="str">
        <f aca="false">INDEX(Dim_Supplier!$C$2:$C$21,MATCH(B626,Dim_Supplier!$A$2:$A$21,0))</f>
        <v>Packaging</v>
      </c>
      <c r="E626" s="8" t="str">
        <f aca="false">INDEX(Dim_Supplier!$B$2:$B$21,MATCH(B626,Dim_Supplier!$A$2:$A$21,0))</f>
        <v>Trillium Packaging Solutions</v>
      </c>
      <c r="F626" s="5" t="s">
        <v>117</v>
      </c>
      <c r="G626" s="5" t="s">
        <v>112</v>
      </c>
      <c r="H626" s="8" t="n">
        <f aca="false">INDEX(Lookup_Tables!$B$2:$B$5,MATCH(D626,Lookup_Tables!$A$2:$A$5,0))</f>
        <v>14</v>
      </c>
      <c r="I626" s="9" t="n">
        <f aca="false">C626+H626</f>
        <v>45901</v>
      </c>
      <c r="J626" s="5" t="n">
        <v>0</v>
      </c>
      <c r="K626" s="9" t="n">
        <f aca="false">I626+J626</f>
        <v>45901</v>
      </c>
      <c r="L626" s="5" t="n">
        <v>3581</v>
      </c>
      <c r="M626" s="10" t="n">
        <f aca="false">INDEX(Dim_Supplier!$F$2:$F$21,MATCH(B626,Dim_Supplier!$A$2:$A$21,0))</f>
        <v>5.6</v>
      </c>
      <c r="N626" s="11" t="n">
        <v>0.0428</v>
      </c>
      <c r="O626" s="10" t="n">
        <f aca="false">M626*(1+N626)</f>
        <v>5.83968</v>
      </c>
      <c r="P626" s="10" t="n">
        <f aca="false">O626*L626</f>
        <v>20911.89408</v>
      </c>
      <c r="Q626" s="5" t="s">
        <v>113</v>
      </c>
      <c r="R626" s="5" t="n">
        <v>250</v>
      </c>
      <c r="S626" s="5" t="n">
        <v>30</v>
      </c>
      <c r="T626" s="12" t="n">
        <f aca="false">(O626-M626)/M626</f>
        <v>0.0428</v>
      </c>
      <c r="U626" s="8" t="n">
        <f aca="false">IF(AND(K626&lt;=I626,R626=0),1,0)</f>
        <v>0</v>
      </c>
      <c r="V626" s="10" t="n">
        <f aca="false">IF(Q626="No",P626,0)</f>
        <v>0</v>
      </c>
    </row>
    <row r="627" customFormat="false" ht="15" hidden="false" customHeight="false" outlineLevel="0" collapsed="false">
      <c r="A627" s="5" t="s">
        <v>761</v>
      </c>
      <c r="B627" s="5" t="s">
        <v>41</v>
      </c>
      <c r="C627" s="7" t="n">
        <v>45383</v>
      </c>
      <c r="D627" s="8" t="str">
        <f aca="false">INDEX(Dim_Supplier!$C$2:$C$21,MATCH(B627,Dim_Supplier!$A$2:$A$21,0))</f>
        <v>Raw Materials</v>
      </c>
      <c r="E627" s="8" t="str">
        <f aca="false">INDEX(Dim_Supplier!$B$2:$B$21,MATCH(B627,Dim_Supplier!$A$2:$A$21,0))</f>
        <v>Ontario Steel Partners</v>
      </c>
      <c r="F627" s="5" t="s">
        <v>144</v>
      </c>
      <c r="G627" s="5" t="s">
        <v>120</v>
      </c>
      <c r="H627" s="8" t="n">
        <f aca="false">INDEX(Lookup_Tables!$B$2:$B$5,MATCH(D627,Lookup_Tables!$A$2:$A$5,0))</f>
        <v>21</v>
      </c>
      <c r="I627" s="9" t="n">
        <f aca="false">C627+H627</f>
        <v>45404</v>
      </c>
      <c r="J627" s="5" t="n">
        <v>-4</v>
      </c>
      <c r="K627" s="9" t="n">
        <f aca="false">I627+J627</f>
        <v>45400</v>
      </c>
      <c r="L627" s="5" t="n">
        <v>1682</v>
      </c>
      <c r="M627" s="10" t="n">
        <f aca="false">INDEX(Dim_Supplier!$F$2:$F$21,MATCH(B627,Dim_Supplier!$A$2:$A$21,0))</f>
        <v>58</v>
      </c>
      <c r="N627" s="11" t="n">
        <v>0.0282</v>
      </c>
      <c r="O627" s="10" t="n">
        <f aca="false">M627*(1+N627)</f>
        <v>59.6356</v>
      </c>
      <c r="P627" s="10" t="n">
        <f aca="false">O627*L627</f>
        <v>100307.0792</v>
      </c>
      <c r="Q627" s="5" t="s">
        <v>113</v>
      </c>
      <c r="R627" s="5" t="n">
        <v>0</v>
      </c>
      <c r="S627" s="5" t="n">
        <v>30</v>
      </c>
      <c r="T627" s="12" t="n">
        <f aca="false">(O627-M627)/M627</f>
        <v>0.0281999999999999</v>
      </c>
      <c r="U627" s="8" t="n">
        <f aca="false">IF(AND(K627&lt;=I627,R627=0),1,0)</f>
        <v>1</v>
      </c>
      <c r="V627" s="10" t="n">
        <f aca="false">IF(Q627="No",P627,0)</f>
        <v>0</v>
      </c>
    </row>
    <row r="628" customFormat="false" ht="15" hidden="false" customHeight="false" outlineLevel="0" collapsed="false">
      <c r="A628" s="5" t="s">
        <v>762</v>
      </c>
      <c r="B628" s="5" t="s">
        <v>54</v>
      </c>
      <c r="C628" s="7" t="n">
        <v>45753</v>
      </c>
      <c r="D628" s="8" t="str">
        <f aca="false">INDEX(Dim_Supplier!$C$2:$C$21,MATCH(B628,Dim_Supplier!$A$2:$A$21,0))</f>
        <v>Raw Materials</v>
      </c>
      <c r="E628" s="8" t="str">
        <f aca="false">INDEX(Dim_Supplier!$B$2:$B$21,MATCH(B628,Dim_Supplier!$A$2:$A$21,0))</f>
        <v>Northern Resin Solutions</v>
      </c>
      <c r="F628" s="5" t="s">
        <v>142</v>
      </c>
      <c r="G628" s="5" t="s">
        <v>112</v>
      </c>
      <c r="H628" s="8" t="n">
        <f aca="false">INDEX(Lookup_Tables!$B$2:$B$5,MATCH(D628,Lookup_Tables!$A$2:$A$5,0))</f>
        <v>21</v>
      </c>
      <c r="I628" s="9" t="n">
        <f aca="false">C628+H628</f>
        <v>45774</v>
      </c>
      <c r="J628" s="5" t="n">
        <v>2</v>
      </c>
      <c r="K628" s="9" t="n">
        <f aca="false">I628+J628</f>
        <v>45776</v>
      </c>
      <c r="L628" s="5" t="n">
        <v>177</v>
      </c>
      <c r="M628" s="10" t="n">
        <f aca="false">INDEX(Dim_Supplier!$F$2:$F$21,MATCH(B628,Dim_Supplier!$A$2:$A$21,0))</f>
        <v>38.9</v>
      </c>
      <c r="N628" s="11" t="n">
        <v>0.0396</v>
      </c>
      <c r="O628" s="10" t="n">
        <f aca="false">M628*(1+N628)</f>
        <v>40.44044</v>
      </c>
      <c r="P628" s="10" t="n">
        <f aca="false">O628*L628</f>
        <v>7157.95788</v>
      </c>
      <c r="Q628" s="5" t="s">
        <v>113</v>
      </c>
      <c r="R628" s="5" t="n">
        <v>0</v>
      </c>
      <c r="S628" s="5" t="n">
        <v>45</v>
      </c>
      <c r="T628" s="12" t="n">
        <f aca="false">(O628-M628)/M628</f>
        <v>0.0396000000000001</v>
      </c>
      <c r="U628" s="8" t="n">
        <f aca="false">IF(AND(K628&lt;=I628,R628=0),1,0)</f>
        <v>0</v>
      </c>
      <c r="V628" s="10" t="n">
        <f aca="false">IF(Q628="No",P628,0)</f>
        <v>0</v>
      </c>
    </row>
    <row r="629" customFormat="false" ht="15" hidden="false" customHeight="false" outlineLevel="0" collapsed="false">
      <c r="A629" s="5" t="s">
        <v>763</v>
      </c>
      <c r="B629" s="5" t="s">
        <v>46</v>
      </c>
      <c r="C629" s="7" t="n">
        <v>46138</v>
      </c>
      <c r="D629" s="8" t="str">
        <f aca="false">INDEX(Dim_Supplier!$C$2:$C$21,MATCH(B629,Dim_Supplier!$A$2:$A$21,0))</f>
        <v>Raw Materials</v>
      </c>
      <c r="E629" s="8" t="str">
        <f aca="false">INDEX(Dim_Supplier!$B$2:$B$21,MATCH(B629,Dim_Supplier!$A$2:$A$21,0))</f>
        <v>Niagara Alloy Supply</v>
      </c>
      <c r="F629" s="5" t="s">
        <v>139</v>
      </c>
      <c r="G629" s="5" t="s">
        <v>120</v>
      </c>
      <c r="H629" s="8" t="n">
        <f aca="false">INDEX(Lookup_Tables!$B$2:$B$5,MATCH(D629,Lookup_Tables!$A$2:$A$5,0))</f>
        <v>21</v>
      </c>
      <c r="I629" s="9" t="n">
        <f aca="false">C629+H629</f>
        <v>46159</v>
      </c>
      <c r="J629" s="5" t="n">
        <v>-3</v>
      </c>
      <c r="K629" s="9" t="n">
        <f aca="false">I629+J629</f>
        <v>46156</v>
      </c>
      <c r="L629" s="5" t="n">
        <v>493</v>
      </c>
      <c r="M629" s="10" t="n">
        <f aca="false">INDEX(Dim_Supplier!$F$2:$F$21,MATCH(B629,Dim_Supplier!$A$2:$A$21,0))</f>
        <v>46.5</v>
      </c>
      <c r="N629" s="11" t="n">
        <v>0.0425</v>
      </c>
      <c r="O629" s="10" t="n">
        <f aca="false">M629*(1+N629)</f>
        <v>48.47625</v>
      </c>
      <c r="P629" s="10" t="n">
        <f aca="false">O629*L629</f>
        <v>23898.79125</v>
      </c>
      <c r="Q629" s="5" t="s">
        <v>113</v>
      </c>
      <c r="R629" s="5" t="n">
        <v>0</v>
      </c>
      <c r="S629" s="5" t="n">
        <v>30</v>
      </c>
      <c r="T629" s="12" t="n">
        <f aca="false">(O629-M629)/M629</f>
        <v>0.0425</v>
      </c>
      <c r="U629" s="8" t="n">
        <f aca="false">IF(AND(K629&lt;=I629,R629=0),1,0)</f>
        <v>1</v>
      </c>
      <c r="V629" s="10" t="n">
        <f aca="false">IF(Q629="No",P629,0)</f>
        <v>0</v>
      </c>
    </row>
    <row r="630" customFormat="false" ht="15" hidden="false" customHeight="false" outlineLevel="0" collapsed="false">
      <c r="A630" s="5" t="s">
        <v>764</v>
      </c>
      <c r="B630" s="5" t="s">
        <v>57</v>
      </c>
      <c r="C630" s="7" t="n">
        <v>46071</v>
      </c>
      <c r="D630" s="8" t="str">
        <f aca="false">INDEX(Dim_Supplier!$C$2:$C$21,MATCH(B630,Dim_Supplier!$A$2:$A$21,0))</f>
        <v>Packaging</v>
      </c>
      <c r="E630" s="8" t="str">
        <f aca="false">INDEX(Dim_Supplier!$B$2:$B$21,MATCH(B630,Dim_Supplier!$A$2:$A$21,0))</f>
        <v>Great Lakes Packaging Co.</v>
      </c>
      <c r="F630" s="5" t="s">
        <v>122</v>
      </c>
      <c r="G630" s="5" t="s">
        <v>112</v>
      </c>
      <c r="H630" s="8" t="n">
        <f aca="false">INDEX(Lookup_Tables!$B$2:$B$5,MATCH(D630,Lookup_Tables!$A$2:$A$5,0))</f>
        <v>14</v>
      </c>
      <c r="I630" s="9" t="n">
        <f aca="false">C630+H630</f>
        <v>46085</v>
      </c>
      <c r="J630" s="5" t="n">
        <v>-4</v>
      </c>
      <c r="K630" s="9" t="n">
        <f aca="false">I630+J630</f>
        <v>46081</v>
      </c>
      <c r="L630" s="5" t="n">
        <v>2204</v>
      </c>
      <c r="M630" s="10" t="n">
        <f aca="false">INDEX(Dim_Supplier!$F$2:$F$21,MATCH(B630,Dim_Supplier!$A$2:$A$21,0))</f>
        <v>4.35</v>
      </c>
      <c r="N630" s="11" t="n">
        <v>0.0163</v>
      </c>
      <c r="O630" s="10" t="n">
        <f aca="false">M630*(1+N630)</f>
        <v>4.420905</v>
      </c>
      <c r="P630" s="10" t="n">
        <f aca="false">O630*L630</f>
        <v>9743.67462</v>
      </c>
      <c r="Q630" s="5" t="s">
        <v>113</v>
      </c>
      <c r="R630" s="5" t="n">
        <v>0</v>
      </c>
      <c r="S630" s="5" t="n">
        <v>45</v>
      </c>
      <c r="T630" s="12" t="n">
        <f aca="false">(O630-M630)/M630</f>
        <v>0.0163</v>
      </c>
      <c r="U630" s="8" t="n">
        <f aca="false">IF(AND(K630&lt;=I630,R630=0),1,0)</f>
        <v>1</v>
      </c>
      <c r="V630" s="10" t="n">
        <f aca="false">IF(Q630="No",P630,0)</f>
        <v>0</v>
      </c>
    </row>
    <row r="631" customFormat="false" ht="15" hidden="false" customHeight="false" outlineLevel="0" collapsed="false">
      <c r="A631" s="5" t="s">
        <v>765</v>
      </c>
      <c r="B631" s="5" t="s">
        <v>75</v>
      </c>
      <c r="C631" s="7" t="n">
        <v>45777</v>
      </c>
      <c r="D631" s="8" t="str">
        <f aca="false">INDEX(Dim_Supplier!$C$2:$C$21,MATCH(B631,Dim_Supplier!$A$2:$A$21,0))</f>
        <v>MRO</v>
      </c>
      <c r="E631" s="8" t="str">
        <f aca="false">INDEX(Dim_Supplier!$B$2:$B$21,MATCH(B631,Dim_Supplier!$A$2:$A$21,0))</f>
        <v>Sterling Lubricants Inc.</v>
      </c>
      <c r="F631" s="5" t="s">
        <v>179</v>
      </c>
      <c r="G631" s="5" t="s">
        <v>112</v>
      </c>
      <c r="H631" s="8" t="n">
        <f aca="false">INDEX(Lookup_Tables!$B$2:$B$5,MATCH(D631,Lookup_Tables!$A$2:$A$5,0))</f>
        <v>10</v>
      </c>
      <c r="I631" s="9" t="n">
        <f aca="false">C631+H631</f>
        <v>45787</v>
      </c>
      <c r="J631" s="5" t="n">
        <v>-1</v>
      </c>
      <c r="K631" s="9" t="n">
        <f aca="false">I631+J631</f>
        <v>45786</v>
      </c>
      <c r="L631" s="5" t="n">
        <v>18</v>
      </c>
      <c r="M631" s="10" t="n">
        <f aca="false">INDEX(Dim_Supplier!$F$2:$F$21,MATCH(B631,Dim_Supplier!$A$2:$A$21,0))</f>
        <v>27.1</v>
      </c>
      <c r="N631" s="11" t="n">
        <v>0.0582</v>
      </c>
      <c r="O631" s="10" t="n">
        <f aca="false">M631*(1+N631)</f>
        <v>28.67722</v>
      </c>
      <c r="P631" s="10" t="n">
        <f aca="false">O631*L631</f>
        <v>516.18996</v>
      </c>
      <c r="Q631" s="5" t="s">
        <v>113</v>
      </c>
      <c r="R631" s="5" t="n">
        <v>0</v>
      </c>
      <c r="S631" s="5" t="n">
        <v>30</v>
      </c>
      <c r="T631" s="12" t="n">
        <f aca="false">(O631-M631)/M631</f>
        <v>0.0582</v>
      </c>
      <c r="U631" s="8" t="n">
        <f aca="false">IF(AND(K631&lt;=I631,R631=0),1,0)</f>
        <v>1</v>
      </c>
      <c r="V631" s="10" t="n">
        <f aca="false">IF(Q631="No",P631,0)</f>
        <v>0</v>
      </c>
    </row>
    <row r="632" customFormat="false" ht="15" hidden="false" customHeight="false" outlineLevel="0" collapsed="false">
      <c r="A632" s="5" t="s">
        <v>766</v>
      </c>
      <c r="B632" s="5" t="s">
        <v>57</v>
      </c>
      <c r="C632" s="7" t="n">
        <v>46116</v>
      </c>
      <c r="D632" s="8" t="str">
        <f aca="false">INDEX(Dim_Supplier!$C$2:$C$21,MATCH(B632,Dim_Supplier!$A$2:$A$21,0))</f>
        <v>Packaging</v>
      </c>
      <c r="E632" s="8" t="str">
        <f aca="false">INDEX(Dim_Supplier!$B$2:$B$21,MATCH(B632,Dim_Supplier!$A$2:$A$21,0))</f>
        <v>Great Lakes Packaging Co.</v>
      </c>
      <c r="F632" s="5" t="s">
        <v>137</v>
      </c>
      <c r="G632" s="5" t="s">
        <v>129</v>
      </c>
      <c r="H632" s="8" t="n">
        <f aca="false">INDEX(Lookup_Tables!$B$2:$B$5,MATCH(D632,Lookup_Tables!$A$2:$A$5,0))</f>
        <v>14</v>
      </c>
      <c r="I632" s="9" t="n">
        <f aca="false">C632+H632</f>
        <v>46130</v>
      </c>
      <c r="J632" s="5" t="n">
        <v>-2</v>
      </c>
      <c r="K632" s="9" t="n">
        <f aca="false">I632+J632</f>
        <v>46128</v>
      </c>
      <c r="L632" s="5" t="n">
        <v>4902</v>
      </c>
      <c r="M632" s="10" t="n">
        <f aca="false">INDEX(Dim_Supplier!$F$2:$F$21,MATCH(B632,Dim_Supplier!$A$2:$A$21,0))</f>
        <v>4.35</v>
      </c>
      <c r="N632" s="11" t="n">
        <v>0.014</v>
      </c>
      <c r="O632" s="10" t="n">
        <f aca="false">M632*(1+N632)</f>
        <v>4.4109</v>
      </c>
      <c r="P632" s="10" t="n">
        <f aca="false">O632*L632</f>
        <v>21622.2318</v>
      </c>
      <c r="Q632" s="5" t="s">
        <v>113</v>
      </c>
      <c r="R632" s="5" t="n">
        <v>0</v>
      </c>
      <c r="S632" s="5" t="n">
        <v>30</v>
      </c>
      <c r="T632" s="12" t="n">
        <f aca="false">(O632-M632)/M632</f>
        <v>0.014</v>
      </c>
      <c r="U632" s="8" t="n">
        <f aca="false">IF(AND(K632&lt;=I632,R632=0),1,0)</f>
        <v>1</v>
      </c>
      <c r="V632" s="10" t="n">
        <f aca="false">IF(Q632="No",P632,0)</f>
        <v>0</v>
      </c>
    </row>
    <row r="633" customFormat="false" ht="15" hidden="false" customHeight="false" outlineLevel="0" collapsed="false">
      <c r="A633" s="5" t="s">
        <v>767</v>
      </c>
      <c r="B633" s="5" t="s">
        <v>46</v>
      </c>
      <c r="C633" s="7" t="n">
        <v>45532</v>
      </c>
      <c r="D633" s="8" t="str">
        <f aca="false">INDEX(Dim_Supplier!$C$2:$C$21,MATCH(B633,Dim_Supplier!$A$2:$A$21,0))</f>
        <v>Raw Materials</v>
      </c>
      <c r="E633" s="8" t="str">
        <f aca="false">INDEX(Dim_Supplier!$B$2:$B$21,MATCH(B633,Dim_Supplier!$A$2:$A$21,0))</f>
        <v>Niagara Alloy Supply</v>
      </c>
      <c r="F633" s="5" t="s">
        <v>142</v>
      </c>
      <c r="G633" s="5" t="s">
        <v>120</v>
      </c>
      <c r="H633" s="8" t="n">
        <f aca="false">INDEX(Lookup_Tables!$B$2:$B$5,MATCH(D633,Lookup_Tables!$A$2:$A$5,0))</f>
        <v>21</v>
      </c>
      <c r="I633" s="9" t="n">
        <f aca="false">C633+H633</f>
        <v>45553</v>
      </c>
      <c r="J633" s="5" t="n">
        <v>-4</v>
      </c>
      <c r="K633" s="9" t="n">
        <f aca="false">I633+J633</f>
        <v>45549</v>
      </c>
      <c r="L633" s="5" t="n">
        <v>1939</v>
      </c>
      <c r="M633" s="10" t="n">
        <f aca="false">INDEX(Dim_Supplier!$F$2:$F$21,MATCH(B633,Dim_Supplier!$A$2:$A$21,0))</f>
        <v>46.5</v>
      </c>
      <c r="N633" s="11" t="n">
        <v>0.0461</v>
      </c>
      <c r="O633" s="10" t="n">
        <f aca="false">M633*(1+N633)</f>
        <v>48.64365</v>
      </c>
      <c r="P633" s="10" t="n">
        <f aca="false">O633*L633</f>
        <v>94320.03735</v>
      </c>
      <c r="Q633" s="5" t="s">
        <v>113</v>
      </c>
      <c r="R633" s="5" t="n">
        <v>0</v>
      </c>
      <c r="S633" s="5" t="n">
        <v>30</v>
      </c>
      <c r="T633" s="12" t="n">
        <f aca="false">(O633-M633)/M633</f>
        <v>0.0461</v>
      </c>
      <c r="U633" s="8" t="n">
        <f aca="false">IF(AND(K633&lt;=I633,R633=0),1,0)</f>
        <v>1</v>
      </c>
      <c r="V633" s="10" t="n">
        <f aca="false">IF(Q633="No",P633,0)</f>
        <v>0</v>
      </c>
    </row>
    <row r="634" customFormat="false" ht="15" hidden="false" customHeight="false" outlineLevel="0" collapsed="false">
      <c r="A634" s="5" t="s">
        <v>768</v>
      </c>
      <c r="B634" s="5" t="s">
        <v>46</v>
      </c>
      <c r="C634" s="7" t="n">
        <v>46047</v>
      </c>
      <c r="D634" s="8" t="str">
        <f aca="false">INDEX(Dim_Supplier!$C$2:$C$21,MATCH(B634,Dim_Supplier!$A$2:$A$21,0))</f>
        <v>Raw Materials</v>
      </c>
      <c r="E634" s="8" t="str">
        <f aca="false">INDEX(Dim_Supplier!$B$2:$B$21,MATCH(B634,Dim_Supplier!$A$2:$A$21,0))</f>
        <v>Niagara Alloy Supply</v>
      </c>
      <c r="F634" s="5" t="s">
        <v>142</v>
      </c>
      <c r="G634" s="5" t="s">
        <v>112</v>
      </c>
      <c r="H634" s="8" t="n">
        <f aca="false">INDEX(Lookup_Tables!$B$2:$B$5,MATCH(D634,Lookup_Tables!$A$2:$A$5,0))</f>
        <v>21</v>
      </c>
      <c r="I634" s="9" t="n">
        <f aca="false">C634+H634</f>
        <v>46068</v>
      </c>
      <c r="J634" s="5" t="n">
        <v>-2</v>
      </c>
      <c r="K634" s="9" t="n">
        <f aca="false">I634+J634</f>
        <v>46066</v>
      </c>
      <c r="L634" s="5" t="n">
        <v>1064</v>
      </c>
      <c r="M634" s="10" t="n">
        <f aca="false">INDEX(Dim_Supplier!$F$2:$F$21,MATCH(B634,Dim_Supplier!$A$2:$A$21,0))</f>
        <v>46.5</v>
      </c>
      <c r="N634" s="11" t="n">
        <v>0.04</v>
      </c>
      <c r="O634" s="10" t="n">
        <f aca="false">M634*(1+N634)</f>
        <v>48.36</v>
      </c>
      <c r="P634" s="10" t="n">
        <f aca="false">O634*L634</f>
        <v>51455.04</v>
      </c>
      <c r="Q634" s="5" t="s">
        <v>113</v>
      </c>
      <c r="R634" s="5" t="n">
        <v>0</v>
      </c>
      <c r="S634" s="5" t="n">
        <v>30</v>
      </c>
      <c r="T634" s="12" t="n">
        <f aca="false">(O634-M634)/M634</f>
        <v>0.04</v>
      </c>
      <c r="U634" s="8" t="n">
        <f aca="false">IF(AND(K634&lt;=I634,R634=0),1,0)</f>
        <v>1</v>
      </c>
      <c r="V634" s="10" t="n">
        <f aca="false">IF(Q634="No",P634,0)</f>
        <v>0</v>
      </c>
    </row>
    <row r="635" customFormat="false" ht="15" hidden="false" customHeight="false" outlineLevel="0" collapsed="false">
      <c r="A635" s="5" t="s">
        <v>769</v>
      </c>
      <c r="B635" s="5" t="s">
        <v>52</v>
      </c>
      <c r="C635" s="7" t="n">
        <v>45916</v>
      </c>
      <c r="D635" s="8" t="str">
        <f aca="false">INDEX(Dim_Supplier!$C$2:$C$21,MATCH(B635,Dim_Supplier!$A$2:$A$21,0))</f>
        <v>Raw Materials</v>
      </c>
      <c r="E635" s="8" t="str">
        <f aca="false">INDEX(Dim_Supplier!$B$2:$B$21,MATCH(B635,Dim_Supplier!$A$2:$A$21,0))</f>
        <v>Laurentian Metals Inc.</v>
      </c>
      <c r="F635" s="5" t="s">
        <v>142</v>
      </c>
      <c r="G635" s="5" t="s">
        <v>112</v>
      </c>
      <c r="H635" s="8" t="n">
        <f aca="false">INDEX(Lookup_Tables!$B$2:$B$5,MATCH(D635,Lookup_Tables!$A$2:$A$5,0))</f>
        <v>21</v>
      </c>
      <c r="I635" s="9" t="n">
        <f aca="false">C635+H635</f>
        <v>45937</v>
      </c>
      <c r="J635" s="5" t="n">
        <v>-4</v>
      </c>
      <c r="K635" s="9" t="n">
        <f aca="false">I635+J635</f>
        <v>45933</v>
      </c>
      <c r="L635" s="5" t="n">
        <v>1574</v>
      </c>
      <c r="M635" s="10" t="n">
        <f aca="false">INDEX(Dim_Supplier!$F$2:$F$21,MATCH(B635,Dim_Supplier!$A$2:$A$21,0))</f>
        <v>61.2</v>
      </c>
      <c r="N635" s="11" t="n">
        <v>0.027</v>
      </c>
      <c r="O635" s="10" t="n">
        <f aca="false">M635*(1+N635)</f>
        <v>62.8524</v>
      </c>
      <c r="P635" s="10" t="n">
        <f aca="false">O635*L635</f>
        <v>98929.6776</v>
      </c>
      <c r="Q635" s="5" t="s">
        <v>113</v>
      </c>
      <c r="R635" s="5" t="n">
        <v>0</v>
      </c>
      <c r="S635" s="5" t="n">
        <v>30</v>
      </c>
      <c r="T635" s="12" t="n">
        <f aca="false">(O635-M635)/M635</f>
        <v>0.0269999999999999</v>
      </c>
      <c r="U635" s="8" t="n">
        <f aca="false">IF(AND(K635&lt;=I635,R635=0),1,0)</f>
        <v>1</v>
      </c>
      <c r="V635" s="10" t="n">
        <f aca="false">IF(Q635="No",P635,0)</f>
        <v>0</v>
      </c>
    </row>
    <row r="636" customFormat="false" ht="15" hidden="false" customHeight="false" outlineLevel="0" collapsed="false">
      <c r="A636" s="5" t="s">
        <v>770</v>
      </c>
      <c r="B636" s="5" t="s">
        <v>57</v>
      </c>
      <c r="C636" s="7" t="n">
        <v>45324</v>
      </c>
      <c r="D636" s="8" t="str">
        <f aca="false">INDEX(Dim_Supplier!$C$2:$C$21,MATCH(B636,Dim_Supplier!$A$2:$A$21,0))</f>
        <v>Packaging</v>
      </c>
      <c r="E636" s="8" t="str">
        <f aca="false">INDEX(Dim_Supplier!$B$2:$B$21,MATCH(B636,Dim_Supplier!$A$2:$A$21,0))</f>
        <v>Great Lakes Packaging Co.</v>
      </c>
      <c r="F636" s="5" t="s">
        <v>122</v>
      </c>
      <c r="G636" s="5" t="s">
        <v>129</v>
      </c>
      <c r="H636" s="8" t="n">
        <f aca="false">INDEX(Lookup_Tables!$B$2:$B$5,MATCH(D636,Lookup_Tables!$A$2:$A$5,0))</f>
        <v>14</v>
      </c>
      <c r="I636" s="9" t="n">
        <f aca="false">C636+H636</f>
        <v>45338</v>
      </c>
      <c r="J636" s="5" t="n">
        <v>-3</v>
      </c>
      <c r="K636" s="9" t="n">
        <f aca="false">I636+J636</f>
        <v>45335</v>
      </c>
      <c r="L636" s="5" t="n">
        <v>4313</v>
      </c>
      <c r="M636" s="10" t="n">
        <f aca="false">INDEX(Dim_Supplier!$F$2:$F$21,MATCH(B636,Dim_Supplier!$A$2:$A$21,0))</f>
        <v>4.35</v>
      </c>
      <c r="N636" s="11" t="n">
        <v>0.0195</v>
      </c>
      <c r="O636" s="10" t="n">
        <f aca="false">M636*(1+N636)</f>
        <v>4.434825</v>
      </c>
      <c r="P636" s="10" t="n">
        <f aca="false">O636*L636</f>
        <v>19127.400225</v>
      </c>
      <c r="Q636" s="5" t="s">
        <v>113</v>
      </c>
      <c r="R636" s="5" t="n">
        <v>0</v>
      </c>
      <c r="S636" s="5" t="n">
        <v>30</v>
      </c>
      <c r="T636" s="12" t="n">
        <f aca="false">(O636-M636)/M636</f>
        <v>0.0195000000000001</v>
      </c>
      <c r="U636" s="8" t="n">
        <f aca="false">IF(AND(K636&lt;=I636,R636=0),1,0)</f>
        <v>1</v>
      </c>
      <c r="V636" s="10" t="n">
        <f aca="false">IF(Q636="No",P636,0)</f>
        <v>0</v>
      </c>
    </row>
    <row r="637" customFormat="false" ht="15" hidden="false" customHeight="false" outlineLevel="0" collapsed="false">
      <c r="A637" s="5" t="s">
        <v>771</v>
      </c>
      <c r="B637" s="5" t="s">
        <v>84</v>
      </c>
      <c r="C637" s="7" t="n">
        <v>45910</v>
      </c>
      <c r="D637" s="8" t="str">
        <f aca="false">INDEX(Dim_Supplier!$C$2:$C$21,MATCH(B637,Dim_Supplier!$A$2:$A$21,0))</f>
        <v>Logistics</v>
      </c>
      <c r="E637" s="8" t="str">
        <f aca="false">INDEX(Dim_Supplier!$B$2:$B$21,MATCH(B637,Dim_Supplier!$A$2:$A$21,0))</f>
        <v>Trans-Canada Carriers</v>
      </c>
      <c r="F637" s="5" t="s">
        <v>154</v>
      </c>
      <c r="G637" s="5" t="s">
        <v>112</v>
      </c>
      <c r="H637" s="8" t="n">
        <f aca="false">INDEX(Lookup_Tables!$B$2:$B$5,MATCH(D637,Lookup_Tables!$A$2:$A$5,0))</f>
        <v>5</v>
      </c>
      <c r="I637" s="9" t="n">
        <f aca="false">C637+H637</f>
        <v>45915</v>
      </c>
      <c r="J637" s="5" t="n">
        <v>2</v>
      </c>
      <c r="K637" s="9" t="n">
        <f aca="false">I637+J637</f>
        <v>45917</v>
      </c>
      <c r="L637" s="5" t="n">
        <v>15</v>
      </c>
      <c r="M637" s="10" t="n">
        <f aca="false">INDEX(Dim_Supplier!$F$2:$F$21,MATCH(B637,Dim_Supplier!$A$2:$A$21,0))</f>
        <v>210</v>
      </c>
      <c r="N637" s="11" t="n">
        <v>0.118</v>
      </c>
      <c r="O637" s="10" t="n">
        <f aca="false">M637*(1+N637)</f>
        <v>234.78</v>
      </c>
      <c r="P637" s="10" t="n">
        <f aca="false">O637*L637</f>
        <v>3521.7</v>
      </c>
      <c r="Q637" s="5" t="s">
        <v>113</v>
      </c>
      <c r="R637" s="5" t="n">
        <v>0</v>
      </c>
      <c r="S637" s="5" t="n">
        <v>30</v>
      </c>
      <c r="T637" s="12" t="n">
        <f aca="false">(O637-M637)/M637</f>
        <v>0.118</v>
      </c>
      <c r="U637" s="8" t="n">
        <f aca="false">IF(AND(K637&lt;=I637,R637=0),1,0)</f>
        <v>0</v>
      </c>
      <c r="V637" s="10" t="n">
        <f aca="false">IF(Q637="No",P637,0)</f>
        <v>0</v>
      </c>
    </row>
    <row r="638" customFormat="false" ht="15" hidden="false" customHeight="false" outlineLevel="0" collapsed="false">
      <c r="A638" s="5" t="s">
        <v>772</v>
      </c>
      <c r="B638" s="5" t="s">
        <v>88</v>
      </c>
      <c r="C638" s="7" t="n">
        <v>45897</v>
      </c>
      <c r="D638" s="8" t="str">
        <f aca="false">INDEX(Dim_Supplier!$C$2:$C$21,MATCH(B638,Dim_Supplier!$A$2:$A$21,0))</f>
        <v>Logistics</v>
      </c>
      <c r="E638" s="8" t="str">
        <f aca="false">INDEX(Dim_Supplier!$B$2:$B$21,MATCH(B638,Dim_Supplier!$A$2:$A$21,0))</f>
        <v>Summit Last-Mile Delivery</v>
      </c>
      <c r="F638" s="5" t="s">
        <v>237</v>
      </c>
      <c r="G638" s="5" t="s">
        <v>125</v>
      </c>
      <c r="H638" s="8" t="n">
        <f aca="false">INDEX(Lookup_Tables!$B$2:$B$5,MATCH(D638,Lookup_Tables!$A$2:$A$5,0))</f>
        <v>5</v>
      </c>
      <c r="I638" s="9" t="n">
        <f aca="false">C638+H638</f>
        <v>45902</v>
      </c>
      <c r="J638" s="5" t="n">
        <v>-2</v>
      </c>
      <c r="K638" s="9" t="n">
        <f aca="false">I638+J638</f>
        <v>45900</v>
      </c>
      <c r="L638" s="5" t="n">
        <v>48</v>
      </c>
      <c r="M638" s="10" t="n">
        <f aca="false">INDEX(Dim_Supplier!$F$2:$F$21,MATCH(B638,Dim_Supplier!$A$2:$A$21,0))</f>
        <v>95</v>
      </c>
      <c r="N638" s="11" t="n">
        <v>0.0718</v>
      </c>
      <c r="O638" s="10" t="n">
        <f aca="false">M638*(1+N638)</f>
        <v>101.821</v>
      </c>
      <c r="P638" s="10" t="n">
        <f aca="false">O638*L638</f>
        <v>4887.408</v>
      </c>
      <c r="Q638" s="5" t="s">
        <v>133</v>
      </c>
      <c r="R638" s="5" t="n">
        <v>0</v>
      </c>
      <c r="S638" s="5" t="n">
        <v>30</v>
      </c>
      <c r="T638" s="12" t="n">
        <f aca="false">(O638-M638)/M638</f>
        <v>0.0718000000000001</v>
      </c>
      <c r="U638" s="8" t="n">
        <f aca="false">IF(AND(K638&lt;=I638,R638=0),1,0)</f>
        <v>1</v>
      </c>
      <c r="V638" s="10" t="n">
        <f aca="false">IF(Q638="No",P638,0)</f>
        <v>4887.408</v>
      </c>
    </row>
    <row r="639" customFormat="false" ht="15" hidden="false" customHeight="false" outlineLevel="0" collapsed="false">
      <c r="A639" s="5" t="s">
        <v>773</v>
      </c>
      <c r="B639" s="5" t="s">
        <v>52</v>
      </c>
      <c r="C639" s="7" t="n">
        <v>45897</v>
      </c>
      <c r="D639" s="8" t="str">
        <f aca="false">INDEX(Dim_Supplier!$C$2:$C$21,MATCH(B639,Dim_Supplier!$A$2:$A$21,0))</f>
        <v>Raw Materials</v>
      </c>
      <c r="E639" s="8" t="str">
        <f aca="false">INDEX(Dim_Supplier!$B$2:$B$21,MATCH(B639,Dim_Supplier!$A$2:$A$21,0))</f>
        <v>Laurentian Metals Inc.</v>
      </c>
      <c r="F639" s="5" t="s">
        <v>115</v>
      </c>
      <c r="G639" s="5" t="s">
        <v>129</v>
      </c>
      <c r="H639" s="8" t="n">
        <f aca="false">INDEX(Lookup_Tables!$B$2:$B$5,MATCH(D639,Lookup_Tables!$A$2:$A$5,0))</f>
        <v>21</v>
      </c>
      <c r="I639" s="9" t="n">
        <f aca="false">C639+H639</f>
        <v>45918</v>
      </c>
      <c r="J639" s="5" t="n">
        <v>-4</v>
      </c>
      <c r="K639" s="9" t="n">
        <f aca="false">I639+J639</f>
        <v>45914</v>
      </c>
      <c r="L639" s="5" t="n">
        <v>1063</v>
      </c>
      <c r="M639" s="10" t="n">
        <f aca="false">INDEX(Dim_Supplier!$F$2:$F$21,MATCH(B639,Dim_Supplier!$A$2:$A$21,0))</f>
        <v>61.2</v>
      </c>
      <c r="N639" s="11" t="n">
        <v>0.023</v>
      </c>
      <c r="O639" s="10" t="n">
        <f aca="false">M639*(1+N639)</f>
        <v>62.6076</v>
      </c>
      <c r="P639" s="10" t="n">
        <f aca="false">O639*L639</f>
        <v>66551.8788</v>
      </c>
      <c r="Q639" s="5" t="s">
        <v>113</v>
      </c>
      <c r="R639" s="5" t="n">
        <v>0</v>
      </c>
      <c r="S639" s="5" t="n">
        <v>30</v>
      </c>
      <c r="T639" s="12" t="n">
        <f aca="false">(O639-M639)/M639</f>
        <v>0.0229999999999999</v>
      </c>
      <c r="U639" s="8" t="n">
        <f aca="false">IF(AND(K639&lt;=I639,R639=0),1,0)</f>
        <v>1</v>
      </c>
      <c r="V639" s="10" t="n">
        <f aca="false">IF(Q639="No",P639,0)</f>
        <v>0</v>
      </c>
    </row>
    <row r="640" customFormat="false" ht="15" hidden="false" customHeight="false" outlineLevel="0" collapsed="false">
      <c r="A640" s="5" t="s">
        <v>774</v>
      </c>
      <c r="B640" s="5" t="s">
        <v>60</v>
      </c>
      <c r="C640" s="7" t="n">
        <v>46121</v>
      </c>
      <c r="D640" s="8" t="str">
        <f aca="false">INDEX(Dim_Supplier!$C$2:$C$21,MATCH(B640,Dim_Supplier!$A$2:$A$21,0))</f>
        <v>Packaging</v>
      </c>
      <c r="E640" s="8" t="str">
        <f aca="false">INDEX(Dim_Supplier!$B$2:$B$21,MATCH(B640,Dim_Supplier!$A$2:$A$21,0))</f>
        <v>Maple Leaf Box &amp; Crate</v>
      </c>
      <c r="F640" s="5" t="s">
        <v>117</v>
      </c>
      <c r="G640" s="5" t="s">
        <v>125</v>
      </c>
      <c r="H640" s="8" t="n">
        <f aca="false">INDEX(Lookup_Tables!$B$2:$B$5,MATCH(D640,Lookup_Tables!$A$2:$A$5,0))</f>
        <v>14</v>
      </c>
      <c r="I640" s="9" t="n">
        <f aca="false">C640+H640</f>
        <v>46135</v>
      </c>
      <c r="J640" s="5" t="n">
        <v>-2</v>
      </c>
      <c r="K640" s="9" t="n">
        <f aca="false">I640+J640</f>
        <v>46133</v>
      </c>
      <c r="L640" s="5" t="n">
        <v>601</v>
      </c>
      <c r="M640" s="10" t="n">
        <f aca="false">INDEX(Dim_Supplier!$F$2:$F$21,MATCH(B640,Dim_Supplier!$A$2:$A$21,0))</f>
        <v>3.1</v>
      </c>
      <c r="N640" s="11" t="n">
        <v>0.0402</v>
      </c>
      <c r="O640" s="10" t="n">
        <f aca="false">M640*(1+N640)</f>
        <v>3.22462</v>
      </c>
      <c r="P640" s="10" t="n">
        <f aca="false">O640*L640</f>
        <v>1937.99662</v>
      </c>
      <c r="Q640" s="5" t="s">
        <v>113</v>
      </c>
      <c r="R640" s="5" t="n">
        <v>0</v>
      </c>
      <c r="S640" s="5" t="n">
        <v>30</v>
      </c>
      <c r="T640" s="12" t="n">
        <f aca="false">(O640-M640)/M640</f>
        <v>0.0402000000000001</v>
      </c>
      <c r="U640" s="8" t="n">
        <f aca="false">IF(AND(K640&lt;=I640,R640=0),1,0)</f>
        <v>1</v>
      </c>
      <c r="V640" s="10" t="n">
        <f aca="false">IF(Q640="No",P640,0)</f>
        <v>0</v>
      </c>
    </row>
    <row r="641" customFormat="false" ht="15" hidden="false" customHeight="false" outlineLevel="0" collapsed="false">
      <c r="A641" s="5" t="s">
        <v>775</v>
      </c>
      <c r="B641" s="5" t="s">
        <v>57</v>
      </c>
      <c r="C641" s="7" t="n">
        <v>45536</v>
      </c>
      <c r="D641" s="8" t="str">
        <f aca="false">INDEX(Dim_Supplier!$C$2:$C$21,MATCH(B641,Dim_Supplier!$A$2:$A$21,0))</f>
        <v>Packaging</v>
      </c>
      <c r="E641" s="8" t="str">
        <f aca="false">INDEX(Dim_Supplier!$B$2:$B$21,MATCH(B641,Dim_Supplier!$A$2:$A$21,0))</f>
        <v>Great Lakes Packaging Co.</v>
      </c>
      <c r="F641" s="5" t="s">
        <v>117</v>
      </c>
      <c r="G641" s="5" t="s">
        <v>129</v>
      </c>
      <c r="H641" s="8" t="n">
        <f aca="false">INDEX(Lookup_Tables!$B$2:$B$5,MATCH(D641,Lookup_Tables!$A$2:$A$5,0))</f>
        <v>14</v>
      </c>
      <c r="I641" s="9" t="n">
        <f aca="false">C641+H641</f>
        <v>45550</v>
      </c>
      <c r="J641" s="5" t="n">
        <v>-4</v>
      </c>
      <c r="K641" s="9" t="n">
        <f aca="false">I641+J641</f>
        <v>45546</v>
      </c>
      <c r="L641" s="5" t="n">
        <v>4262</v>
      </c>
      <c r="M641" s="10" t="n">
        <f aca="false">INDEX(Dim_Supplier!$F$2:$F$21,MATCH(B641,Dim_Supplier!$A$2:$A$21,0))</f>
        <v>4.35</v>
      </c>
      <c r="N641" s="11" t="n">
        <v>0.0122</v>
      </c>
      <c r="O641" s="10" t="n">
        <f aca="false">M641*(1+N641)</f>
        <v>4.40307</v>
      </c>
      <c r="P641" s="10" t="n">
        <f aca="false">O641*L641</f>
        <v>18765.88434</v>
      </c>
      <c r="Q641" s="5" t="s">
        <v>113</v>
      </c>
      <c r="R641" s="5" t="n">
        <v>0</v>
      </c>
      <c r="S641" s="5" t="n">
        <v>30</v>
      </c>
      <c r="T641" s="12" t="n">
        <f aca="false">(O641-M641)/M641</f>
        <v>0.0122</v>
      </c>
      <c r="U641" s="8" t="n">
        <f aca="false">IF(AND(K641&lt;=I641,R641=0),1,0)</f>
        <v>1</v>
      </c>
      <c r="V641" s="10" t="n">
        <f aca="false">IF(Q641="No",P641,0)</f>
        <v>0</v>
      </c>
    </row>
    <row r="642" customFormat="false" ht="15" hidden="false" customHeight="false" outlineLevel="0" collapsed="false">
      <c r="A642" s="5" t="s">
        <v>776</v>
      </c>
      <c r="B642" s="5" t="s">
        <v>62</v>
      </c>
      <c r="C642" s="7" t="n">
        <v>46082</v>
      </c>
      <c r="D642" s="8" t="str">
        <f aca="false">INDEX(Dim_Supplier!$C$2:$C$21,MATCH(B642,Dim_Supplier!$A$2:$A$21,0))</f>
        <v>Packaging</v>
      </c>
      <c r="E642" s="8" t="str">
        <f aca="false">INDEX(Dim_Supplier!$B$2:$B$21,MATCH(B642,Dim_Supplier!$A$2:$A$21,0))</f>
        <v>Trillium Packaging Solutions</v>
      </c>
      <c r="F642" s="5" t="s">
        <v>158</v>
      </c>
      <c r="G642" s="5" t="s">
        <v>125</v>
      </c>
      <c r="H642" s="8" t="n">
        <f aca="false">INDEX(Lookup_Tables!$B$2:$B$5,MATCH(D642,Lookup_Tables!$A$2:$A$5,0))</f>
        <v>14</v>
      </c>
      <c r="I642" s="9" t="n">
        <f aca="false">C642+H642</f>
        <v>46096</v>
      </c>
      <c r="J642" s="5" t="n">
        <v>-1</v>
      </c>
      <c r="K642" s="9" t="n">
        <f aca="false">I642+J642</f>
        <v>46095</v>
      </c>
      <c r="L642" s="5" t="n">
        <v>4303</v>
      </c>
      <c r="M642" s="10" t="n">
        <f aca="false">INDEX(Dim_Supplier!$F$2:$F$21,MATCH(B642,Dim_Supplier!$A$2:$A$21,0))</f>
        <v>5.6</v>
      </c>
      <c r="N642" s="11" t="n">
        <v>0.0572</v>
      </c>
      <c r="O642" s="10" t="n">
        <f aca="false">M642*(1+N642)</f>
        <v>5.92032</v>
      </c>
      <c r="P642" s="10" t="n">
        <f aca="false">O642*L642</f>
        <v>25475.13696</v>
      </c>
      <c r="Q642" s="5" t="s">
        <v>113</v>
      </c>
      <c r="R642" s="5" t="n">
        <v>322</v>
      </c>
      <c r="S642" s="5" t="n">
        <v>30</v>
      </c>
      <c r="T642" s="12" t="n">
        <f aca="false">(O642-M642)/M642</f>
        <v>0.0572</v>
      </c>
      <c r="U642" s="8" t="n">
        <f aca="false">IF(AND(K642&lt;=I642,R642=0),1,0)</f>
        <v>0</v>
      </c>
      <c r="V642" s="10" t="n">
        <f aca="false">IF(Q642="No",P642,0)</f>
        <v>0</v>
      </c>
    </row>
    <row r="643" customFormat="false" ht="15" hidden="false" customHeight="false" outlineLevel="0" collapsed="false">
      <c r="A643" s="5" t="s">
        <v>777</v>
      </c>
      <c r="B643" s="5" t="s">
        <v>84</v>
      </c>
      <c r="C643" s="7" t="n">
        <v>45632</v>
      </c>
      <c r="D643" s="8" t="str">
        <f aca="false">INDEX(Dim_Supplier!$C$2:$C$21,MATCH(B643,Dim_Supplier!$A$2:$A$21,0))</f>
        <v>Logistics</v>
      </c>
      <c r="E643" s="8" t="str">
        <f aca="false">INDEX(Dim_Supplier!$B$2:$B$21,MATCH(B643,Dim_Supplier!$A$2:$A$21,0))</f>
        <v>Trans-Canada Carriers</v>
      </c>
      <c r="F643" s="5" t="s">
        <v>185</v>
      </c>
      <c r="G643" s="5" t="s">
        <v>129</v>
      </c>
      <c r="H643" s="8" t="n">
        <f aca="false">INDEX(Lookup_Tables!$B$2:$B$5,MATCH(D643,Lookup_Tables!$A$2:$A$5,0))</f>
        <v>5</v>
      </c>
      <c r="I643" s="9" t="n">
        <f aca="false">C643+H643</f>
        <v>45637</v>
      </c>
      <c r="J643" s="5" t="n">
        <v>3</v>
      </c>
      <c r="K643" s="9" t="n">
        <f aca="false">I643+J643</f>
        <v>45640</v>
      </c>
      <c r="L643" s="5" t="n">
        <v>45</v>
      </c>
      <c r="M643" s="10" t="n">
        <f aca="false">INDEX(Dim_Supplier!$F$2:$F$21,MATCH(B643,Dim_Supplier!$A$2:$A$21,0))</f>
        <v>210</v>
      </c>
      <c r="N643" s="11" t="n">
        <v>0.162</v>
      </c>
      <c r="O643" s="10" t="n">
        <f aca="false">M643*(1+N643)</f>
        <v>244.02</v>
      </c>
      <c r="P643" s="10" t="n">
        <f aca="false">O643*L643</f>
        <v>10980.9</v>
      </c>
      <c r="Q643" s="5" t="s">
        <v>133</v>
      </c>
      <c r="R643" s="5" t="n">
        <v>0</v>
      </c>
      <c r="S643" s="5" t="n">
        <v>45</v>
      </c>
      <c r="T643" s="12" t="n">
        <f aca="false">(O643-M643)/M643</f>
        <v>0.162</v>
      </c>
      <c r="U643" s="8" t="n">
        <f aca="false">IF(AND(K643&lt;=I643,R643=0),1,0)</f>
        <v>0</v>
      </c>
      <c r="V643" s="10" t="n">
        <f aca="false">IF(Q643="No",P643,0)</f>
        <v>10980.9</v>
      </c>
    </row>
    <row r="644" customFormat="false" ht="15" hidden="false" customHeight="false" outlineLevel="0" collapsed="false">
      <c r="A644" s="5" t="s">
        <v>778</v>
      </c>
      <c r="B644" s="5" t="s">
        <v>79</v>
      </c>
      <c r="C644" s="7" t="n">
        <v>45374</v>
      </c>
      <c r="D644" s="8" t="str">
        <f aca="false">INDEX(Dim_Supplier!$C$2:$C$21,MATCH(B644,Dim_Supplier!$A$2:$A$21,0))</f>
        <v>Logistics</v>
      </c>
      <c r="E644" s="8" t="str">
        <f aca="false">INDEX(Dim_Supplier!$B$2:$B$21,MATCH(B644,Dim_Supplier!$A$2:$A$21,0))</f>
        <v>Niagara Freight Solutions</v>
      </c>
      <c r="F644" s="5" t="s">
        <v>185</v>
      </c>
      <c r="G644" s="5" t="s">
        <v>120</v>
      </c>
      <c r="H644" s="8" t="n">
        <f aca="false">INDEX(Lookup_Tables!$B$2:$B$5,MATCH(D644,Lookup_Tables!$A$2:$A$5,0))</f>
        <v>5</v>
      </c>
      <c r="I644" s="9" t="n">
        <f aca="false">C644+H644</f>
        <v>45379</v>
      </c>
      <c r="J644" s="5" t="n">
        <v>-2</v>
      </c>
      <c r="K644" s="9" t="n">
        <f aca="false">I644+J644</f>
        <v>45377</v>
      </c>
      <c r="L644" s="5" t="n">
        <v>44</v>
      </c>
      <c r="M644" s="10" t="n">
        <f aca="false">INDEX(Dim_Supplier!$F$2:$F$21,MATCH(B644,Dim_Supplier!$A$2:$A$21,0))</f>
        <v>340</v>
      </c>
      <c r="N644" s="11" t="n">
        <v>0.0033</v>
      </c>
      <c r="O644" s="10" t="n">
        <f aca="false">M644*(1+N644)</f>
        <v>341.122</v>
      </c>
      <c r="P644" s="10" t="n">
        <f aca="false">O644*L644</f>
        <v>15009.368</v>
      </c>
      <c r="Q644" s="5" t="s">
        <v>113</v>
      </c>
      <c r="R644" s="5" t="n">
        <v>0</v>
      </c>
      <c r="S644" s="5" t="n">
        <v>30</v>
      </c>
      <c r="T644" s="12" t="n">
        <f aca="false">(O644-M644)/M644</f>
        <v>0.00330000000000004</v>
      </c>
      <c r="U644" s="8" t="n">
        <f aca="false">IF(AND(K644&lt;=I644,R644=0),1,0)</f>
        <v>1</v>
      </c>
      <c r="V644" s="10" t="n">
        <f aca="false">IF(Q644="No",P644,0)</f>
        <v>0</v>
      </c>
    </row>
    <row r="645" customFormat="false" ht="15" hidden="false" customHeight="false" outlineLevel="0" collapsed="false">
      <c r="A645" s="5" t="s">
        <v>779</v>
      </c>
      <c r="B645" s="5" t="s">
        <v>62</v>
      </c>
      <c r="C645" s="7" t="n">
        <v>45333</v>
      </c>
      <c r="D645" s="8" t="str">
        <f aca="false">INDEX(Dim_Supplier!$C$2:$C$21,MATCH(B645,Dim_Supplier!$A$2:$A$21,0))</f>
        <v>Packaging</v>
      </c>
      <c r="E645" s="8" t="str">
        <f aca="false">INDEX(Dim_Supplier!$B$2:$B$21,MATCH(B645,Dim_Supplier!$A$2:$A$21,0))</f>
        <v>Trillium Packaging Solutions</v>
      </c>
      <c r="F645" s="5" t="s">
        <v>119</v>
      </c>
      <c r="G645" s="5" t="s">
        <v>120</v>
      </c>
      <c r="H645" s="8" t="n">
        <f aca="false">INDEX(Lookup_Tables!$B$2:$B$5,MATCH(D645,Lookup_Tables!$A$2:$A$5,0))</f>
        <v>14</v>
      </c>
      <c r="I645" s="9" t="n">
        <f aca="false">C645+H645</f>
        <v>45347</v>
      </c>
      <c r="J645" s="5" t="n">
        <v>-2</v>
      </c>
      <c r="K645" s="9" t="n">
        <f aca="false">I645+J645</f>
        <v>45345</v>
      </c>
      <c r="L645" s="5" t="n">
        <v>1048</v>
      </c>
      <c r="M645" s="10" t="n">
        <f aca="false">INDEX(Dim_Supplier!$F$2:$F$21,MATCH(B645,Dim_Supplier!$A$2:$A$21,0))</f>
        <v>5.6</v>
      </c>
      <c r="N645" s="11" t="n">
        <v>0.0428</v>
      </c>
      <c r="O645" s="10" t="n">
        <f aca="false">M645*(1+N645)</f>
        <v>5.83968</v>
      </c>
      <c r="P645" s="10" t="n">
        <f aca="false">O645*L645</f>
        <v>6119.98464</v>
      </c>
      <c r="Q645" s="5" t="s">
        <v>113</v>
      </c>
      <c r="R645" s="5" t="n">
        <v>0</v>
      </c>
      <c r="S645" s="5" t="n">
        <v>30</v>
      </c>
      <c r="T645" s="12" t="n">
        <f aca="false">(O645-M645)/M645</f>
        <v>0.0428</v>
      </c>
      <c r="U645" s="8" t="n">
        <f aca="false">IF(AND(K645&lt;=I645,R645=0),1,0)</f>
        <v>1</v>
      </c>
      <c r="V645" s="10" t="n">
        <f aca="false">IF(Q645="No",P645,0)</f>
        <v>0</v>
      </c>
    </row>
    <row r="646" customFormat="false" ht="15" hidden="false" customHeight="false" outlineLevel="0" collapsed="false">
      <c r="A646" s="5" t="s">
        <v>780</v>
      </c>
      <c r="B646" s="5" t="s">
        <v>57</v>
      </c>
      <c r="C646" s="7" t="n">
        <v>45844</v>
      </c>
      <c r="D646" s="8" t="str">
        <f aca="false">INDEX(Dim_Supplier!$C$2:$C$21,MATCH(B646,Dim_Supplier!$A$2:$A$21,0))</f>
        <v>Packaging</v>
      </c>
      <c r="E646" s="8" t="str">
        <f aca="false">INDEX(Dim_Supplier!$B$2:$B$21,MATCH(B646,Dim_Supplier!$A$2:$A$21,0))</f>
        <v>Great Lakes Packaging Co.</v>
      </c>
      <c r="F646" s="5" t="s">
        <v>117</v>
      </c>
      <c r="G646" s="5" t="s">
        <v>125</v>
      </c>
      <c r="H646" s="8" t="n">
        <f aca="false">INDEX(Lookup_Tables!$B$2:$B$5,MATCH(D646,Lookup_Tables!$A$2:$A$5,0))</f>
        <v>14</v>
      </c>
      <c r="I646" s="9" t="n">
        <f aca="false">C646+H646</f>
        <v>45858</v>
      </c>
      <c r="J646" s="5" t="n">
        <v>-3</v>
      </c>
      <c r="K646" s="9" t="n">
        <f aca="false">I646+J646</f>
        <v>45855</v>
      </c>
      <c r="L646" s="5" t="n">
        <v>2218</v>
      </c>
      <c r="M646" s="10" t="n">
        <f aca="false">INDEX(Dim_Supplier!$F$2:$F$21,MATCH(B646,Dim_Supplier!$A$2:$A$21,0))</f>
        <v>4.35</v>
      </c>
      <c r="N646" s="11" t="n">
        <v>-0.0233</v>
      </c>
      <c r="O646" s="10" t="n">
        <f aca="false">M646*(1+N646)</f>
        <v>4.248645</v>
      </c>
      <c r="P646" s="10" t="n">
        <f aca="false">O646*L646</f>
        <v>9423.49461</v>
      </c>
      <c r="Q646" s="5" t="s">
        <v>113</v>
      </c>
      <c r="R646" s="5" t="n">
        <v>0</v>
      </c>
      <c r="S646" s="5" t="n">
        <v>30</v>
      </c>
      <c r="T646" s="12" t="n">
        <f aca="false">(O646-M646)/M646</f>
        <v>-0.0233</v>
      </c>
      <c r="U646" s="8" t="n">
        <f aca="false">IF(AND(K646&lt;=I646,R646=0),1,0)</f>
        <v>1</v>
      </c>
      <c r="V646" s="10" t="n">
        <f aca="false">IF(Q646="No",P646,0)</f>
        <v>0</v>
      </c>
    </row>
    <row r="647" customFormat="false" ht="15" hidden="false" customHeight="false" outlineLevel="0" collapsed="false">
      <c r="A647" s="5" t="s">
        <v>781</v>
      </c>
      <c r="B647" s="5" t="s">
        <v>86</v>
      </c>
      <c r="C647" s="7" t="n">
        <v>45807</v>
      </c>
      <c r="D647" s="8" t="str">
        <f aca="false">INDEX(Dim_Supplier!$C$2:$C$21,MATCH(B647,Dim_Supplier!$A$2:$A$21,0))</f>
        <v>Logistics</v>
      </c>
      <c r="E647" s="8" t="str">
        <f aca="false">INDEX(Dim_Supplier!$B$2:$B$21,MATCH(B647,Dim_Supplier!$A$2:$A$21,0))</f>
        <v>Blue Water Customs Brokerage</v>
      </c>
      <c r="F647" s="5" t="s">
        <v>237</v>
      </c>
      <c r="G647" s="5" t="s">
        <v>120</v>
      </c>
      <c r="H647" s="8" t="n">
        <f aca="false">INDEX(Lookup_Tables!$B$2:$B$5,MATCH(D647,Lookup_Tables!$A$2:$A$5,0))</f>
        <v>5</v>
      </c>
      <c r="I647" s="9" t="n">
        <f aca="false">C647+H647</f>
        <v>45812</v>
      </c>
      <c r="J647" s="5" t="n">
        <v>0</v>
      </c>
      <c r="K647" s="9" t="n">
        <f aca="false">I647+J647</f>
        <v>45812</v>
      </c>
      <c r="L647" s="5" t="n">
        <v>29</v>
      </c>
      <c r="M647" s="10" t="n">
        <f aca="false">INDEX(Dim_Supplier!$F$2:$F$21,MATCH(B647,Dim_Supplier!$A$2:$A$21,0))</f>
        <v>175</v>
      </c>
      <c r="N647" s="11" t="n">
        <v>0.0165</v>
      </c>
      <c r="O647" s="10" t="n">
        <f aca="false">M647*(1+N647)</f>
        <v>177.8875</v>
      </c>
      <c r="P647" s="10" t="n">
        <f aca="false">O647*L647</f>
        <v>5158.7375</v>
      </c>
      <c r="Q647" s="5" t="s">
        <v>113</v>
      </c>
      <c r="R647" s="5" t="n">
        <v>0</v>
      </c>
      <c r="S647" s="5" t="n">
        <v>30</v>
      </c>
      <c r="T647" s="12" t="n">
        <f aca="false">(O647-M647)/M647</f>
        <v>0.0164999999999999</v>
      </c>
      <c r="U647" s="8" t="n">
        <f aca="false">IF(AND(K647&lt;=I647,R647=0),1,0)</f>
        <v>1</v>
      </c>
      <c r="V647" s="10" t="n">
        <f aca="false">IF(Q647="No",P647,0)</f>
        <v>0</v>
      </c>
    </row>
    <row r="648" customFormat="false" ht="15" hidden="false" customHeight="false" outlineLevel="0" collapsed="false">
      <c r="A648" s="5" t="s">
        <v>782</v>
      </c>
      <c r="B648" s="5" t="s">
        <v>75</v>
      </c>
      <c r="C648" s="7" t="n">
        <v>45986</v>
      </c>
      <c r="D648" s="8" t="str">
        <f aca="false">INDEX(Dim_Supplier!$C$2:$C$21,MATCH(B648,Dim_Supplier!$A$2:$A$21,0))</f>
        <v>MRO</v>
      </c>
      <c r="E648" s="8" t="str">
        <f aca="false">INDEX(Dim_Supplier!$B$2:$B$21,MATCH(B648,Dim_Supplier!$A$2:$A$21,0))</f>
        <v>Sterling Lubricants Inc.</v>
      </c>
      <c r="F648" s="5" t="s">
        <v>132</v>
      </c>
      <c r="G648" s="5" t="s">
        <v>120</v>
      </c>
      <c r="H648" s="8" t="n">
        <f aca="false">INDEX(Lookup_Tables!$B$2:$B$5,MATCH(D648,Lookup_Tables!$A$2:$A$5,0))</f>
        <v>10</v>
      </c>
      <c r="I648" s="9" t="n">
        <f aca="false">C648+H648</f>
        <v>45996</v>
      </c>
      <c r="J648" s="5" t="n">
        <v>-4</v>
      </c>
      <c r="K648" s="9" t="n">
        <f aca="false">I648+J648</f>
        <v>45992</v>
      </c>
      <c r="L648" s="5" t="n">
        <v>177</v>
      </c>
      <c r="M648" s="10" t="n">
        <f aca="false">INDEX(Dim_Supplier!$F$2:$F$21,MATCH(B648,Dim_Supplier!$A$2:$A$21,0))</f>
        <v>27.1</v>
      </c>
      <c r="N648" s="11" t="n">
        <v>0.0257</v>
      </c>
      <c r="O648" s="10" t="n">
        <f aca="false">M648*(1+N648)</f>
        <v>27.79647</v>
      </c>
      <c r="P648" s="10" t="n">
        <f aca="false">O648*L648</f>
        <v>4919.97519</v>
      </c>
      <c r="Q648" s="5" t="s">
        <v>133</v>
      </c>
      <c r="R648" s="5" t="n">
        <v>0</v>
      </c>
      <c r="S648" s="5" t="n">
        <v>60</v>
      </c>
      <c r="T648" s="12" t="n">
        <f aca="false">(O648-M648)/M648</f>
        <v>0.0257000000000001</v>
      </c>
      <c r="U648" s="8" t="n">
        <f aca="false">IF(AND(K648&lt;=I648,R648=0),1,0)</f>
        <v>1</v>
      </c>
      <c r="V648" s="10" t="n">
        <f aca="false">IF(Q648="No",P648,0)</f>
        <v>4919.97519</v>
      </c>
    </row>
    <row r="649" customFormat="false" ht="15" hidden="false" customHeight="false" outlineLevel="0" collapsed="false">
      <c r="A649" s="5" t="s">
        <v>783</v>
      </c>
      <c r="B649" s="5" t="s">
        <v>41</v>
      </c>
      <c r="C649" s="7" t="n">
        <v>46197</v>
      </c>
      <c r="D649" s="8" t="str">
        <f aca="false">INDEX(Dim_Supplier!$C$2:$C$21,MATCH(B649,Dim_Supplier!$A$2:$A$21,0))</f>
        <v>Raw Materials</v>
      </c>
      <c r="E649" s="8" t="str">
        <f aca="false">INDEX(Dim_Supplier!$B$2:$B$21,MATCH(B649,Dim_Supplier!$A$2:$A$21,0))</f>
        <v>Ontario Steel Partners</v>
      </c>
      <c r="F649" s="5" t="s">
        <v>142</v>
      </c>
      <c r="G649" s="5" t="s">
        <v>129</v>
      </c>
      <c r="H649" s="8" t="n">
        <f aca="false">INDEX(Lookup_Tables!$B$2:$B$5,MATCH(D649,Lookup_Tables!$A$2:$A$5,0))</f>
        <v>21</v>
      </c>
      <c r="I649" s="9" t="n">
        <f aca="false">C649+H649</f>
        <v>46218</v>
      </c>
      <c r="J649" s="5" t="n">
        <v>1</v>
      </c>
      <c r="K649" s="9" t="n">
        <f aca="false">I649+J649</f>
        <v>46219</v>
      </c>
      <c r="L649" s="5" t="n">
        <v>690</v>
      </c>
      <c r="M649" s="10" t="n">
        <f aca="false">INDEX(Dim_Supplier!$F$2:$F$21,MATCH(B649,Dim_Supplier!$A$2:$A$21,0))</f>
        <v>58</v>
      </c>
      <c r="N649" s="11" t="n">
        <v>0.0306</v>
      </c>
      <c r="O649" s="10" t="n">
        <f aca="false">M649*(1+N649)</f>
        <v>59.7748</v>
      </c>
      <c r="P649" s="10" t="n">
        <f aca="false">O649*L649</f>
        <v>41244.612</v>
      </c>
      <c r="Q649" s="5" t="s">
        <v>133</v>
      </c>
      <c r="R649" s="5" t="n">
        <v>0</v>
      </c>
      <c r="S649" s="5" t="n">
        <v>30</v>
      </c>
      <c r="T649" s="12" t="n">
        <f aca="false">(O649-M649)/M649</f>
        <v>0.0306</v>
      </c>
      <c r="U649" s="8" t="n">
        <f aca="false">IF(AND(K649&lt;=I649,R649=0),1,0)</f>
        <v>0</v>
      </c>
      <c r="V649" s="10" t="n">
        <f aca="false">IF(Q649="No",P649,0)</f>
        <v>41244.612</v>
      </c>
    </row>
    <row r="650" customFormat="false" ht="15" hidden="false" customHeight="false" outlineLevel="0" collapsed="false">
      <c r="A650" s="5" t="s">
        <v>784</v>
      </c>
      <c r="B650" s="5" t="s">
        <v>46</v>
      </c>
      <c r="C650" s="7" t="n">
        <v>45443</v>
      </c>
      <c r="D650" s="8" t="str">
        <f aca="false">INDEX(Dim_Supplier!$C$2:$C$21,MATCH(B650,Dim_Supplier!$A$2:$A$21,0))</f>
        <v>Raw Materials</v>
      </c>
      <c r="E650" s="8" t="str">
        <f aca="false">INDEX(Dim_Supplier!$B$2:$B$21,MATCH(B650,Dim_Supplier!$A$2:$A$21,0))</f>
        <v>Niagara Alloy Supply</v>
      </c>
      <c r="F650" s="5" t="s">
        <v>142</v>
      </c>
      <c r="G650" s="5" t="s">
        <v>112</v>
      </c>
      <c r="H650" s="8" t="n">
        <f aca="false">INDEX(Lookup_Tables!$B$2:$B$5,MATCH(D650,Lookup_Tables!$A$2:$A$5,0))</f>
        <v>21</v>
      </c>
      <c r="I650" s="9" t="n">
        <f aca="false">C650+H650</f>
        <v>45464</v>
      </c>
      <c r="J650" s="5" t="n">
        <v>1</v>
      </c>
      <c r="K650" s="9" t="n">
        <f aca="false">I650+J650</f>
        <v>45465</v>
      </c>
      <c r="L650" s="5" t="n">
        <v>1384</v>
      </c>
      <c r="M650" s="10" t="n">
        <f aca="false">INDEX(Dim_Supplier!$F$2:$F$21,MATCH(B650,Dim_Supplier!$A$2:$A$21,0))</f>
        <v>46.5</v>
      </c>
      <c r="N650" s="11" t="n">
        <v>0.0128</v>
      </c>
      <c r="O650" s="10" t="n">
        <f aca="false">M650*(1+N650)</f>
        <v>47.0952</v>
      </c>
      <c r="P650" s="10" t="n">
        <f aca="false">O650*L650</f>
        <v>65179.7568</v>
      </c>
      <c r="Q650" s="5" t="s">
        <v>113</v>
      </c>
      <c r="R650" s="5" t="n">
        <v>0</v>
      </c>
      <c r="S650" s="5" t="n">
        <v>45</v>
      </c>
      <c r="T650" s="12" t="n">
        <f aca="false">(O650-M650)/M650</f>
        <v>0.0128</v>
      </c>
      <c r="U650" s="8" t="n">
        <f aca="false">IF(AND(K650&lt;=I650,R650=0),1,0)</f>
        <v>0</v>
      </c>
      <c r="V650" s="10" t="n">
        <f aca="false">IF(Q650="No",P650,0)</f>
        <v>0</v>
      </c>
    </row>
    <row r="651" customFormat="false" ht="15" hidden="false" customHeight="false" outlineLevel="0" collapsed="false">
      <c r="A651" s="5" t="s">
        <v>785</v>
      </c>
      <c r="B651" s="5" t="s">
        <v>86</v>
      </c>
      <c r="C651" s="7" t="n">
        <v>45777</v>
      </c>
      <c r="D651" s="8" t="str">
        <f aca="false">INDEX(Dim_Supplier!$C$2:$C$21,MATCH(B651,Dim_Supplier!$A$2:$A$21,0))</f>
        <v>Logistics</v>
      </c>
      <c r="E651" s="8" t="str">
        <f aca="false">INDEX(Dim_Supplier!$B$2:$B$21,MATCH(B651,Dim_Supplier!$A$2:$A$21,0))</f>
        <v>Blue Water Customs Brokerage</v>
      </c>
      <c r="F651" s="5" t="s">
        <v>146</v>
      </c>
      <c r="G651" s="5" t="s">
        <v>125</v>
      </c>
      <c r="H651" s="8" t="n">
        <f aca="false">INDEX(Lookup_Tables!$B$2:$B$5,MATCH(D651,Lookup_Tables!$A$2:$A$5,0))</f>
        <v>5</v>
      </c>
      <c r="I651" s="9" t="n">
        <f aca="false">C651+H651</f>
        <v>45782</v>
      </c>
      <c r="J651" s="5" t="n">
        <v>-4</v>
      </c>
      <c r="K651" s="9" t="n">
        <f aca="false">I651+J651</f>
        <v>45778</v>
      </c>
      <c r="L651" s="5" t="n">
        <v>19</v>
      </c>
      <c r="M651" s="10" t="n">
        <f aca="false">INDEX(Dim_Supplier!$F$2:$F$21,MATCH(B651,Dim_Supplier!$A$2:$A$21,0))</f>
        <v>175</v>
      </c>
      <c r="N651" s="11" t="n">
        <v>0.0199</v>
      </c>
      <c r="O651" s="10" t="n">
        <f aca="false">M651*(1+N651)</f>
        <v>178.4825</v>
      </c>
      <c r="P651" s="10" t="n">
        <f aca="false">O651*L651</f>
        <v>3391.1675</v>
      </c>
      <c r="Q651" s="5" t="s">
        <v>113</v>
      </c>
      <c r="R651" s="5" t="n">
        <v>0</v>
      </c>
      <c r="S651" s="5" t="n">
        <v>60</v>
      </c>
      <c r="T651" s="12" t="n">
        <f aca="false">(O651-M651)/M651</f>
        <v>0.0199000000000001</v>
      </c>
      <c r="U651" s="8" t="n">
        <f aca="false">IF(AND(K651&lt;=I651,R651=0),1,0)</f>
        <v>1</v>
      </c>
      <c r="V651" s="10" t="n">
        <f aca="false">IF(Q651="No",P651,0)</f>
        <v>0</v>
      </c>
    </row>
    <row r="652" customFormat="false" ht="15" hidden="false" customHeight="false" outlineLevel="0" collapsed="false">
      <c r="A652" s="5" t="s">
        <v>786</v>
      </c>
      <c r="B652" s="5" t="s">
        <v>82</v>
      </c>
      <c r="C652" s="7" t="n">
        <v>45824</v>
      </c>
      <c r="D652" s="8" t="str">
        <f aca="false">INDEX(Dim_Supplier!$C$2:$C$21,MATCH(B652,Dim_Supplier!$A$2:$A$21,0))</f>
        <v>Logistics</v>
      </c>
      <c r="E652" s="8" t="str">
        <f aca="false">INDEX(Dim_Supplier!$B$2:$B$21,MATCH(B652,Dim_Supplier!$A$2:$A$21,0))</f>
        <v>Maple Route Logistics</v>
      </c>
      <c r="F652" s="5" t="s">
        <v>146</v>
      </c>
      <c r="G652" s="5" t="s">
        <v>125</v>
      </c>
      <c r="H652" s="8" t="n">
        <f aca="false">INDEX(Lookup_Tables!$B$2:$B$5,MATCH(D652,Lookup_Tables!$A$2:$A$5,0))</f>
        <v>5</v>
      </c>
      <c r="I652" s="9" t="n">
        <f aca="false">C652+H652</f>
        <v>45829</v>
      </c>
      <c r="J652" s="5" t="n">
        <v>-4</v>
      </c>
      <c r="K652" s="9" t="n">
        <f aca="false">I652+J652</f>
        <v>45825</v>
      </c>
      <c r="L652" s="5" t="n">
        <v>21</v>
      </c>
      <c r="M652" s="10" t="n">
        <f aca="false">INDEX(Dim_Supplier!$F$2:$F$21,MATCH(B652,Dim_Supplier!$A$2:$A$21,0))</f>
        <v>285</v>
      </c>
      <c r="N652" s="11" t="n">
        <v>0.0161</v>
      </c>
      <c r="O652" s="10" t="n">
        <f aca="false">M652*(1+N652)</f>
        <v>289.5885</v>
      </c>
      <c r="P652" s="10" t="n">
        <f aca="false">O652*L652</f>
        <v>6081.3585</v>
      </c>
      <c r="Q652" s="5" t="s">
        <v>113</v>
      </c>
      <c r="R652" s="5" t="n">
        <v>0</v>
      </c>
      <c r="S652" s="5" t="n">
        <v>45</v>
      </c>
      <c r="T652" s="12" t="n">
        <f aca="false">(O652-M652)/M652</f>
        <v>0.0161</v>
      </c>
      <c r="U652" s="8" t="n">
        <f aca="false">IF(AND(K652&lt;=I652,R652=0),1,0)</f>
        <v>1</v>
      </c>
      <c r="V652" s="10" t="n">
        <f aca="false">IF(Q652="No",P652,0)</f>
        <v>0</v>
      </c>
    </row>
    <row r="653" customFormat="false" ht="15" hidden="false" customHeight="false" outlineLevel="0" collapsed="false">
      <c r="A653" s="5" t="s">
        <v>787</v>
      </c>
      <c r="B653" s="5" t="s">
        <v>68</v>
      </c>
      <c r="C653" s="7" t="n">
        <v>45760</v>
      </c>
      <c r="D653" s="8" t="str">
        <f aca="false">INDEX(Dim_Supplier!$C$2:$C$21,MATCH(B653,Dim_Supplier!$A$2:$A$21,0))</f>
        <v>MRO</v>
      </c>
      <c r="E653" s="8" t="str">
        <f aca="false">INDEX(Dim_Supplier!$B$2:$B$21,MATCH(B653,Dim_Supplier!$A$2:$A$21,0))</f>
        <v>Precision Tool &amp; Supply</v>
      </c>
      <c r="F653" s="5" t="s">
        <v>111</v>
      </c>
      <c r="G653" s="5" t="s">
        <v>112</v>
      </c>
      <c r="H653" s="8" t="n">
        <f aca="false">INDEX(Lookup_Tables!$B$2:$B$5,MATCH(D653,Lookup_Tables!$A$2:$A$5,0))</f>
        <v>10</v>
      </c>
      <c r="I653" s="9" t="n">
        <f aca="false">C653+H653</f>
        <v>45770</v>
      </c>
      <c r="J653" s="5" t="n">
        <v>-2</v>
      </c>
      <c r="K653" s="9" t="n">
        <f aca="false">I653+J653</f>
        <v>45768</v>
      </c>
      <c r="L653" s="5" t="n">
        <v>71</v>
      </c>
      <c r="M653" s="10" t="n">
        <f aca="false">INDEX(Dim_Supplier!$F$2:$F$21,MATCH(B653,Dim_Supplier!$A$2:$A$21,0))</f>
        <v>22.4</v>
      </c>
      <c r="N653" s="11" t="n">
        <v>-0.0002</v>
      </c>
      <c r="O653" s="10" t="n">
        <f aca="false">M653*(1+N653)</f>
        <v>22.39552</v>
      </c>
      <c r="P653" s="10" t="n">
        <f aca="false">O653*L653</f>
        <v>1590.08192</v>
      </c>
      <c r="Q653" s="5" t="s">
        <v>113</v>
      </c>
      <c r="R653" s="5" t="n">
        <v>0</v>
      </c>
      <c r="S653" s="5" t="n">
        <v>30</v>
      </c>
      <c r="T653" s="12" t="n">
        <f aca="false">(O653-M653)/M653</f>
        <v>-0.000200000000000041</v>
      </c>
      <c r="U653" s="8" t="n">
        <f aca="false">IF(AND(K653&lt;=I653,R653=0),1,0)</f>
        <v>1</v>
      </c>
      <c r="V653" s="10" t="n">
        <f aca="false">IF(Q653="No",P653,0)</f>
        <v>0</v>
      </c>
    </row>
    <row r="654" customFormat="false" ht="15" hidden="false" customHeight="false" outlineLevel="0" collapsed="false">
      <c r="A654" s="5" t="s">
        <v>788</v>
      </c>
      <c r="B654" s="5" t="s">
        <v>82</v>
      </c>
      <c r="C654" s="7" t="n">
        <v>45443</v>
      </c>
      <c r="D654" s="8" t="str">
        <f aca="false">INDEX(Dim_Supplier!$C$2:$C$21,MATCH(B654,Dim_Supplier!$A$2:$A$21,0))</f>
        <v>Logistics</v>
      </c>
      <c r="E654" s="8" t="str">
        <f aca="false">INDEX(Dim_Supplier!$B$2:$B$21,MATCH(B654,Dim_Supplier!$A$2:$A$21,0))</f>
        <v>Maple Route Logistics</v>
      </c>
      <c r="F654" s="5" t="s">
        <v>146</v>
      </c>
      <c r="G654" s="5" t="s">
        <v>120</v>
      </c>
      <c r="H654" s="8" t="n">
        <f aca="false">INDEX(Lookup_Tables!$B$2:$B$5,MATCH(D654,Lookup_Tables!$A$2:$A$5,0))</f>
        <v>5</v>
      </c>
      <c r="I654" s="9" t="n">
        <f aca="false">C654+H654</f>
        <v>45448</v>
      </c>
      <c r="J654" s="5" t="n">
        <v>-2</v>
      </c>
      <c r="K654" s="9" t="n">
        <f aca="false">I654+J654</f>
        <v>45446</v>
      </c>
      <c r="L654" s="5" t="n">
        <v>11</v>
      </c>
      <c r="M654" s="10" t="n">
        <f aca="false">INDEX(Dim_Supplier!$F$2:$F$21,MATCH(B654,Dim_Supplier!$A$2:$A$21,0))</f>
        <v>285</v>
      </c>
      <c r="N654" s="11" t="n">
        <v>0.0333</v>
      </c>
      <c r="O654" s="10" t="n">
        <f aca="false">M654*(1+N654)</f>
        <v>294.4905</v>
      </c>
      <c r="P654" s="10" t="n">
        <f aca="false">O654*L654</f>
        <v>3239.3955</v>
      </c>
      <c r="Q654" s="5" t="s">
        <v>113</v>
      </c>
      <c r="R654" s="5" t="n">
        <v>0</v>
      </c>
      <c r="S654" s="5" t="n">
        <v>60</v>
      </c>
      <c r="T654" s="12" t="n">
        <f aca="false">(O654-M654)/M654</f>
        <v>0.0333000000000002</v>
      </c>
      <c r="U654" s="8" t="n">
        <f aca="false">IF(AND(K654&lt;=I654,R654=0),1,0)</f>
        <v>1</v>
      </c>
      <c r="V654" s="10" t="n">
        <f aca="false">IF(Q654="No",P654,0)</f>
        <v>0</v>
      </c>
    </row>
    <row r="655" customFormat="false" ht="15" hidden="false" customHeight="false" outlineLevel="0" collapsed="false">
      <c r="A655" s="5" t="s">
        <v>789</v>
      </c>
      <c r="B655" s="5" t="s">
        <v>82</v>
      </c>
      <c r="C655" s="7" t="n">
        <v>46001</v>
      </c>
      <c r="D655" s="8" t="str">
        <f aca="false">INDEX(Dim_Supplier!$C$2:$C$21,MATCH(B655,Dim_Supplier!$A$2:$A$21,0))</f>
        <v>Logistics</v>
      </c>
      <c r="E655" s="8" t="str">
        <f aca="false">INDEX(Dim_Supplier!$B$2:$B$21,MATCH(B655,Dim_Supplier!$A$2:$A$21,0))</f>
        <v>Maple Route Logistics</v>
      </c>
      <c r="F655" s="5" t="s">
        <v>154</v>
      </c>
      <c r="G655" s="5" t="s">
        <v>112</v>
      </c>
      <c r="H655" s="8" t="n">
        <f aca="false">INDEX(Lookup_Tables!$B$2:$B$5,MATCH(D655,Lookup_Tables!$A$2:$A$5,0))</f>
        <v>5</v>
      </c>
      <c r="I655" s="9" t="n">
        <f aca="false">C655+H655</f>
        <v>46006</v>
      </c>
      <c r="J655" s="5" t="n">
        <v>-1</v>
      </c>
      <c r="K655" s="9" t="n">
        <f aca="false">I655+J655</f>
        <v>46005</v>
      </c>
      <c r="L655" s="5" t="n">
        <v>21</v>
      </c>
      <c r="M655" s="10" t="n">
        <f aca="false">INDEX(Dim_Supplier!$F$2:$F$21,MATCH(B655,Dim_Supplier!$A$2:$A$21,0))</f>
        <v>285</v>
      </c>
      <c r="N655" s="11" t="n">
        <v>0.0358</v>
      </c>
      <c r="O655" s="10" t="n">
        <f aca="false">M655*(1+N655)</f>
        <v>295.203</v>
      </c>
      <c r="P655" s="10" t="n">
        <f aca="false">O655*L655</f>
        <v>6199.263</v>
      </c>
      <c r="Q655" s="5" t="s">
        <v>113</v>
      </c>
      <c r="R655" s="5" t="n">
        <v>0</v>
      </c>
      <c r="S655" s="5" t="n">
        <v>30</v>
      </c>
      <c r="T655" s="12" t="n">
        <f aca="false">(O655-M655)/M655</f>
        <v>0.0358000000000001</v>
      </c>
      <c r="U655" s="8" t="n">
        <f aca="false">IF(AND(K655&lt;=I655,R655=0),1,0)</f>
        <v>1</v>
      </c>
      <c r="V655" s="10" t="n">
        <f aca="false">IF(Q655="No",P655,0)</f>
        <v>0</v>
      </c>
    </row>
    <row r="656" customFormat="false" ht="15" hidden="false" customHeight="false" outlineLevel="0" collapsed="false">
      <c r="A656" s="5" t="s">
        <v>790</v>
      </c>
      <c r="B656" s="5" t="s">
        <v>52</v>
      </c>
      <c r="C656" s="7" t="n">
        <v>46016</v>
      </c>
      <c r="D656" s="8" t="str">
        <f aca="false">INDEX(Dim_Supplier!$C$2:$C$21,MATCH(B656,Dim_Supplier!$A$2:$A$21,0))</f>
        <v>Raw Materials</v>
      </c>
      <c r="E656" s="8" t="str">
        <f aca="false">INDEX(Dim_Supplier!$B$2:$B$21,MATCH(B656,Dim_Supplier!$A$2:$A$21,0))</f>
        <v>Laurentian Metals Inc.</v>
      </c>
      <c r="F656" s="5" t="s">
        <v>148</v>
      </c>
      <c r="G656" s="5" t="s">
        <v>120</v>
      </c>
      <c r="H656" s="8" t="n">
        <f aca="false">INDEX(Lookup_Tables!$B$2:$B$5,MATCH(D656,Lookup_Tables!$A$2:$A$5,0))</f>
        <v>21</v>
      </c>
      <c r="I656" s="9" t="n">
        <f aca="false">C656+H656</f>
        <v>46037</v>
      </c>
      <c r="J656" s="5" t="n">
        <v>-2</v>
      </c>
      <c r="K656" s="9" t="n">
        <f aca="false">I656+J656</f>
        <v>46035</v>
      </c>
      <c r="L656" s="5" t="n">
        <v>1018</v>
      </c>
      <c r="M656" s="10" t="n">
        <f aca="false">INDEX(Dim_Supplier!$F$2:$F$21,MATCH(B656,Dim_Supplier!$A$2:$A$21,0))</f>
        <v>61.2</v>
      </c>
      <c r="N656" s="11" t="n">
        <v>0.0184</v>
      </c>
      <c r="O656" s="10" t="n">
        <f aca="false">M656*(1+N656)</f>
        <v>62.32608</v>
      </c>
      <c r="P656" s="10" t="n">
        <f aca="false">O656*L656</f>
        <v>63447.94944</v>
      </c>
      <c r="Q656" s="5" t="s">
        <v>113</v>
      </c>
      <c r="R656" s="5" t="n">
        <v>0</v>
      </c>
      <c r="S656" s="5" t="n">
        <v>30</v>
      </c>
      <c r="T656" s="12" t="n">
        <f aca="false">(O656-M656)/M656</f>
        <v>0.0184</v>
      </c>
      <c r="U656" s="8" t="n">
        <f aca="false">IF(AND(K656&lt;=I656,R656=0),1,0)</f>
        <v>1</v>
      </c>
      <c r="V656" s="10" t="n">
        <f aca="false">IF(Q656="No",P656,0)</f>
        <v>0</v>
      </c>
    </row>
    <row r="657" customFormat="false" ht="15" hidden="false" customHeight="false" outlineLevel="0" collapsed="false">
      <c r="A657" s="5" t="s">
        <v>791</v>
      </c>
      <c r="B657" s="5" t="s">
        <v>86</v>
      </c>
      <c r="C657" s="7" t="n">
        <v>45706</v>
      </c>
      <c r="D657" s="8" t="str">
        <f aca="false">INDEX(Dim_Supplier!$C$2:$C$21,MATCH(B657,Dim_Supplier!$A$2:$A$21,0))</f>
        <v>Logistics</v>
      </c>
      <c r="E657" s="8" t="str">
        <f aca="false">INDEX(Dim_Supplier!$B$2:$B$21,MATCH(B657,Dim_Supplier!$A$2:$A$21,0))</f>
        <v>Blue Water Customs Brokerage</v>
      </c>
      <c r="F657" s="5" t="s">
        <v>237</v>
      </c>
      <c r="G657" s="5" t="s">
        <v>112</v>
      </c>
      <c r="H657" s="8" t="n">
        <f aca="false">INDEX(Lookup_Tables!$B$2:$B$5,MATCH(D657,Lookup_Tables!$A$2:$A$5,0))</f>
        <v>5</v>
      </c>
      <c r="I657" s="9" t="n">
        <f aca="false">C657+H657</f>
        <v>45711</v>
      </c>
      <c r="J657" s="5" t="n">
        <v>2</v>
      </c>
      <c r="K657" s="9" t="n">
        <f aca="false">I657+J657</f>
        <v>45713</v>
      </c>
      <c r="L657" s="5" t="n">
        <v>10</v>
      </c>
      <c r="M657" s="10" t="n">
        <f aca="false">INDEX(Dim_Supplier!$F$2:$F$21,MATCH(B657,Dim_Supplier!$A$2:$A$21,0))</f>
        <v>175</v>
      </c>
      <c r="N657" s="11" t="n">
        <v>-0.0048</v>
      </c>
      <c r="O657" s="10" t="n">
        <f aca="false">M657*(1+N657)</f>
        <v>174.16</v>
      </c>
      <c r="P657" s="10" t="n">
        <f aca="false">O657*L657</f>
        <v>1741.6</v>
      </c>
      <c r="Q657" s="5" t="s">
        <v>113</v>
      </c>
      <c r="R657" s="5" t="n">
        <v>0</v>
      </c>
      <c r="S657" s="5" t="n">
        <v>60</v>
      </c>
      <c r="T657" s="12" t="n">
        <f aca="false">(O657-M657)/M657</f>
        <v>-0.00480000000000002</v>
      </c>
      <c r="U657" s="8" t="n">
        <f aca="false">IF(AND(K657&lt;=I657,R657=0),1,0)</f>
        <v>0</v>
      </c>
      <c r="V657" s="10" t="n">
        <f aca="false">IF(Q657="No",P657,0)</f>
        <v>0</v>
      </c>
    </row>
    <row r="658" customFormat="false" ht="15" hidden="false" customHeight="false" outlineLevel="0" collapsed="false">
      <c r="A658" s="5" t="s">
        <v>792</v>
      </c>
      <c r="B658" s="5" t="s">
        <v>57</v>
      </c>
      <c r="C658" s="7" t="n">
        <v>46014</v>
      </c>
      <c r="D658" s="8" t="str">
        <f aca="false">INDEX(Dim_Supplier!$C$2:$C$21,MATCH(B658,Dim_Supplier!$A$2:$A$21,0))</f>
        <v>Packaging</v>
      </c>
      <c r="E658" s="8" t="str">
        <f aca="false">INDEX(Dim_Supplier!$B$2:$B$21,MATCH(B658,Dim_Supplier!$A$2:$A$21,0))</f>
        <v>Great Lakes Packaging Co.</v>
      </c>
      <c r="F658" s="5" t="s">
        <v>119</v>
      </c>
      <c r="G658" s="5" t="s">
        <v>125</v>
      </c>
      <c r="H658" s="8" t="n">
        <f aca="false">INDEX(Lookup_Tables!$B$2:$B$5,MATCH(D658,Lookup_Tables!$A$2:$A$5,0))</f>
        <v>14</v>
      </c>
      <c r="I658" s="9" t="n">
        <f aca="false">C658+H658</f>
        <v>46028</v>
      </c>
      <c r="J658" s="5" t="n">
        <v>1</v>
      </c>
      <c r="K658" s="9" t="n">
        <f aca="false">I658+J658</f>
        <v>46029</v>
      </c>
      <c r="L658" s="5" t="n">
        <v>1704</v>
      </c>
      <c r="M658" s="10" t="n">
        <f aca="false">INDEX(Dim_Supplier!$F$2:$F$21,MATCH(B658,Dim_Supplier!$A$2:$A$21,0))</f>
        <v>4.35</v>
      </c>
      <c r="N658" s="11" t="n">
        <v>-0.0221</v>
      </c>
      <c r="O658" s="10" t="n">
        <f aca="false">M658*(1+N658)</f>
        <v>4.253865</v>
      </c>
      <c r="P658" s="10" t="n">
        <f aca="false">O658*L658</f>
        <v>7248.58596</v>
      </c>
      <c r="Q658" s="5" t="s">
        <v>113</v>
      </c>
      <c r="R658" s="5" t="n">
        <v>0</v>
      </c>
      <c r="S658" s="5" t="n">
        <v>60</v>
      </c>
      <c r="T658" s="12" t="n">
        <f aca="false">(O658-M658)/M658</f>
        <v>-0.0221000000000001</v>
      </c>
      <c r="U658" s="8" t="n">
        <f aca="false">IF(AND(K658&lt;=I658,R658=0),1,0)</f>
        <v>0</v>
      </c>
      <c r="V658" s="10" t="n">
        <f aca="false">IF(Q658="No",P658,0)</f>
        <v>0</v>
      </c>
    </row>
    <row r="659" customFormat="false" ht="15" hidden="false" customHeight="false" outlineLevel="0" collapsed="false">
      <c r="A659" s="5" t="s">
        <v>793</v>
      </c>
      <c r="B659" s="5" t="s">
        <v>57</v>
      </c>
      <c r="C659" s="7" t="n">
        <v>45407</v>
      </c>
      <c r="D659" s="8" t="str">
        <f aca="false">INDEX(Dim_Supplier!$C$2:$C$21,MATCH(B659,Dim_Supplier!$A$2:$A$21,0))</f>
        <v>Packaging</v>
      </c>
      <c r="E659" s="8" t="str">
        <f aca="false">INDEX(Dim_Supplier!$B$2:$B$21,MATCH(B659,Dim_Supplier!$A$2:$A$21,0))</f>
        <v>Great Lakes Packaging Co.</v>
      </c>
      <c r="F659" s="5" t="s">
        <v>137</v>
      </c>
      <c r="G659" s="5" t="s">
        <v>129</v>
      </c>
      <c r="H659" s="8" t="n">
        <f aca="false">INDEX(Lookup_Tables!$B$2:$B$5,MATCH(D659,Lookup_Tables!$A$2:$A$5,0))</f>
        <v>14</v>
      </c>
      <c r="I659" s="9" t="n">
        <f aca="false">C659+H659</f>
        <v>45421</v>
      </c>
      <c r="J659" s="5" t="n">
        <v>-1</v>
      </c>
      <c r="K659" s="9" t="n">
        <f aca="false">I659+J659</f>
        <v>45420</v>
      </c>
      <c r="L659" s="5" t="n">
        <v>3023</v>
      </c>
      <c r="M659" s="10" t="n">
        <f aca="false">INDEX(Dim_Supplier!$F$2:$F$21,MATCH(B659,Dim_Supplier!$A$2:$A$21,0))</f>
        <v>4.35</v>
      </c>
      <c r="N659" s="11" t="n">
        <v>0.0294</v>
      </c>
      <c r="O659" s="10" t="n">
        <f aca="false">M659*(1+N659)</f>
        <v>4.47789</v>
      </c>
      <c r="P659" s="10" t="n">
        <f aca="false">O659*L659</f>
        <v>13536.66147</v>
      </c>
      <c r="Q659" s="5" t="s">
        <v>113</v>
      </c>
      <c r="R659" s="5" t="n">
        <v>0</v>
      </c>
      <c r="S659" s="5" t="n">
        <v>30</v>
      </c>
      <c r="T659" s="12" t="n">
        <f aca="false">(O659-M659)/M659</f>
        <v>0.0294000000000002</v>
      </c>
      <c r="U659" s="8" t="n">
        <f aca="false">IF(AND(K659&lt;=I659,R659=0),1,0)</f>
        <v>1</v>
      </c>
      <c r="V659" s="10" t="n">
        <f aca="false">IF(Q659="No",P659,0)</f>
        <v>0</v>
      </c>
    </row>
    <row r="660" customFormat="false" ht="15" hidden="false" customHeight="false" outlineLevel="0" collapsed="false">
      <c r="A660" s="5" t="s">
        <v>794</v>
      </c>
      <c r="B660" s="5" t="s">
        <v>57</v>
      </c>
      <c r="C660" s="7" t="n">
        <v>45626</v>
      </c>
      <c r="D660" s="8" t="str">
        <f aca="false">INDEX(Dim_Supplier!$C$2:$C$21,MATCH(B660,Dim_Supplier!$A$2:$A$21,0))</f>
        <v>Packaging</v>
      </c>
      <c r="E660" s="8" t="str">
        <f aca="false">INDEX(Dim_Supplier!$B$2:$B$21,MATCH(B660,Dim_Supplier!$A$2:$A$21,0))</f>
        <v>Great Lakes Packaging Co.</v>
      </c>
      <c r="F660" s="5" t="s">
        <v>117</v>
      </c>
      <c r="G660" s="5" t="s">
        <v>112</v>
      </c>
      <c r="H660" s="8" t="n">
        <f aca="false">INDEX(Lookup_Tables!$B$2:$B$5,MATCH(D660,Lookup_Tables!$A$2:$A$5,0))</f>
        <v>14</v>
      </c>
      <c r="I660" s="9" t="n">
        <f aca="false">C660+H660</f>
        <v>45640</v>
      </c>
      <c r="J660" s="5" t="n">
        <v>-4</v>
      </c>
      <c r="K660" s="9" t="n">
        <f aca="false">I660+J660</f>
        <v>45636</v>
      </c>
      <c r="L660" s="5" t="n">
        <v>2776</v>
      </c>
      <c r="M660" s="10" t="n">
        <f aca="false">INDEX(Dim_Supplier!$F$2:$F$21,MATCH(B660,Dim_Supplier!$A$2:$A$21,0))</f>
        <v>4.35</v>
      </c>
      <c r="N660" s="11" t="n">
        <v>0.0029</v>
      </c>
      <c r="O660" s="10" t="n">
        <f aca="false">M660*(1+N660)</f>
        <v>4.362615</v>
      </c>
      <c r="P660" s="10" t="n">
        <f aca="false">O660*L660</f>
        <v>12110.61924</v>
      </c>
      <c r="Q660" s="5" t="s">
        <v>113</v>
      </c>
      <c r="R660" s="5" t="n">
        <v>0</v>
      </c>
      <c r="S660" s="5" t="n">
        <v>60</v>
      </c>
      <c r="T660" s="12" t="n">
        <f aca="false">(O660-M660)/M660</f>
        <v>0.00289999999999986</v>
      </c>
      <c r="U660" s="8" t="n">
        <f aca="false">IF(AND(K660&lt;=I660,R660=0),1,0)</f>
        <v>1</v>
      </c>
      <c r="V660" s="10" t="n">
        <f aca="false">IF(Q660="No",P660,0)</f>
        <v>0</v>
      </c>
    </row>
    <row r="661" customFormat="false" ht="15" hidden="false" customHeight="false" outlineLevel="0" collapsed="false">
      <c r="A661" s="5" t="s">
        <v>795</v>
      </c>
      <c r="B661" s="5" t="s">
        <v>75</v>
      </c>
      <c r="C661" s="7" t="n">
        <v>45381</v>
      </c>
      <c r="D661" s="8" t="str">
        <f aca="false">INDEX(Dim_Supplier!$C$2:$C$21,MATCH(B661,Dim_Supplier!$A$2:$A$21,0))</f>
        <v>MRO</v>
      </c>
      <c r="E661" s="8" t="str">
        <f aca="false">INDEX(Dim_Supplier!$B$2:$B$21,MATCH(B661,Dim_Supplier!$A$2:$A$21,0))</f>
        <v>Sterling Lubricants Inc.</v>
      </c>
      <c r="F661" s="5" t="s">
        <v>132</v>
      </c>
      <c r="G661" s="5" t="s">
        <v>125</v>
      </c>
      <c r="H661" s="8" t="n">
        <f aca="false">INDEX(Lookup_Tables!$B$2:$B$5,MATCH(D661,Lookup_Tables!$A$2:$A$5,0))</f>
        <v>10</v>
      </c>
      <c r="I661" s="9" t="n">
        <f aca="false">C661+H661</f>
        <v>45391</v>
      </c>
      <c r="J661" s="5" t="n">
        <v>-2</v>
      </c>
      <c r="K661" s="9" t="n">
        <f aca="false">I661+J661</f>
        <v>45389</v>
      </c>
      <c r="L661" s="5" t="n">
        <v>159</v>
      </c>
      <c r="M661" s="10" t="n">
        <f aca="false">INDEX(Dim_Supplier!$F$2:$F$21,MATCH(B661,Dim_Supplier!$A$2:$A$21,0))</f>
        <v>27.1</v>
      </c>
      <c r="N661" s="11" t="n">
        <v>0.0364</v>
      </c>
      <c r="O661" s="10" t="n">
        <f aca="false">M661*(1+N661)</f>
        <v>28.08644</v>
      </c>
      <c r="P661" s="10" t="n">
        <f aca="false">O661*L661</f>
        <v>4465.74396</v>
      </c>
      <c r="Q661" s="5" t="s">
        <v>113</v>
      </c>
      <c r="R661" s="5" t="n">
        <v>0</v>
      </c>
      <c r="S661" s="5" t="n">
        <v>45</v>
      </c>
      <c r="T661" s="12" t="n">
        <f aca="false">(O661-M661)/M661</f>
        <v>0.0363999999999999</v>
      </c>
      <c r="U661" s="8" t="n">
        <f aca="false">IF(AND(K661&lt;=I661,R661=0),1,0)</f>
        <v>1</v>
      </c>
      <c r="V661" s="10" t="n">
        <f aca="false">IF(Q661="No",P661,0)</f>
        <v>0</v>
      </c>
    </row>
    <row r="662" customFormat="false" ht="15" hidden="false" customHeight="false" outlineLevel="0" collapsed="false">
      <c r="A662" s="5" t="s">
        <v>796</v>
      </c>
      <c r="B662" s="5" t="s">
        <v>60</v>
      </c>
      <c r="C662" s="7" t="n">
        <v>46025</v>
      </c>
      <c r="D662" s="8" t="str">
        <f aca="false">INDEX(Dim_Supplier!$C$2:$C$21,MATCH(B662,Dim_Supplier!$A$2:$A$21,0))</f>
        <v>Packaging</v>
      </c>
      <c r="E662" s="8" t="str">
        <f aca="false">INDEX(Dim_Supplier!$B$2:$B$21,MATCH(B662,Dim_Supplier!$A$2:$A$21,0))</f>
        <v>Maple Leaf Box &amp; Crate</v>
      </c>
      <c r="F662" s="5" t="s">
        <v>137</v>
      </c>
      <c r="G662" s="5" t="s">
        <v>120</v>
      </c>
      <c r="H662" s="8" t="n">
        <f aca="false">INDEX(Lookup_Tables!$B$2:$B$5,MATCH(D662,Lookup_Tables!$A$2:$A$5,0))</f>
        <v>14</v>
      </c>
      <c r="I662" s="9" t="n">
        <f aca="false">C662+H662</f>
        <v>46039</v>
      </c>
      <c r="J662" s="5" t="n">
        <v>-1</v>
      </c>
      <c r="K662" s="9" t="n">
        <f aca="false">I662+J662</f>
        <v>46038</v>
      </c>
      <c r="L662" s="5" t="n">
        <v>3325</v>
      </c>
      <c r="M662" s="10" t="n">
        <f aca="false">INDEX(Dim_Supplier!$F$2:$F$21,MATCH(B662,Dim_Supplier!$A$2:$A$21,0))</f>
        <v>3.1</v>
      </c>
      <c r="N662" s="11" t="n">
        <v>0.0421</v>
      </c>
      <c r="O662" s="10" t="n">
        <f aca="false">M662*(1+N662)</f>
        <v>3.23051</v>
      </c>
      <c r="P662" s="10" t="n">
        <f aca="false">O662*L662</f>
        <v>10741.44575</v>
      </c>
      <c r="Q662" s="5" t="s">
        <v>113</v>
      </c>
      <c r="R662" s="5" t="n">
        <v>0</v>
      </c>
      <c r="S662" s="5" t="n">
        <v>60</v>
      </c>
      <c r="T662" s="12" t="n">
        <f aca="false">(O662-M662)/M662</f>
        <v>0.0421</v>
      </c>
      <c r="U662" s="8" t="n">
        <f aca="false">IF(AND(K662&lt;=I662,R662=0),1,0)</f>
        <v>1</v>
      </c>
      <c r="V662" s="10" t="n">
        <f aca="false">IF(Q662="No",P662,0)</f>
        <v>0</v>
      </c>
    </row>
    <row r="663" customFormat="false" ht="15" hidden="false" customHeight="false" outlineLevel="0" collapsed="false">
      <c r="A663" s="5" t="s">
        <v>797</v>
      </c>
      <c r="B663" s="5" t="s">
        <v>46</v>
      </c>
      <c r="C663" s="7" t="n">
        <v>46037</v>
      </c>
      <c r="D663" s="8" t="str">
        <f aca="false">INDEX(Dim_Supplier!$C$2:$C$21,MATCH(B663,Dim_Supplier!$A$2:$A$21,0))</f>
        <v>Raw Materials</v>
      </c>
      <c r="E663" s="8" t="str">
        <f aca="false">INDEX(Dim_Supplier!$B$2:$B$21,MATCH(B663,Dim_Supplier!$A$2:$A$21,0))</f>
        <v>Niagara Alloy Supply</v>
      </c>
      <c r="F663" s="5" t="s">
        <v>142</v>
      </c>
      <c r="G663" s="5" t="s">
        <v>125</v>
      </c>
      <c r="H663" s="8" t="n">
        <f aca="false">INDEX(Lookup_Tables!$B$2:$B$5,MATCH(D663,Lookup_Tables!$A$2:$A$5,0))</f>
        <v>21</v>
      </c>
      <c r="I663" s="9" t="n">
        <f aca="false">C663+H663</f>
        <v>46058</v>
      </c>
      <c r="J663" s="5" t="n">
        <v>0</v>
      </c>
      <c r="K663" s="9" t="n">
        <f aca="false">I663+J663</f>
        <v>46058</v>
      </c>
      <c r="L663" s="5" t="n">
        <v>1750</v>
      </c>
      <c r="M663" s="10" t="n">
        <f aca="false">INDEX(Dim_Supplier!$F$2:$F$21,MATCH(B663,Dim_Supplier!$A$2:$A$21,0))</f>
        <v>46.5</v>
      </c>
      <c r="N663" s="11" t="n">
        <v>0.0144</v>
      </c>
      <c r="O663" s="10" t="n">
        <f aca="false">M663*(1+N663)</f>
        <v>47.1696</v>
      </c>
      <c r="P663" s="10" t="n">
        <f aca="false">O663*L663</f>
        <v>82546.8</v>
      </c>
      <c r="Q663" s="5" t="s">
        <v>113</v>
      </c>
      <c r="R663" s="5" t="n">
        <v>0</v>
      </c>
      <c r="S663" s="5" t="n">
        <v>45</v>
      </c>
      <c r="T663" s="12" t="n">
        <f aca="false">(O663-M663)/M663</f>
        <v>0.0143999999999999</v>
      </c>
      <c r="U663" s="8" t="n">
        <f aca="false">IF(AND(K663&lt;=I663,R663=0),1,0)</f>
        <v>1</v>
      </c>
      <c r="V663" s="10" t="n">
        <f aca="false">IF(Q663="No",P663,0)</f>
        <v>0</v>
      </c>
    </row>
    <row r="664" customFormat="false" ht="15" hidden="false" customHeight="false" outlineLevel="0" collapsed="false">
      <c r="A664" s="5" t="s">
        <v>798</v>
      </c>
      <c r="B664" s="5" t="s">
        <v>62</v>
      </c>
      <c r="C664" s="7" t="n">
        <v>46147</v>
      </c>
      <c r="D664" s="8" t="str">
        <f aca="false">INDEX(Dim_Supplier!$C$2:$C$21,MATCH(B664,Dim_Supplier!$A$2:$A$21,0))</f>
        <v>Packaging</v>
      </c>
      <c r="E664" s="8" t="str">
        <f aca="false">INDEX(Dim_Supplier!$B$2:$B$21,MATCH(B664,Dim_Supplier!$A$2:$A$21,0))</f>
        <v>Trillium Packaging Solutions</v>
      </c>
      <c r="F664" s="5" t="s">
        <v>122</v>
      </c>
      <c r="G664" s="5" t="s">
        <v>129</v>
      </c>
      <c r="H664" s="8" t="n">
        <f aca="false">INDEX(Lookup_Tables!$B$2:$B$5,MATCH(D664,Lookup_Tables!$A$2:$A$5,0))</f>
        <v>14</v>
      </c>
      <c r="I664" s="9" t="n">
        <f aca="false">C664+H664</f>
        <v>46161</v>
      </c>
      <c r="J664" s="5" t="n">
        <v>-2</v>
      </c>
      <c r="K664" s="9" t="n">
        <f aca="false">I664+J664</f>
        <v>46159</v>
      </c>
      <c r="L664" s="5" t="n">
        <v>4803</v>
      </c>
      <c r="M664" s="10" t="n">
        <f aca="false">INDEX(Dim_Supplier!$F$2:$F$21,MATCH(B664,Dim_Supplier!$A$2:$A$21,0))</f>
        <v>5.6</v>
      </c>
      <c r="N664" s="11" t="n">
        <v>0.0333</v>
      </c>
      <c r="O664" s="10" t="n">
        <f aca="false">M664*(1+N664)</f>
        <v>5.78648</v>
      </c>
      <c r="P664" s="10" t="n">
        <f aca="false">O664*L664</f>
        <v>27792.46344</v>
      </c>
      <c r="Q664" s="5" t="s">
        <v>133</v>
      </c>
      <c r="R664" s="5" t="n">
        <v>0</v>
      </c>
      <c r="S664" s="5" t="n">
        <v>60</v>
      </c>
      <c r="T664" s="12" t="n">
        <f aca="false">(O664-M664)/M664</f>
        <v>0.0333000000000001</v>
      </c>
      <c r="U664" s="8" t="n">
        <f aca="false">IF(AND(K664&lt;=I664,R664=0),1,0)</f>
        <v>1</v>
      </c>
      <c r="V664" s="10" t="n">
        <f aca="false">IF(Q664="No",P664,0)</f>
        <v>27792.46344</v>
      </c>
    </row>
    <row r="665" customFormat="false" ht="15" hidden="false" customHeight="false" outlineLevel="0" collapsed="false">
      <c r="A665" s="5" t="s">
        <v>799</v>
      </c>
      <c r="B665" s="5" t="s">
        <v>79</v>
      </c>
      <c r="C665" s="7" t="n">
        <v>45382</v>
      </c>
      <c r="D665" s="8" t="str">
        <f aca="false">INDEX(Dim_Supplier!$C$2:$C$21,MATCH(B665,Dim_Supplier!$A$2:$A$21,0))</f>
        <v>Logistics</v>
      </c>
      <c r="E665" s="8" t="str">
        <f aca="false">INDEX(Dim_Supplier!$B$2:$B$21,MATCH(B665,Dim_Supplier!$A$2:$A$21,0))</f>
        <v>Niagara Freight Solutions</v>
      </c>
      <c r="F665" s="5" t="s">
        <v>124</v>
      </c>
      <c r="G665" s="5" t="s">
        <v>125</v>
      </c>
      <c r="H665" s="8" t="n">
        <f aca="false">INDEX(Lookup_Tables!$B$2:$B$5,MATCH(D665,Lookup_Tables!$A$2:$A$5,0))</f>
        <v>5</v>
      </c>
      <c r="I665" s="9" t="n">
        <f aca="false">C665+H665</f>
        <v>45387</v>
      </c>
      <c r="J665" s="5" t="n">
        <v>-3</v>
      </c>
      <c r="K665" s="9" t="n">
        <f aca="false">I665+J665</f>
        <v>45384</v>
      </c>
      <c r="L665" s="5" t="n">
        <v>12</v>
      </c>
      <c r="M665" s="10" t="n">
        <f aca="false">INDEX(Dim_Supplier!$F$2:$F$21,MATCH(B665,Dim_Supplier!$A$2:$A$21,0))</f>
        <v>340</v>
      </c>
      <c r="N665" s="11" t="n">
        <v>-0.0022</v>
      </c>
      <c r="O665" s="10" t="n">
        <f aca="false">M665*(1+N665)</f>
        <v>339.252</v>
      </c>
      <c r="P665" s="10" t="n">
        <f aca="false">O665*L665</f>
        <v>4071.024</v>
      </c>
      <c r="Q665" s="5" t="s">
        <v>113</v>
      </c>
      <c r="R665" s="5" t="n">
        <v>0</v>
      </c>
      <c r="S665" s="5" t="n">
        <v>45</v>
      </c>
      <c r="T665" s="12" t="n">
        <f aca="false">(O665-M665)/M665</f>
        <v>-0.00219999999999997</v>
      </c>
      <c r="U665" s="8" t="n">
        <f aca="false">IF(AND(K665&lt;=I665,R665=0),1,0)</f>
        <v>1</v>
      </c>
      <c r="V665" s="10" t="n">
        <f aca="false">IF(Q665="No",P665,0)</f>
        <v>0</v>
      </c>
    </row>
    <row r="666" customFormat="false" ht="15" hidden="false" customHeight="false" outlineLevel="0" collapsed="false">
      <c r="A666" s="5" t="s">
        <v>800</v>
      </c>
      <c r="B666" s="5" t="s">
        <v>46</v>
      </c>
      <c r="C666" s="7" t="n">
        <v>45482</v>
      </c>
      <c r="D666" s="8" t="str">
        <f aca="false">INDEX(Dim_Supplier!$C$2:$C$21,MATCH(B666,Dim_Supplier!$A$2:$A$21,0))</f>
        <v>Raw Materials</v>
      </c>
      <c r="E666" s="8" t="str">
        <f aca="false">INDEX(Dim_Supplier!$B$2:$B$21,MATCH(B666,Dim_Supplier!$A$2:$A$21,0))</f>
        <v>Niagara Alloy Supply</v>
      </c>
      <c r="F666" s="5" t="s">
        <v>142</v>
      </c>
      <c r="G666" s="5" t="s">
        <v>120</v>
      </c>
      <c r="H666" s="8" t="n">
        <f aca="false">INDEX(Lookup_Tables!$B$2:$B$5,MATCH(D666,Lookup_Tables!$A$2:$A$5,0))</f>
        <v>21</v>
      </c>
      <c r="I666" s="9" t="n">
        <f aca="false">C666+H666</f>
        <v>45503</v>
      </c>
      <c r="J666" s="5" t="n">
        <v>-2</v>
      </c>
      <c r="K666" s="9" t="n">
        <f aca="false">I666+J666</f>
        <v>45501</v>
      </c>
      <c r="L666" s="5" t="n">
        <v>1792</v>
      </c>
      <c r="M666" s="10" t="n">
        <f aca="false">INDEX(Dim_Supplier!$F$2:$F$21,MATCH(B666,Dim_Supplier!$A$2:$A$21,0))</f>
        <v>46.5</v>
      </c>
      <c r="N666" s="11" t="n">
        <v>0.028</v>
      </c>
      <c r="O666" s="10" t="n">
        <f aca="false">M666*(1+N666)</f>
        <v>47.802</v>
      </c>
      <c r="P666" s="10" t="n">
        <f aca="false">O666*L666</f>
        <v>85661.184</v>
      </c>
      <c r="Q666" s="5" t="s">
        <v>113</v>
      </c>
      <c r="R666" s="5" t="n">
        <v>0</v>
      </c>
      <c r="S666" s="5" t="n">
        <v>30</v>
      </c>
      <c r="T666" s="12" t="n">
        <f aca="false">(O666-M666)/M666</f>
        <v>0.028</v>
      </c>
      <c r="U666" s="8" t="n">
        <f aca="false">IF(AND(K666&lt;=I666,R666=0),1,0)</f>
        <v>1</v>
      </c>
      <c r="V666" s="10" t="n">
        <f aca="false">IF(Q666="No",P666,0)</f>
        <v>0</v>
      </c>
    </row>
    <row r="667" customFormat="false" ht="15" hidden="false" customHeight="false" outlineLevel="0" collapsed="false">
      <c r="A667" s="5" t="s">
        <v>801</v>
      </c>
      <c r="B667" s="5" t="s">
        <v>77</v>
      </c>
      <c r="C667" s="7" t="n">
        <v>45521</v>
      </c>
      <c r="D667" s="8" t="str">
        <f aca="false">INDEX(Dim_Supplier!$C$2:$C$21,MATCH(B667,Dim_Supplier!$A$2:$A$21,0))</f>
        <v>MRO</v>
      </c>
      <c r="E667" s="8" t="str">
        <f aca="false">INDEX(Dim_Supplier!$B$2:$B$21,MATCH(B667,Dim_Supplier!$A$2:$A$21,0))</f>
        <v>Apex Industrial Supply</v>
      </c>
      <c r="F667" s="5" t="s">
        <v>127</v>
      </c>
      <c r="G667" s="5" t="s">
        <v>129</v>
      </c>
      <c r="H667" s="8" t="n">
        <f aca="false">INDEX(Lookup_Tables!$B$2:$B$5,MATCH(D667,Lookup_Tables!$A$2:$A$5,0))</f>
        <v>10</v>
      </c>
      <c r="I667" s="9" t="n">
        <f aca="false">C667+H667</f>
        <v>45531</v>
      </c>
      <c r="J667" s="5" t="n">
        <v>0</v>
      </c>
      <c r="K667" s="9" t="n">
        <f aca="false">I667+J667</f>
        <v>45531</v>
      </c>
      <c r="L667" s="5" t="n">
        <v>168</v>
      </c>
      <c r="M667" s="10" t="n">
        <f aca="false">INDEX(Dim_Supplier!$F$2:$F$21,MATCH(B667,Dim_Supplier!$A$2:$A$21,0))</f>
        <v>24.6</v>
      </c>
      <c r="N667" s="11" t="n">
        <v>0.0639</v>
      </c>
      <c r="O667" s="10" t="n">
        <f aca="false">M667*(1+N667)</f>
        <v>26.17194</v>
      </c>
      <c r="P667" s="10" t="n">
        <f aca="false">O667*L667</f>
        <v>4396.88592</v>
      </c>
      <c r="Q667" s="5" t="s">
        <v>133</v>
      </c>
      <c r="R667" s="5" t="n">
        <v>0</v>
      </c>
      <c r="S667" s="5" t="n">
        <v>45</v>
      </c>
      <c r="T667" s="12" t="n">
        <f aca="false">(O667-M667)/M667</f>
        <v>0.0639000000000001</v>
      </c>
      <c r="U667" s="8" t="n">
        <f aca="false">IF(AND(K667&lt;=I667,R667=0),1,0)</f>
        <v>1</v>
      </c>
      <c r="V667" s="10" t="n">
        <f aca="false">IF(Q667="No",P667,0)</f>
        <v>4396.88592</v>
      </c>
    </row>
    <row r="668" customFormat="false" ht="15" hidden="false" customHeight="false" outlineLevel="0" collapsed="false">
      <c r="A668" s="5" t="s">
        <v>802</v>
      </c>
      <c r="B668" s="5" t="s">
        <v>84</v>
      </c>
      <c r="C668" s="7" t="n">
        <v>45719</v>
      </c>
      <c r="D668" s="8" t="str">
        <f aca="false">INDEX(Dim_Supplier!$C$2:$C$21,MATCH(B668,Dim_Supplier!$A$2:$A$21,0))</f>
        <v>Logistics</v>
      </c>
      <c r="E668" s="8" t="str">
        <f aca="false">INDEX(Dim_Supplier!$B$2:$B$21,MATCH(B668,Dim_Supplier!$A$2:$A$21,0))</f>
        <v>Trans-Canada Carriers</v>
      </c>
      <c r="F668" s="5" t="s">
        <v>154</v>
      </c>
      <c r="G668" s="5" t="s">
        <v>125</v>
      </c>
      <c r="H668" s="8" t="n">
        <f aca="false">INDEX(Lookup_Tables!$B$2:$B$5,MATCH(D668,Lookup_Tables!$A$2:$A$5,0))</f>
        <v>5</v>
      </c>
      <c r="I668" s="9" t="n">
        <f aca="false">C668+H668</f>
        <v>45724</v>
      </c>
      <c r="J668" s="5" t="n">
        <v>6</v>
      </c>
      <c r="K668" s="9" t="n">
        <f aca="false">I668+J668</f>
        <v>45730</v>
      </c>
      <c r="L668" s="5" t="n">
        <v>2</v>
      </c>
      <c r="M668" s="10" t="n">
        <f aca="false">INDEX(Dim_Supplier!$F$2:$F$21,MATCH(B668,Dim_Supplier!$A$2:$A$21,0))</f>
        <v>210</v>
      </c>
      <c r="N668" s="11" t="n">
        <v>0.1141</v>
      </c>
      <c r="O668" s="10" t="n">
        <f aca="false">M668*(1+N668)</f>
        <v>233.961</v>
      </c>
      <c r="P668" s="10" t="n">
        <f aca="false">O668*L668</f>
        <v>467.922</v>
      </c>
      <c r="Q668" s="5" t="s">
        <v>113</v>
      </c>
      <c r="R668" s="5" t="n">
        <v>0</v>
      </c>
      <c r="S668" s="5" t="n">
        <v>60</v>
      </c>
      <c r="T668" s="12" t="n">
        <f aca="false">(O668-M668)/M668</f>
        <v>0.1141</v>
      </c>
      <c r="U668" s="8" t="n">
        <f aca="false">IF(AND(K668&lt;=I668,R668=0),1,0)</f>
        <v>0</v>
      </c>
      <c r="V668" s="10" t="n">
        <f aca="false">IF(Q668="No",P668,0)</f>
        <v>0</v>
      </c>
    </row>
    <row r="669" customFormat="false" ht="15" hidden="false" customHeight="false" outlineLevel="0" collapsed="false">
      <c r="A669" s="5" t="s">
        <v>803</v>
      </c>
      <c r="B669" s="5" t="s">
        <v>41</v>
      </c>
      <c r="C669" s="7" t="n">
        <v>46055</v>
      </c>
      <c r="D669" s="8" t="str">
        <f aca="false">INDEX(Dim_Supplier!$C$2:$C$21,MATCH(B669,Dim_Supplier!$A$2:$A$21,0))</f>
        <v>Raw Materials</v>
      </c>
      <c r="E669" s="8" t="str">
        <f aca="false">INDEX(Dim_Supplier!$B$2:$B$21,MATCH(B669,Dim_Supplier!$A$2:$A$21,0))</f>
        <v>Ontario Steel Partners</v>
      </c>
      <c r="F669" s="5" t="s">
        <v>139</v>
      </c>
      <c r="G669" s="5" t="s">
        <v>125</v>
      </c>
      <c r="H669" s="8" t="n">
        <f aca="false">INDEX(Lookup_Tables!$B$2:$B$5,MATCH(D669,Lookup_Tables!$A$2:$A$5,0))</f>
        <v>21</v>
      </c>
      <c r="I669" s="9" t="n">
        <f aca="false">C669+H669</f>
        <v>46076</v>
      </c>
      <c r="J669" s="5" t="n">
        <v>-4</v>
      </c>
      <c r="K669" s="9" t="n">
        <f aca="false">I669+J669</f>
        <v>46072</v>
      </c>
      <c r="L669" s="5" t="n">
        <v>1386</v>
      </c>
      <c r="M669" s="10" t="n">
        <f aca="false">INDEX(Dim_Supplier!$F$2:$F$21,MATCH(B669,Dim_Supplier!$A$2:$A$21,0))</f>
        <v>58</v>
      </c>
      <c r="N669" s="11" t="n">
        <v>-0.0061</v>
      </c>
      <c r="O669" s="10" t="n">
        <f aca="false">M669*(1+N669)</f>
        <v>57.6462</v>
      </c>
      <c r="P669" s="10" t="n">
        <f aca="false">O669*L669</f>
        <v>79897.6332</v>
      </c>
      <c r="Q669" s="5" t="s">
        <v>113</v>
      </c>
      <c r="R669" s="5" t="n">
        <v>0</v>
      </c>
      <c r="S669" s="5" t="n">
        <v>60</v>
      </c>
      <c r="T669" s="12" t="n">
        <f aca="false">(O669-M669)/M669</f>
        <v>-0.00609999999999999</v>
      </c>
      <c r="U669" s="8" t="n">
        <f aca="false">IF(AND(K669&lt;=I669,R669=0),1,0)</f>
        <v>1</v>
      </c>
      <c r="V669" s="10" t="n">
        <f aca="false">IF(Q669="No",P669,0)</f>
        <v>0</v>
      </c>
    </row>
    <row r="670" customFormat="false" ht="15" hidden="false" customHeight="false" outlineLevel="0" collapsed="false">
      <c r="A670" s="5" t="s">
        <v>804</v>
      </c>
      <c r="B670" s="5" t="s">
        <v>60</v>
      </c>
      <c r="C670" s="7" t="n">
        <v>46042</v>
      </c>
      <c r="D670" s="8" t="str">
        <f aca="false">INDEX(Dim_Supplier!$C$2:$C$21,MATCH(B670,Dim_Supplier!$A$2:$A$21,0))</f>
        <v>Packaging</v>
      </c>
      <c r="E670" s="8" t="str">
        <f aca="false">INDEX(Dim_Supplier!$B$2:$B$21,MATCH(B670,Dim_Supplier!$A$2:$A$21,0))</f>
        <v>Maple Leaf Box &amp; Crate</v>
      </c>
      <c r="F670" s="5" t="s">
        <v>122</v>
      </c>
      <c r="G670" s="5" t="s">
        <v>129</v>
      </c>
      <c r="H670" s="8" t="n">
        <f aca="false">INDEX(Lookup_Tables!$B$2:$B$5,MATCH(D670,Lookup_Tables!$A$2:$A$5,0))</f>
        <v>14</v>
      </c>
      <c r="I670" s="9" t="n">
        <f aca="false">C670+H670</f>
        <v>46056</v>
      </c>
      <c r="J670" s="5" t="n">
        <v>0</v>
      </c>
      <c r="K670" s="9" t="n">
        <f aca="false">I670+J670</f>
        <v>46056</v>
      </c>
      <c r="L670" s="5" t="n">
        <v>979</v>
      </c>
      <c r="M670" s="10" t="n">
        <f aca="false">INDEX(Dim_Supplier!$F$2:$F$21,MATCH(B670,Dim_Supplier!$A$2:$A$21,0))</f>
        <v>3.1</v>
      </c>
      <c r="N670" s="11" t="n">
        <v>0.0301</v>
      </c>
      <c r="O670" s="10" t="n">
        <f aca="false">M670*(1+N670)</f>
        <v>3.19331</v>
      </c>
      <c r="P670" s="10" t="n">
        <f aca="false">O670*L670</f>
        <v>3126.25049</v>
      </c>
      <c r="Q670" s="5" t="s">
        <v>113</v>
      </c>
      <c r="R670" s="5" t="n">
        <v>0</v>
      </c>
      <c r="S670" s="5" t="n">
        <v>45</v>
      </c>
      <c r="T670" s="12" t="n">
        <f aca="false">(O670-M670)/M670</f>
        <v>0.0301000000000001</v>
      </c>
      <c r="U670" s="8" t="n">
        <f aca="false">IF(AND(K670&lt;=I670,R670=0),1,0)</f>
        <v>1</v>
      </c>
      <c r="V670" s="10" t="n">
        <f aca="false">IF(Q670="No",P670,0)</f>
        <v>0</v>
      </c>
    </row>
    <row r="671" customFormat="false" ht="15" hidden="false" customHeight="false" outlineLevel="0" collapsed="false">
      <c r="A671" s="5" t="s">
        <v>805</v>
      </c>
      <c r="B671" s="5" t="s">
        <v>57</v>
      </c>
      <c r="C671" s="7" t="n">
        <v>45346</v>
      </c>
      <c r="D671" s="8" t="str">
        <f aca="false">INDEX(Dim_Supplier!$C$2:$C$21,MATCH(B671,Dim_Supplier!$A$2:$A$21,0))</f>
        <v>Packaging</v>
      </c>
      <c r="E671" s="8" t="str">
        <f aca="false">INDEX(Dim_Supplier!$B$2:$B$21,MATCH(B671,Dim_Supplier!$A$2:$A$21,0))</f>
        <v>Great Lakes Packaging Co.</v>
      </c>
      <c r="F671" s="5" t="s">
        <v>119</v>
      </c>
      <c r="G671" s="5" t="s">
        <v>120</v>
      </c>
      <c r="H671" s="8" t="n">
        <f aca="false">INDEX(Lookup_Tables!$B$2:$B$5,MATCH(D671,Lookup_Tables!$A$2:$A$5,0))</f>
        <v>14</v>
      </c>
      <c r="I671" s="9" t="n">
        <f aca="false">C671+H671</f>
        <v>45360</v>
      </c>
      <c r="J671" s="5" t="n">
        <v>-4</v>
      </c>
      <c r="K671" s="9" t="n">
        <f aca="false">I671+J671</f>
        <v>45356</v>
      </c>
      <c r="L671" s="5" t="n">
        <v>3416</v>
      </c>
      <c r="M671" s="10" t="n">
        <f aca="false">INDEX(Dim_Supplier!$F$2:$F$21,MATCH(B671,Dim_Supplier!$A$2:$A$21,0))</f>
        <v>4.35</v>
      </c>
      <c r="N671" s="11" t="n">
        <v>0.0314</v>
      </c>
      <c r="O671" s="10" t="n">
        <f aca="false">M671*(1+N671)</f>
        <v>4.48659</v>
      </c>
      <c r="P671" s="10" t="n">
        <f aca="false">O671*L671</f>
        <v>15326.19144</v>
      </c>
      <c r="Q671" s="5" t="s">
        <v>113</v>
      </c>
      <c r="R671" s="5" t="n">
        <v>0</v>
      </c>
      <c r="S671" s="5" t="n">
        <v>45</v>
      </c>
      <c r="T671" s="12" t="n">
        <f aca="false">(O671-M671)/M671</f>
        <v>0.0314</v>
      </c>
      <c r="U671" s="8" t="n">
        <f aca="false">IF(AND(K671&lt;=I671,R671=0),1,0)</f>
        <v>1</v>
      </c>
      <c r="V671" s="10" t="n">
        <f aca="false">IF(Q671="No",P671,0)</f>
        <v>0</v>
      </c>
    </row>
    <row r="672" customFormat="false" ht="15" hidden="false" customHeight="false" outlineLevel="0" collapsed="false">
      <c r="A672" s="5" t="s">
        <v>806</v>
      </c>
      <c r="B672" s="5" t="s">
        <v>41</v>
      </c>
      <c r="C672" s="7" t="n">
        <v>45490</v>
      </c>
      <c r="D672" s="8" t="str">
        <f aca="false">INDEX(Dim_Supplier!$C$2:$C$21,MATCH(B672,Dim_Supplier!$A$2:$A$21,0))</f>
        <v>Raw Materials</v>
      </c>
      <c r="E672" s="8" t="str">
        <f aca="false">INDEX(Dim_Supplier!$B$2:$B$21,MATCH(B672,Dim_Supplier!$A$2:$A$21,0))</f>
        <v>Ontario Steel Partners</v>
      </c>
      <c r="F672" s="5" t="s">
        <v>115</v>
      </c>
      <c r="G672" s="5" t="s">
        <v>129</v>
      </c>
      <c r="H672" s="8" t="n">
        <f aca="false">INDEX(Lookup_Tables!$B$2:$B$5,MATCH(D672,Lookup_Tables!$A$2:$A$5,0))</f>
        <v>21</v>
      </c>
      <c r="I672" s="9" t="n">
        <f aca="false">C672+H672</f>
        <v>45511</v>
      </c>
      <c r="J672" s="5" t="n">
        <v>-4</v>
      </c>
      <c r="K672" s="9" t="n">
        <f aca="false">I672+J672</f>
        <v>45507</v>
      </c>
      <c r="L672" s="5" t="n">
        <v>760</v>
      </c>
      <c r="M672" s="10" t="n">
        <f aca="false">INDEX(Dim_Supplier!$F$2:$F$21,MATCH(B672,Dim_Supplier!$A$2:$A$21,0))</f>
        <v>58</v>
      </c>
      <c r="N672" s="11" t="n">
        <v>0.003</v>
      </c>
      <c r="O672" s="10" t="n">
        <f aca="false">M672*(1+N672)</f>
        <v>58.174</v>
      </c>
      <c r="P672" s="10" t="n">
        <f aca="false">O672*L672</f>
        <v>44212.24</v>
      </c>
      <c r="Q672" s="5" t="s">
        <v>113</v>
      </c>
      <c r="R672" s="5" t="n">
        <v>0</v>
      </c>
      <c r="S672" s="5" t="n">
        <v>45</v>
      </c>
      <c r="T672" s="12" t="n">
        <f aca="false">(O672-M672)/M672</f>
        <v>0.00299999999999987</v>
      </c>
      <c r="U672" s="8" t="n">
        <f aca="false">IF(AND(K672&lt;=I672,R672=0),1,0)</f>
        <v>1</v>
      </c>
      <c r="V672" s="10" t="n">
        <f aca="false">IF(Q672="No",P672,0)</f>
        <v>0</v>
      </c>
    </row>
    <row r="673" customFormat="false" ht="15" hidden="false" customHeight="false" outlineLevel="0" collapsed="false">
      <c r="A673" s="5" t="s">
        <v>807</v>
      </c>
      <c r="B673" s="5" t="s">
        <v>57</v>
      </c>
      <c r="C673" s="7" t="n">
        <v>45993</v>
      </c>
      <c r="D673" s="8" t="str">
        <f aca="false">INDEX(Dim_Supplier!$C$2:$C$21,MATCH(B673,Dim_Supplier!$A$2:$A$21,0))</f>
        <v>Packaging</v>
      </c>
      <c r="E673" s="8" t="str">
        <f aca="false">INDEX(Dim_Supplier!$B$2:$B$21,MATCH(B673,Dim_Supplier!$A$2:$A$21,0))</f>
        <v>Great Lakes Packaging Co.</v>
      </c>
      <c r="F673" s="5" t="s">
        <v>119</v>
      </c>
      <c r="G673" s="5" t="s">
        <v>129</v>
      </c>
      <c r="H673" s="8" t="n">
        <f aca="false">INDEX(Lookup_Tables!$B$2:$B$5,MATCH(D673,Lookup_Tables!$A$2:$A$5,0))</f>
        <v>14</v>
      </c>
      <c r="I673" s="9" t="n">
        <f aca="false">C673+H673</f>
        <v>46007</v>
      </c>
      <c r="J673" s="5" t="n">
        <v>-4</v>
      </c>
      <c r="K673" s="9" t="n">
        <f aca="false">I673+J673</f>
        <v>46003</v>
      </c>
      <c r="L673" s="5" t="n">
        <v>1677</v>
      </c>
      <c r="M673" s="10" t="n">
        <f aca="false">INDEX(Dim_Supplier!$F$2:$F$21,MATCH(B673,Dim_Supplier!$A$2:$A$21,0))</f>
        <v>4.35</v>
      </c>
      <c r="N673" s="11" t="n">
        <v>0.006</v>
      </c>
      <c r="O673" s="10" t="n">
        <f aca="false">M673*(1+N673)</f>
        <v>4.3761</v>
      </c>
      <c r="P673" s="10" t="n">
        <f aca="false">O673*L673</f>
        <v>7338.7197</v>
      </c>
      <c r="Q673" s="5" t="s">
        <v>113</v>
      </c>
      <c r="R673" s="5" t="n">
        <v>0</v>
      </c>
      <c r="S673" s="5" t="n">
        <v>30</v>
      </c>
      <c r="T673" s="12" t="n">
        <f aca="false">(O673-M673)/M673</f>
        <v>0.00600000000000011</v>
      </c>
      <c r="U673" s="8" t="n">
        <f aca="false">IF(AND(K673&lt;=I673,R673=0),1,0)</f>
        <v>1</v>
      </c>
      <c r="V673" s="10" t="n">
        <f aca="false">IF(Q673="No",P673,0)</f>
        <v>0</v>
      </c>
    </row>
    <row r="674" customFormat="false" ht="15" hidden="false" customHeight="false" outlineLevel="0" collapsed="false">
      <c r="A674" s="5" t="s">
        <v>808</v>
      </c>
      <c r="B674" s="5" t="s">
        <v>64</v>
      </c>
      <c r="C674" s="7" t="n">
        <v>45640</v>
      </c>
      <c r="D674" s="8" t="str">
        <f aca="false">INDEX(Dim_Supplier!$C$2:$C$21,MATCH(B674,Dim_Supplier!$A$2:$A$21,0))</f>
        <v>Packaging</v>
      </c>
      <c r="E674" s="8" t="str">
        <f aca="false">INDEX(Dim_Supplier!$B$2:$B$21,MATCH(B674,Dim_Supplier!$A$2:$A$21,0))</f>
        <v>Huron Pallet Works</v>
      </c>
      <c r="F674" s="5" t="s">
        <v>158</v>
      </c>
      <c r="G674" s="5" t="s">
        <v>129</v>
      </c>
      <c r="H674" s="8" t="n">
        <f aca="false">INDEX(Lookup_Tables!$B$2:$B$5,MATCH(D674,Lookup_Tables!$A$2:$A$5,0))</f>
        <v>14</v>
      </c>
      <c r="I674" s="9" t="n">
        <f aca="false">C674+H674</f>
        <v>45654</v>
      </c>
      <c r="J674" s="5" t="n">
        <v>5</v>
      </c>
      <c r="K674" s="9" t="n">
        <f aca="false">I674+J674</f>
        <v>45659</v>
      </c>
      <c r="L674" s="5" t="n">
        <v>2043</v>
      </c>
      <c r="M674" s="10" t="n">
        <f aca="false">INDEX(Dim_Supplier!$F$2:$F$21,MATCH(B674,Dim_Supplier!$A$2:$A$21,0))</f>
        <v>2.25</v>
      </c>
      <c r="N674" s="11" t="n">
        <v>0.1632</v>
      </c>
      <c r="O674" s="10" t="n">
        <f aca="false">M674*(1+N674)</f>
        <v>2.6172</v>
      </c>
      <c r="P674" s="10" t="n">
        <f aca="false">O674*L674</f>
        <v>5346.9396</v>
      </c>
      <c r="Q674" s="5" t="s">
        <v>133</v>
      </c>
      <c r="R674" s="5" t="n">
        <v>0</v>
      </c>
      <c r="S674" s="5" t="n">
        <v>45</v>
      </c>
      <c r="T674" s="12" t="n">
        <f aca="false">(O674-M674)/M674</f>
        <v>0.1632</v>
      </c>
      <c r="U674" s="8" t="n">
        <f aca="false">IF(AND(K674&lt;=I674,R674=0),1,0)</f>
        <v>0</v>
      </c>
      <c r="V674" s="10" t="n">
        <f aca="false">IF(Q674="No",P674,0)</f>
        <v>5346.9396</v>
      </c>
    </row>
    <row r="675" customFormat="false" ht="15" hidden="false" customHeight="false" outlineLevel="0" collapsed="false">
      <c r="A675" s="5" t="s">
        <v>809</v>
      </c>
      <c r="B675" s="5" t="s">
        <v>86</v>
      </c>
      <c r="C675" s="7" t="n">
        <v>46158</v>
      </c>
      <c r="D675" s="8" t="str">
        <f aca="false">INDEX(Dim_Supplier!$C$2:$C$21,MATCH(B675,Dim_Supplier!$A$2:$A$21,0))</f>
        <v>Logistics</v>
      </c>
      <c r="E675" s="8" t="str">
        <f aca="false">INDEX(Dim_Supplier!$B$2:$B$21,MATCH(B675,Dim_Supplier!$A$2:$A$21,0))</f>
        <v>Blue Water Customs Brokerage</v>
      </c>
      <c r="F675" s="5" t="s">
        <v>185</v>
      </c>
      <c r="G675" s="5" t="s">
        <v>129</v>
      </c>
      <c r="H675" s="8" t="n">
        <f aca="false">INDEX(Lookup_Tables!$B$2:$B$5,MATCH(D675,Lookup_Tables!$A$2:$A$5,0))</f>
        <v>5</v>
      </c>
      <c r="I675" s="9" t="n">
        <f aca="false">C675+H675</f>
        <v>46163</v>
      </c>
      <c r="J675" s="5" t="n">
        <v>-4</v>
      </c>
      <c r="K675" s="9" t="n">
        <f aca="false">I675+J675</f>
        <v>46159</v>
      </c>
      <c r="L675" s="5" t="n">
        <v>8</v>
      </c>
      <c r="M675" s="10" t="n">
        <f aca="false">INDEX(Dim_Supplier!$F$2:$F$21,MATCH(B675,Dim_Supplier!$A$2:$A$21,0))</f>
        <v>175</v>
      </c>
      <c r="N675" s="11" t="n">
        <v>0.0321</v>
      </c>
      <c r="O675" s="10" t="n">
        <f aca="false">M675*(1+N675)</f>
        <v>180.6175</v>
      </c>
      <c r="P675" s="10" t="n">
        <f aca="false">O675*L675</f>
        <v>1444.94</v>
      </c>
      <c r="Q675" s="5" t="s">
        <v>113</v>
      </c>
      <c r="R675" s="5" t="n">
        <v>0</v>
      </c>
      <c r="S675" s="5" t="n">
        <v>30</v>
      </c>
      <c r="T675" s="12" t="n">
        <f aca="false">(O675-M675)/M675</f>
        <v>0.0321</v>
      </c>
      <c r="U675" s="8" t="n">
        <f aca="false">IF(AND(K675&lt;=I675,R675=0),1,0)</f>
        <v>1</v>
      </c>
      <c r="V675" s="10" t="n">
        <f aca="false">IF(Q675="No",P675,0)</f>
        <v>0</v>
      </c>
    </row>
    <row r="676" customFormat="false" ht="15" hidden="false" customHeight="false" outlineLevel="0" collapsed="false">
      <c r="A676" s="5" t="s">
        <v>810</v>
      </c>
      <c r="B676" s="5" t="s">
        <v>57</v>
      </c>
      <c r="C676" s="7" t="n">
        <v>45663</v>
      </c>
      <c r="D676" s="8" t="str">
        <f aca="false">INDEX(Dim_Supplier!$C$2:$C$21,MATCH(B676,Dim_Supplier!$A$2:$A$21,0))</f>
        <v>Packaging</v>
      </c>
      <c r="E676" s="8" t="str">
        <f aca="false">INDEX(Dim_Supplier!$B$2:$B$21,MATCH(B676,Dim_Supplier!$A$2:$A$21,0))</f>
        <v>Great Lakes Packaging Co.</v>
      </c>
      <c r="F676" s="5" t="s">
        <v>158</v>
      </c>
      <c r="G676" s="5" t="s">
        <v>125</v>
      </c>
      <c r="H676" s="8" t="n">
        <f aca="false">INDEX(Lookup_Tables!$B$2:$B$5,MATCH(D676,Lookup_Tables!$A$2:$A$5,0))</f>
        <v>14</v>
      </c>
      <c r="I676" s="9" t="n">
        <f aca="false">C676+H676</f>
        <v>45677</v>
      </c>
      <c r="J676" s="5" t="n">
        <v>-1</v>
      </c>
      <c r="K676" s="9" t="n">
        <f aca="false">I676+J676</f>
        <v>45676</v>
      </c>
      <c r="L676" s="5" t="n">
        <v>3302</v>
      </c>
      <c r="M676" s="10" t="n">
        <f aca="false">INDEX(Dim_Supplier!$F$2:$F$21,MATCH(B676,Dim_Supplier!$A$2:$A$21,0))</f>
        <v>4.35</v>
      </c>
      <c r="N676" s="11" t="n">
        <v>-0.0072</v>
      </c>
      <c r="O676" s="10" t="n">
        <f aca="false">M676*(1+N676)</f>
        <v>4.31868</v>
      </c>
      <c r="P676" s="10" t="n">
        <f aca="false">O676*L676</f>
        <v>14260.28136</v>
      </c>
      <c r="Q676" s="5" t="s">
        <v>113</v>
      </c>
      <c r="R676" s="5" t="n">
        <v>0</v>
      </c>
      <c r="S676" s="5" t="n">
        <v>45</v>
      </c>
      <c r="T676" s="12" t="n">
        <f aca="false">(O676-M676)/M676</f>
        <v>-0.0072</v>
      </c>
      <c r="U676" s="8" t="n">
        <f aca="false">IF(AND(K676&lt;=I676,R676=0),1,0)</f>
        <v>1</v>
      </c>
      <c r="V676" s="10" t="n">
        <f aca="false">IF(Q676="No",P676,0)</f>
        <v>0</v>
      </c>
    </row>
    <row r="677" customFormat="false" ht="15" hidden="false" customHeight="false" outlineLevel="0" collapsed="false">
      <c r="A677" s="5" t="s">
        <v>811</v>
      </c>
      <c r="B677" s="5" t="s">
        <v>46</v>
      </c>
      <c r="C677" s="7" t="n">
        <v>45423</v>
      </c>
      <c r="D677" s="8" t="str">
        <f aca="false">INDEX(Dim_Supplier!$C$2:$C$21,MATCH(B677,Dim_Supplier!$A$2:$A$21,0))</f>
        <v>Raw Materials</v>
      </c>
      <c r="E677" s="8" t="str">
        <f aca="false">INDEX(Dim_Supplier!$B$2:$B$21,MATCH(B677,Dim_Supplier!$A$2:$A$21,0))</f>
        <v>Niagara Alloy Supply</v>
      </c>
      <c r="F677" s="5" t="s">
        <v>115</v>
      </c>
      <c r="G677" s="5" t="s">
        <v>112</v>
      </c>
      <c r="H677" s="8" t="n">
        <f aca="false">INDEX(Lookup_Tables!$B$2:$B$5,MATCH(D677,Lookup_Tables!$A$2:$A$5,0))</f>
        <v>21</v>
      </c>
      <c r="I677" s="9" t="n">
        <f aca="false">C677+H677</f>
        <v>45444</v>
      </c>
      <c r="J677" s="5" t="n">
        <v>-1</v>
      </c>
      <c r="K677" s="9" t="n">
        <f aca="false">I677+J677</f>
        <v>45443</v>
      </c>
      <c r="L677" s="5" t="n">
        <v>260</v>
      </c>
      <c r="M677" s="10" t="n">
        <f aca="false">INDEX(Dim_Supplier!$F$2:$F$21,MATCH(B677,Dim_Supplier!$A$2:$A$21,0))</f>
        <v>46.5</v>
      </c>
      <c r="N677" s="11" t="n">
        <v>0.0428</v>
      </c>
      <c r="O677" s="10" t="n">
        <f aca="false">M677*(1+N677)</f>
        <v>48.4902</v>
      </c>
      <c r="P677" s="10" t="n">
        <f aca="false">O677*L677</f>
        <v>12607.452</v>
      </c>
      <c r="Q677" s="5" t="s">
        <v>113</v>
      </c>
      <c r="R677" s="5" t="n">
        <v>0</v>
      </c>
      <c r="S677" s="5" t="n">
        <v>30</v>
      </c>
      <c r="T677" s="12" t="n">
        <f aca="false">(O677-M677)/M677</f>
        <v>0.0427999999999999</v>
      </c>
      <c r="U677" s="8" t="n">
        <f aca="false">IF(AND(K677&lt;=I677,R677=0),1,0)</f>
        <v>1</v>
      </c>
      <c r="V677" s="10" t="n">
        <f aca="false">IF(Q677="No",P677,0)</f>
        <v>0</v>
      </c>
    </row>
    <row r="678" customFormat="false" ht="15" hidden="false" customHeight="false" outlineLevel="0" collapsed="false">
      <c r="A678" s="5" t="s">
        <v>812</v>
      </c>
      <c r="B678" s="5" t="s">
        <v>41</v>
      </c>
      <c r="C678" s="7" t="n">
        <v>45787</v>
      </c>
      <c r="D678" s="8" t="str">
        <f aca="false">INDEX(Dim_Supplier!$C$2:$C$21,MATCH(B678,Dim_Supplier!$A$2:$A$21,0))</f>
        <v>Raw Materials</v>
      </c>
      <c r="E678" s="8" t="str">
        <f aca="false">INDEX(Dim_Supplier!$B$2:$B$21,MATCH(B678,Dim_Supplier!$A$2:$A$21,0))</f>
        <v>Ontario Steel Partners</v>
      </c>
      <c r="F678" s="5" t="s">
        <v>142</v>
      </c>
      <c r="G678" s="5" t="s">
        <v>129</v>
      </c>
      <c r="H678" s="8" t="n">
        <f aca="false">INDEX(Lookup_Tables!$B$2:$B$5,MATCH(D678,Lookup_Tables!$A$2:$A$5,0))</f>
        <v>21</v>
      </c>
      <c r="I678" s="9" t="n">
        <f aca="false">C678+H678</f>
        <v>45808</v>
      </c>
      <c r="J678" s="5" t="n">
        <v>-3</v>
      </c>
      <c r="K678" s="9" t="n">
        <f aca="false">I678+J678</f>
        <v>45805</v>
      </c>
      <c r="L678" s="5" t="n">
        <v>1451</v>
      </c>
      <c r="M678" s="10" t="n">
        <f aca="false">INDEX(Dim_Supplier!$F$2:$F$21,MATCH(B678,Dim_Supplier!$A$2:$A$21,0))</f>
        <v>58</v>
      </c>
      <c r="N678" s="11" t="n">
        <v>0.0149</v>
      </c>
      <c r="O678" s="10" t="n">
        <f aca="false">M678*(1+N678)</f>
        <v>58.8642</v>
      </c>
      <c r="P678" s="10" t="n">
        <f aca="false">O678*L678</f>
        <v>85411.9542</v>
      </c>
      <c r="Q678" s="5" t="s">
        <v>113</v>
      </c>
      <c r="R678" s="5" t="n">
        <v>0</v>
      </c>
      <c r="S678" s="5" t="n">
        <v>30</v>
      </c>
      <c r="T678" s="12" t="n">
        <f aca="false">(O678-M678)/M678</f>
        <v>0.0148999999999999</v>
      </c>
      <c r="U678" s="8" t="n">
        <f aca="false">IF(AND(K678&lt;=I678,R678=0),1,0)</f>
        <v>1</v>
      </c>
      <c r="V678" s="10" t="n">
        <f aca="false">IF(Q678="No",P678,0)</f>
        <v>0</v>
      </c>
    </row>
    <row r="679" customFormat="false" ht="15" hidden="false" customHeight="false" outlineLevel="0" collapsed="false">
      <c r="A679" s="5" t="s">
        <v>813</v>
      </c>
      <c r="B679" s="5" t="s">
        <v>52</v>
      </c>
      <c r="C679" s="7" t="n">
        <v>45359</v>
      </c>
      <c r="D679" s="8" t="str">
        <f aca="false">INDEX(Dim_Supplier!$C$2:$C$21,MATCH(B679,Dim_Supplier!$A$2:$A$21,0))</f>
        <v>Raw Materials</v>
      </c>
      <c r="E679" s="8" t="str">
        <f aca="false">INDEX(Dim_Supplier!$B$2:$B$21,MATCH(B679,Dim_Supplier!$A$2:$A$21,0))</f>
        <v>Laurentian Metals Inc.</v>
      </c>
      <c r="F679" s="5" t="s">
        <v>139</v>
      </c>
      <c r="G679" s="5" t="s">
        <v>129</v>
      </c>
      <c r="H679" s="8" t="n">
        <f aca="false">INDEX(Lookup_Tables!$B$2:$B$5,MATCH(D679,Lookup_Tables!$A$2:$A$5,0))</f>
        <v>21</v>
      </c>
      <c r="I679" s="9" t="n">
        <f aca="false">C679+H679</f>
        <v>45380</v>
      </c>
      <c r="J679" s="5" t="n">
        <v>-3</v>
      </c>
      <c r="K679" s="9" t="n">
        <f aca="false">I679+J679</f>
        <v>45377</v>
      </c>
      <c r="L679" s="5" t="n">
        <v>1984</v>
      </c>
      <c r="M679" s="10" t="n">
        <f aca="false">INDEX(Dim_Supplier!$F$2:$F$21,MATCH(B679,Dim_Supplier!$A$2:$A$21,0))</f>
        <v>61.2</v>
      </c>
      <c r="N679" s="11" t="n">
        <v>-0.0149</v>
      </c>
      <c r="O679" s="10" t="n">
        <f aca="false">M679*(1+N679)</f>
        <v>60.28812</v>
      </c>
      <c r="P679" s="10" t="n">
        <f aca="false">O679*L679</f>
        <v>119611.63008</v>
      </c>
      <c r="Q679" s="5" t="s">
        <v>113</v>
      </c>
      <c r="R679" s="5" t="n">
        <v>0</v>
      </c>
      <c r="S679" s="5" t="n">
        <v>30</v>
      </c>
      <c r="T679" s="12" t="n">
        <f aca="false">(O679-M679)/M679</f>
        <v>-0.0149000000000001</v>
      </c>
      <c r="U679" s="8" t="n">
        <f aca="false">IF(AND(K679&lt;=I679,R679=0),1,0)</f>
        <v>1</v>
      </c>
      <c r="V679" s="10" t="n">
        <f aca="false">IF(Q679="No",P679,0)</f>
        <v>0</v>
      </c>
    </row>
    <row r="680" customFormat="false" ht="15" hidden="false" customHeight="false" outlineLevel="0" collapsed="false">
      <c r="A680" s="5" t="s">
        <v>814</v>
      </c>
      <c r="B680" s="5" t="s">
        <v>75</v>
      </c>
      <c r="C680" s="7" t="n">
        <v>45321</v>
      </c>
      <c r="D680" s="8" t="str">
        <f aca="false">INDEX(Dim_Supplier!$C$2:$C$21,MATCH(B680,Dim_Supplier!$A$2:$A$21,0))</f>
        <v>MRO</v>
      </c>
      <c r="E680" s="8" t="str">
        <f aca="false">INDEX(Dim_Supplier!$B$2:$B$21,MATCH(B680,Dim_Supplier!$A$2:$A$21,0))</f>
        <v>Sterling Lubricants Inc.</v>
      </c>
      <c r="F680" s="5" t="s">
        <v>127</v>
      </c>
      <c r="G680" s="5" t="s">
        <v>112</v>
      </c>
      <c r="H680" s="8" t="n">
        <f aca="false">INDEX(Lookup_Tables!$B$2:$B$5,MATCH(D680,Lookup_Tables!$A$2:$A$5,0))</f>
        <v>10</v>
      </c>
      <c r="I680" s="9" t="n">
        <f aca="false">C680+H680</f>
        <v>45331</v>
      </c>
      <c r="J680" s="5" t="n">
        <v>0</v>
      </c>
      <c r="K680" s="9" t="n">
        <f aca="false">I680+J680</f>
        <v>45331</v>
      </c>
      <c r="L680" s="5" t="n">
        <v>153</v>
      </c>
      <c r="M680" s="10" t="n">
        <f aca="false">INDEX(Dim_Supplier!$F$2:$F$21,MATCH(B680,Dim_Supplier!$A$2:$A$21,0))</f>
        <v>27.1</v>
      </c>
      <c r="N680" s="11" t="n">
        <v>-0.0193</v>
      </c>
      <c r="O680" s="10" t="n">
        <f aca="false">M680*(1+N680)</f>
        <v>26.57697</v>
      </c>
      <c r="P680" s="10" t="n">
        <f aca="false">O680*L680</f>
        <v>4066.27641</v>
      </c>
      <c r="Q680" s="5" t="s">
        <v>113</v>
      </c>
      <c r="R680" s="5" t="n">
        <v>0</v>
      </c>
      <c r="S680" s="5" t="n">
        <v>45</v>
      </c>
      <c r="T680" s="12" t="n">
        <f aca="false">(O680-M680)/M680</f>
        <v>-0.0192999999999999</v>
      </c>
      <c r="U680" s="8" t="n">
        <f aca="false">IF(AND(K680&lt;=I680,R680=0),1,0)</f>
        <v>1</v>
      </c>
      <c r="V680" s="10" t="n">
        <f aca="false">IF(Q680="No",P680,0)</f>
        <v>0</v>
      </c>
    </row>
    <row r="681" customFormat="false" ht="15" hidden="false" customHeight="false" outlineLevel="0" collapsed="false">
      <c r="A681" s="5" t="s">
        <v>815</v>
      </c>
      <c r="B681" s="5" t="s">
        <v>77</v>
      </c>
      <c r="C681" s="7" t="n">
        <v>45539</v>
      </c>
      <c r="D681" s="8" t="str">
        <f aca="false">INDEX(Dim_Supplier!$C$2:$C$21,MATCH(B681,Dim_Supplier!$A$2:$A$21,0))</f>
        <v>MRO</v>
      </c>
      <c r="E681" s="8" t="str">
        <f aca="false">INDEX(Dim_Supplier!$B$2:$B$21,MATCH(B681,Dim_Supplier!$A$2:$A$21,0))</f>
        <v>Apex Industrial Supply</v>
      </c>
      <c r="F681" s="5" t="s">
        <v>132</v>
      </c>
      <c r="G681" s="5" t="s">
        <v>129</v>
      </c>
      <c r="H681" s="8" t="n">
        <f aca="false">INDEX(Lookup_Tables!$B$2:$B$5,MATCH(D681,Lookup_Tables!$A$2:$A$5,0))</f>
        <v>10</v>
      </c>
      <c r="I681" s="9" t="n">
        <f aca="false">C681+H681</f>
        <v>45549</v>
      </c>
      <c r="J681" s="5" t="n">
        <v>1</v>
      </c>
      <c r="K681" s="9" t="n">
        <f aca="false">I681+J681</f>
        <v>45550</v>
      </c>
      <c r="L681" s="5" t="n">
        <v>8</v>
      </c>
      <c r="M681" s="10" t="n">
        <f aca="false">INDEX(Dim_Supplier!$F$2:$F$21,MATCH(B681,Dim_Supplier!$A$2:$A$21,0))</f>
        <v>24.6</v>
      </c>
      <c r="N681" s="11" t="n">
        <v>0.0653</v>
      </c>
      <c r="O681" s="10" t="n">
        <f aca="false">M681*(1+N681)</f>
        <v>26.20638</v>
      </c>
      <c r="P681" s="10" t="n">
        <f aca="false">O681*L681</f>
        <v>209.65104</v>
      </c>
      <c r="Q681" s="5" t="s">
        <v>113</v>
      </c>
      <c r="R681" s="5" t="n">
        <v>0</v>
      </c>
      <c r="S681" s="5" t="n">
        <v>60</v>
      </c>
      <c r="T681" s="12" t="n">
        <f aca="false">(O681-M681)/M681</f>
        <v>0.0652999999999999</v>
      </c>
      <c r="U681" s="8" t="n">
        <f aca="false">IF(AND(K681&lt;=I681,R681=0),1,0)</f>
        <v>0</v>
      </c>
      <c r="V681" s="10" t="n">
        <f aca="false">IF(Q681="No",P681,0)</f>
        <v>0</v>
      </c>
    </row>
    <row r="682" customFormat="false" ht="15" hidden="false" customHeight="false" outlineLevel="0" collapsed="false">
      <c r="A682" s="5" t="s">
        <v>816</v>
      </c>
      <c r="B682" s="5" t="s">
        <v>49</v>
      </c>
      <c r="C682" s="7" t="n">
        <v>46064</v>
      </c>
      <c r="D682" s="8" t="str">
        <f aca="false">INDEX(Dim_Supplier!$C$2:$C$21,MATCH(B682,Dim_Supplier!$A$2:$A$21,0))</f>
        <v>Raw Materials</v>
      </c>
      <c r="E682" s="8" t="str">
        <f aca="false">INDEX(Dim_Supplier!$B$2:$B$21,MATCH(B682,Dim_Supplier!$A$2:$A$21,0))</f>
        <v>Great Lakes Polymer Co.</v>
      </c>
      <c r="F682" s="5" t="s">
        <v>144</v>
      </c>
      <c r="G682" s="5" t="s">
        <v>129</v>
      </c>
      <c r="H682" s="8" t="n">
        <f aca="false">INDEX(Lookup_Tables!$B$2:$B$5,MATCH(D682,Lookup_Tables!$A$2:$A$5,0))</f>
        <v>21</v>
      </c>
      <c r="I682" s="9" t="n">
        <f aca="false">C682+H682</f>
        <v>46085</v>
      </c>
      <c r="J682" s="5" t="n">
        <v>5</v>
      </c>
      <c r="K682" s="9" t="n">
        <f aca="false">I682+J682</f>
        <v>46090</v>
      </c>
      <c r="L682" s="5" t="n">
        <v>538</v>
      </c>
      <c r="M682" s="10" t="n">
        <f aca="false">INDEX(Dim_Supplier!$F$2:$F$21,MATCH(B682,Dim_Supplier!$A$2:$A$21,0))</f>
        <v>32.75</v>
      </c>
      <c r="N682" s="11" t="n">
        <v>0.1185</v>
      </c>
      <c r="O682" s="10" t="n">
        <f aca="false">M682*(1+N682)</f>
        <v>36.630875</v>
      </c>
      <c r="P682" s="10" t="n">
        <f aca="false">O682*L682</f>
        <v>19707.41075</v>
      </c>
      <c r="Q682" s="5" t="s">
        <v>133</v>
      </c>
      <c r="R682" s="5" t="n">
        <v>0</v>
      </c>
      <c r="S682" s="5" t="n">
        <v>30</v>
      </c>
      <c r="T682" s="12" t="n">
        <f aca="false">(O682-M682)/M682</f>
        <v>0.1185</v>
      </c>
      <c r="U682" s="8" t="n">
        <f aca="false">IF(AND(K682&lt;=I682,R682=0),1,0)</f>
        <v>0</v>
      </c>
      <c r="V682" s="10" t="n">
        <f aca="false">IF(Q682="No",P682,0)</f>
        <v>19707.41075</v>
      </c>
    </row>
    <row r="683" customFormat="false" ht="15" hidden="false" customHeight="false" outlineLevel="0" collapsed="false">
      <c r="A683" s="5" t="s">
        <v>817</v>
      </c>
      <c r="B683" s="5" t="s">
        <v>75</v>
      </c>
      <c r="C683" s="7" t="n">
        <v>45481</v>
      </c>
      <c r="D683" s="8" t="str">
        <f aca="false">INDEX(Dim_Supplier!$C$2:$C$21,MATCH(B683,Dim_Supplier!$A$2:$A$21,0))</f>
        <v>MRO</v>
      </c>
      <c r="E683" s="8" t="str">
        <f aca="false">INDEX(Dim_Supplier!$B$2:$B$21,MATCH(B683,Dim_Supplier!$A$2:$A$21,0))</f>
        <v>Sterling Lubricants Inc.</v>
      </c>
      <c r="F683" s="5" t="s">
        <v>179</v>
      </c>
      <c r="G683" s="5" t="s">
        <v>129</v>
      </c>
      <c r="H683" s="8" t="n">
        <f aca="false">INDEX(Lookup_Tables!$B$2:$B$5,MATCH(D683,Lookup_Tables!$A$2:$A$5,0))</f>
        <v>10</v>
      </c>
      <c r="I683" s="9" t="n">
        <f aca="false">C683+H683</f>
        <v>45491</v>
      </c>
      <c r="J683" s="5" t="n">
        <v>-2</v>
      </c>
      <c r="K683" s="9" t="n">
        <f aca="false">I683+J683</f>
        <v>45489</v>
      </c>
      <c r="L683" s="5" t="n">
        <v>102</v>
      </c>
      <c r="M683" s="10" t="n">
        <f aca="false">INDEX(Dim_Supplier!$F$2:$F$21,MATCH(B683,Dim_Supplier!$A$2:$A$21,0))</f>
        <v>27.1</v>
      </c>
      <c r="N683" s="11" t="n">
        <v>0.037</v>
      </c>
      <c r="O683" s="10" t="n">
        <f aca="false">M683*(1+N683)</f>
        <v>28.1027</v>
      </c>
      <c r="P683" s="10" t="n">
        <f aca="false">O683*L683</f>
        <v>2866.4754</v>
      </c>
      <c r="Q683" s="5" t="s">
        <v>113</v>
      </c>
      <c r="R683" s="5" t="n">
        <v>0</v>
      </c>
      <c r="S683" s="5" t="n">
        <v>30</v>
      </c>
      <c r="T683" s="12" t="n">
        <f aca="false">(O683-M683)/M683</f>
        <v>0.0369999999999999</v>
      </c>
      <c r="U683" s="8" t="n">
        <f aca="false">IF(AND(K683&lt;=I683,R683=0),1,0)</f>
        <v>1</v>
      </c>
      <c r="V683" s="10" t="n">
        <f aca="false">IF(Q683="No",P683,0)</f>
        <v>0</v>
      </c>
    </row>
    <row r="684" customFormat="false" ht="15" hidden="false" customHeight="false" outlineLevel="0" collapsed="false">
      <c r="A684" s="5" t="s">
        <v>818</v>
      </c>
      <c r="B684" s="5" t="s">
        <v>79</v>
      </c>
      <c r="C684" s="7" t="n">
        <v>45613</v>
      </c>
      <c r="D684" s="8" t="str">
        <f aca="false">INDEX(Dim_Supplier!$C$2:$C$21,MATCH(B684,Dim_Supplier!$A$2:$A$21,0))</f>
        <v>Logistics</v>
      </c>
      <c r="E684" s="8" t="str">
        <f aca="false">INDEX(Dim_Supplier!$B$2:$B$21,MATCH(B684,Dim_Supplier!$A$2:$A$21,0))</f>
        <v>Niagara Freight Solutions</v>
      </c>
      <c r="F684" s="5" t="s">
        <v>124</v>
      </c>
      <c r="G684" s="5" t="s">
        <v>125</v>
      </c>
      <c r="H684" s="8" t="n">
        <f aca="false">INDEX(Lookup_Tables!$B$2:$B$5,MATCH(D684,Lookup_Tables!$A$2:$A$5,0))</f>
        <v>5</v>
      </c>
      <c r="I684" s="9" t="n">
        <f aca="false">C684+H684</f>
        <v>45618</v>
      </c>
      <c r="J684" s="5" t="n">
        <v>-1</v>
      </c>
      <c r="K684" s="9" t="n">
        <f aca="false">I684+J684</f>
        <v>45617</v>
      </c>
      <c r="L684" s="5" t="n">
        <v>49</v>
      </c>
      <c r="M684" s="10" t="n">
        <f aca="false">INDEX(Dim_Supplier!$F$2:$F$21,MATCH(B684,Dim_Supplier!$A$2:$A$21,0))</f>
        <v>340</v>
      </c>
      <c r="N684" s="11" t="n">
        <v>0.0169</v>
      </c>
      <c r="O684" s="10" t="n">
        <f aca="false">M684*(1+N684)</f>
        <v>345.746</v>
      </c>
      <c r="P684" s="10" t="n">
        <f aca="false">O684*L684</f>
        <v>16941.554</v>
      </c>
      <c r="Q684" s="5" t="s">
        <v>113</v>
      </c>
      <c r="R684" s="5" t="n">
        <v>0</v>
      </c>
      <c r="S684" s="5" t="n">
        <v>45</v>
      </c>
      <c r="T684" s="12" t="n">
        <f aca="false">(O684-M684)/M684</f>
        <v>0.0168999999999999</v>
      </c>
      <c r="U684" s="8" t="n">
        <f aca="false">IF(AND(K684&lt;=I684,R684=0),1,0)</f>
        <v>1</v>
      </c>
      <c r="V684" s="10" t="n">
        <f aca="false">IF(Q684="No",P684,0)</f>
        <v>0</v>
      </c>
    </row>
    <row r="685" customFormat="false" ht="15" hidden="false" customHeight="false" outlineLevel="0" collapsed="false">
      <c r="A685" s="5" t="s">
        <v>819</v>
      </c>
      <c r="B685" s="5" t="s">
        <v>41</v>
      </c>
      <c r="C685" s="7" t="n">
        <v>45797</v>
      </c>
      <c r="D685" s="8" t="str">
        <f aca="false">INDEX(Dim_Supplier!$C$2:$C$21,MATCH(B685,Dim_Supplier!$A$2:$A$21,0))</f>
        <v>Raw Materials</v>
      </c>
      <c r="E685" s="8" t="str">
        <f aca="false">INDEX(Dim_Supplier!$B$2:$B$21,MATCH(B685,Dim_Supplier!$A$2:$A$21,0))</f>
        <v>Ontario Steel Partners</v>
      </c>
      <c r="F685" s="5" t="s">
        <v>148</v>
      </c>
      <c r="G685" s="5" t="s">
        <v>125</v>
      </c>
      <c r="H685" s="8" t="n">
        <f aca="false">INDEX(Lookup_Tables!$B$2:$B$5,MATCH(D685,Lookup_Tables!$A$2:$A$5,0))</f>
        <v>21</v>
      </c>
      <c r="I685" s="9" t="n">
        <f aca="false">C685+H685</f>
        <v>45818</v>
      </c>
      <c r="J685" s="5" t="n">
        <v>-4</v>
      </c>
      <c r="K685" s="9" t="n">
        <f aca="false">I685+J685</f>
        <v>45814</v>
      </c>
      <c r="L685" s="5" t="n">
        <v>738</v>
      </c>
      <c r="M685" s="10" t="n">
        <f aca="false">INDEX(Dim_Supplier!$F$2:$F$21,MATCH(B685,Dim_Supplier!$A$2:$A$21,0))</f>
        <v>58</v>
      </c>
      <c r="N685" s="11" t="n">
        <v>0.0365</v>
      </c>
      <c r="O685" s="10" t="n">
        <f aca="false">M685*(1+N685)</f>
        <v>60.117</v>
      </c>
      <c r="P685" s="10" t="n">
        <f aca="false">O685*L685</f>
        <v>44366.346</v>
      </c>
      <c r="Q685" s="5" t="s">
        <v>113</v>
      </c>
      <c r="R685" s="5" t="n">
        <v>0</v>
      </c>
      <c r="S685" s="5" t="n">
        <v>30</v>
      </c>
      <c r="T685" s="12" t="n">
        <f aca="false">(O685-M685)/M685</f>
        <v>0.0365</v>
      </c>
      <c r="U685" s="8" t="n">
        <f aca="false">IF(AND(K685&lt;=I685,R685=0),1,0)</f>
        <v>1</v>
      </c>
      <c r="V685" s="10" t="n">
        <f aca="false">IF(Q685="No",P685,0)</f>
        <v>0</v>
      </c>
    </row>
    <row r="686" customFormat="false" ht="15" hidden="false" customHeight="false" outlineLevel="0" collapsed="false">
      <c r="A686" s="5" t="s">
        <v>820</v>
      </c>
      <c r="B686" s="5" t="s">
        <v>60</v>
      </c>
      <c r="C686" s="7" t="n">
        <v>46167</v>
      </c>
      <c r="D686" s="8" t="str">
        <f aca="false">INDEX(Dim_Supplier!$C$2:$C$21,MATCH(B686,Dim_Supplier!$A$2:$A$21,0))</f>
        <v>Packaging</v>
      </c>
      <c r="E686" s="8" t="str">
        <f aca="false">INDEX(Dim_Supplier!$B$2:$B$21,MATCH(B686,Dim_Supplier!$A$2:$A$21,0))</f>
        <v>Maple Leaf Box &amp; Crate</v>
      </c>
      <c r="F686" s="5" t="s">
        <v>137</v>
      </c>
      <c r="G686" s="5" t="s">
        <v>112</v>
      </c>
      <c r="H686" s="8" t="n">
        <f aca="false">INDEX(Lookup_Tables!$B$2:$B$5,MATCH(D686,Lookup_Tables!$A$2:$A$5,0))</f>
        <v>14</v>
      </c>
      <c r="I686" s="9" t="n">
        <f aca="false">C686+H686</f>
        <v>46181</v>
      </c>
      <c r="J686" s="5" t="n">
        <v>2</v>
      </c>
      <c r="K686" s="9" t="n">
        <f aca="false">I686+J686</f>
        <v>46183</v>
      </c>
      <c r="L686" s="5" t="n">
        <v>4396</v>
      </c>
      <c r="M686" s="10" t="n">
        <f aca="false">INDEX(Dim_Supplier!$F$2:$F$21,MATCH(B686,Dim_Supplier!$A$2:$A$21,0))</f>
        <v>3.1</v>
      </c>
      <c r="N686" s="11" t="n">
        <v>0.0068</v>
      </c>
      <c r="O686" s="10" t="n">
        <f aca="false">M686*(1+N686)</f>
        <v>3.12108</v>
      </c>
      <c r="P686" s="10" t="n">
        <f aca="false">O686*L686</f>
        <v>13720.26768</v>
      </c>
      <c r="Q686" s="5" t="s">
        <v>133</v>
      </c>
      <c r="R686" s="5" t="n">
        <v>0</v>
      </c>
      <c r="S686" s="5" t="n">
        <v>30</v>
      </c>
      <c r="T686" s="12" t="n">
        <f aca="false">(O686-M686)/M686</f>
        <v>0.00679999999999985</v>
      </c>
      <c r="U686" s="8" t="n">
        <f aca="false">IF(AND(K686&lt;=I686,R686=0),1,0)</f>
        <v>0</v>
      </c>
      <c r="V686" s="10" t="n">
        <f aca="false">IF(Q686="No",P686,0)</f>
        <v>13720.26768</v>
      </c>
    </row>
    <row r="687" customFormat="false" ht="15" hidden="false" customHeight="false" outlineLevel="0" collapsed="false">
      <c r="A687" s="5" t="s">
        <v>821</v>
      </c>
      <c r="B687" s="5" t="s">
        <v>75</v>
      </c>
      <c r="C687" s="7" t="n">
        <v>45980</v>
      </c>
      <c r="D687" s="8" t="str">
        <f aca="false">INDEX(Dim_Supplier!$C$2:$C$21,MATCH(B687,Dim_Supplier!$A$2:$A$21,0))</f>
        <v>MRO</v>
      </c>
      <c r="E687" s="8" t="str">
        <f aca="false">INDEX(Dim_Supplier!$B$2:$B$21,MATCH(B687,Dim_Supplier!$A$2:$A$21,0))</f>
        <v>Sterling Lubricants Inc.</v>
      </c>
      <c r="F687" s="5" t="s">
        <v>127</v>
      </c>
      <c r="G687" s="5" t="s">
        <v>125</v>
      </c>
      <c r="H687" s="8" t="n">
        <f aca="false">INDEX(Lookup_Tables!$B$2:$B$5,MATCH(D687,Lookup_Tables!$A$2:$A$5,0))</f>
        <v>10</v>
      </c>
      <c r="I687" s="9" t="n">
        <f aca="false">C687+H687</f>
        <v>45990</v>
      </c>
      <c r="J687" s="5" t="n">
        <v>-4</v>
      </c>
      <c r="K687" s="9" t="n">
        <f aca="false">I687+J687</f>
        <v>45986</v>
      </c>
      <c r="L687" s="5" t="n">
        <v>26</v>
      </c>
      <c r="M687" s="10" t="n">
        <f aca="false">INDEX(Dim_Supplier!$F$2:$F$21,MATCH(B687,Dim_Supplier!$A$2:$A$21,0))</f>
        <v>27.1</v>
      </c>
      <c r="N687" s="11" t="n">
        <v>0.0311</v>
      </c>
      <c r="O687" s="10" t="n">
        <f aca="false">M687*(1+N687)</f>
        <v>27.94281</v>
      </c>
      <c r="P687" s="10" t="n">
        <f aca="false">O687*L687</f>
        <v>726.51306</v>
      </c>
      <c r="Q687" s="5" t="s">
        <v>113</v>
      </c>
      <c r="R687" s="5" t="n">
        <v>0</v>
      </c>
      <c r="S687" s="5" t="n">
        <v>45</v>
      </c>
      <c r="T687" s="12" t="n">
        <f aca="false">(O687-M687)/M687</f>
        <v>0.0310999999999999</v>
      </c>
      <c r="U687" s="8" t="n">
        <f aca="false">IF(AND(K687&lt;=I687,R687=0),1,0)</f>
        <v>1</v>
      </c>
      <c r="V687" s="10" t="n">
        <f aca="false">IF(Q687="No",P687,0)</f>
        <v>0</v>
      </c>
    </row>
    <row r="688" customFormat="false" ht="15" hidden="false" customHeight="false" outlineLevel="0" collapsed="false">
      <c r="A688" s="5" t="s">
        <v>822</v>
      </c>
      <c r="B688" s="5" t="s">
        <v>88</v>
      </c>
      <c r="C688" s="7" t="n">
        <v>46051</v>
      </c>
      <c r="D688" s="8" t="str">
        <f aca="false">INDEX(Dim_Supplier!$C$2:$C$21,MATCH(B688,Dim_Supplier!$A$2:$A$21,0))</f>
        <v>Logistics</v>
      </c>
      <c r="E688" s="8" t="str">
        <f aca="false">INDEX(Dim_Supplier!$B$2:$B$21,MATCH(B688,Dim_Supplier!$A$2:$A$21,0))</f>
        <v>Summit Last-Mile Delivery</v>
      </c>
      <c r="F688" s="5" t="s">
        <v>154</v>
      </c>
      <c r="G688" s="5" t="s">
        <v>129</v>
      </c>
      <c r="H688" s="8" t="n">
        <f aca="false">INDEX(Lookup_Tables!$B$2:$B$5,MATCH(D688,Lookup_Tables!$A$2:$A$5,0))</f>
        <v>5</v>
      </c>
      <c r="I688" s="9" t="n">
        <f aca="false">C688+H688</f>
        <v>46056</v>
      </c>
      <c r="J688" s="5" t="n">
        <v>-2</v>
      </c>
      <c r="K688" s="9" t="n">
        <f aca="false">I688+J688</f>
        <v>46054</v>
      </c>
      <c r="L688" s="5" t="n">
        <v>13</v>
      </c>
      <c r="M688" s="10" t="n">
        <f aca="false">INDEX(Dim_Supplier!$F$2:$F$21,MATCH(B688,Dim_Supplier!$A$2:$A$21,0))</f>
        <v>95</v>
      </c>
      <c r="N688" s="11" t="n">
        <v>0.0501</v>
      </c>
      <c r="O688" s="10" t="n">
        <f aca="false">M688*(1+N688)</f>
        <v>99.7595</v>
      </c>
      <c r="P688" s="10" t="n">
        <f aca="false">O688*L688</f>
        <v>1296.8735</v>
      </c>
      <c r="Q688" s="5" t="s">
        <v>113</v>
      </c>
      <c r="R688" s="5" t="n">
        <v>0</v>
      </c>
      <c r="S688" s="5" t="n">
        <v>30</v>
      </c>
      <c r="T688" s="12" t="n">
        <f aca="false">(O688-M688)/M688</f>
        <v>0.0501</v>
      </c>
      <c r="U688" s="8" t="n">
        <f aca="false">IF(AND(K688&lt;=I688,R688=0),1,0)</f>
        <v>1</v>
      </c>
      <c r="V688" s="10" t="n">
        <f aca="false">IF(Q688="No",P688,0)</f>
        <v>0</v>
      </c>
    </row>
    <row r="689" customFormat="false" ht="15" hidden="false" customHeight="false" outlineLevel="0" collapsed="false">
      <c r="A689" s="5" t="s">
        <v>823</v>
      </c>
      <c r="B689" s="5" t="s">
        <v>82</v>
      </c>
      <c r="C689" s="7" t="n">
        <v>46034</v>
      </c>
      <c r="D689" s="8" t="str">
        <f aca="false">INDEX(Dim_Supplier!$C$2:$C$21,MATCH(B689,Dim_Supplier!$A$2:$A$21,0))</f>
        <v>Logistics</v>
      </c>
      <c r="E689" s="8" t="str">
        <f aca="false">INDEX(Dim_Supplier!$B$2:$B$21,MATCH(B689,Dim_Supplier!$A$2:$A$21,0))</f>
        <v>Maple Route Logistics</v>
      </c>
      <c r="F689" s="5" t="s">
        <v>237</v>
      </c>
      <c r="G689" s="5" t="s">
        <v>120</v>
      </c>
      <c r="H689" s="8" t="n">
        <f aca="false">INDEX(Lookup_Tables!$B$2:$B$5,MATCH(D689,Lookup_Tables!$A$2:$A$5,0))</f>
        <v>5</v>
      </c>
      <c r="I689" s="9" t="n">
        <f aca="false">C689+H689</f>
        <v>46039</v>
      </c>
      <c r="J689" s="5" t="n">
        <v>-1</v>
      </c>
      <c r="K689" s="9" t="n">
        <f aca="false">I689+J689</f>
        <v>46038</v>
      </c>
      <c r="L689" s="5" t="n">
        <v>38</v>
      </c>
      <c r="M689" s="10" t="n">
        <f aca="false">INDEX(Dim_Supplier!$F$2:$F$21,MATCH(B689,Dim_Supplier!$A$2:$A$21,0))</f>
        <v>285</v>
      </c>
      <c r="N689" s="11" t="n">
        <v>-0.0039</v>
      </c>
      <c r="O689" s="10" t="n">
        <f aca="false">M689*(1+N689)</f>
        <v>283.8885</v>
      </c>
      <c r="P689" s="10" t="n">
        <f aca="false">O689*L689</f>
        <v>10787.763</v>
      </c>
      <c r="Q689" s="5" t="s">
        <v>113</v>
      </c>
      <c r="R689" s="5" t="n">
        <v>0</v>
      </c>
      <c r="S689" s="5" t="n">
        <v>45</v>
      </c>
      <c r="T689" s="12" t="n">
        <f aca="false">(O689-M689)/M689</f>
        <v>-0.00389999999999992</v>
      </c>
      <c r="U689" s="8" t="n">
        <f aca="false">IF(AND(K689&lt;=I689,R689=0),1,0)</f>
        <v>1</v>
      </c>
      <c r="V689" s="10" t="n">
        <f aca="false">IF(Q689="No",P689,0)</f>
        <v>0</v>
      </c>
    </row>
    <row r="690" customFormat="false" ht="15" hidden="false" customHeight="false" outlineLevel="0" collapsed="false">
      <c r="A690" s="5" t="s">
        <v>824</v>
      </c>
      <c r="B690" s="5" t="s">
        <v>60</v>
      </c>
      <c r="C690" s="7" t="n">
        <v>45779</v>
      </c>
      <c r="D690" s="8" t="str">
        <f aca="false">INDEX(Dim_Supplier!$C$2:$C$21,MATCH(B690,Dim_Supplier!$A$2:$A$21,0))</f>
        <v>Packaging</v>
      </c>
      <c r="E690" s="8" t="str">
        <f aca="false">INDEX(Dim_Supplier!$B$2:$B$21,MATCH(B690,Dim_Supplier!$A$2:$A$21,0))</f>
        <v>Maple Leaf Box &amp; Crate</v>
      </c>
      <c r="F690" s="5" t="s">
        <v>122</v>
      </c>
      <c r="G690" s="5" t="s">
        <v>125</v>
      </c>
      <c r="H690" s="8" t="n">
        <f aca="false">INDEX(Lookup_Tables!$B$2:$B$5,MATCH(D690,Lookup_Tables!$A$2:$A$5,0))</f>
        <v>14</v>
      </c>
      <c r="I690" s="9" t="n">
        <f aca="false">C690+H690</f>
        <v>45793</v>
      </c>
      <c r="J690" s="5" t="n">
        <v>1</v>
      </c>
      <c r="K690" s="9" t="n">
        <f aca="false">I690+J690</f>
        <v>45794</v>
      </c>
      <c r="L690" s="5" t="n">
        <v>1707</v>
      </c>
      <c r="M690" s="10" t="n">
        <f aca="false">INDEX(Dim_Supplier!$F$2:$F$21,MATCH(B690,Dim_Supplier!$A$2:$A$21,0))</f>
        <v>3.1</v>
      </c>
      <c r="N690" s="11" t="n">
        <v>0.0381</v>
      </c>
      <c r="O690" s="10" t="n">
        <f aca="false">M690*(1+N690)</f>
        <v>3.21811</v>
      </c>
      <c r="P690" s="10" t="n">
        <f aca="false">O690*L690</f>
        <v>5493.31377</v>
      </c>
      <c r="Q690" s="5" t="s">
        <v>113</v>
      </c>
      <c r="R690" s="5" t="n">
        <v>0</v>
      </c>
      <c r="S690" s="5" t="n">
        <v>30</v>
      </c>
      <c r="T690" s="12" t="n">
        <f aca="false">(O690-M690)/M690</f>
        <v>0.0381000000000001</v>
      </c>
      <c r="U690" s="8" t="n">
        <f aca="false">IF(AND(K690&lt;=I690,R690=0),1,0)</f>
        <v>0</v>
      </c>
      <c r="V690" s="10" t="n">
        <f aca="false">IF(Q690="No",P690,0)</f>
        <v>0</v>
      </c>
    </row>
    <row r="691" customFormat="false" ht="15" hidden="false" customHeight="false" outlineLevel="0" collapsed="false">
      <c r="A691" s="5" t="s">
        <v>825</v>
      </c>
      <c r="B691" s="5" t="s">
        <v>66</v>
      </c>
      <c r="C691" s="7" t="n">
        <v>45935</v>
      </c>
      <c r="D691" s="8" t="str">
        <f aca="false">INDEX(Dim_Supplier!$C$2:$C$21,MATCH(B691,Dim_Supplier!$A$2:$A$21,0))</f>
        <v>Packaging</v>
      </c>
      <c r="E691" s="8" t="str">
        <f aca="false">INDEX(Dim_Supplier!$B$2:$B$21,MATCH(B691,Dim_Supplier!$A$2:$A$21,0))</f>
        <v>EverGreen Wrap Industries</v>
      </c>
      <c r="F691" s="5" t="s">
        <v>158</v>
      </c>
      <c r="G691" s="5" t="s">
        <v>129</v>
      </c>
      <c r="H691" s="8" t="n">
        <f aca="false">INDEX(Lookup_Tables!$B$2:$B$5,MATCH(D691,Lookup_Tables!$A$2:$A$5,0))</f>
        <v>14</v>
      </c>
      <c r="I691" s="9" t="n">
        <f aca="false">C691+H691</f>
        <v>45949</v>
      </c>
      <c r="J691" s="5" t="n">
        <v>0</v>
      </c>
      <c r="K691" s="9" t="n">
        <f aca="false">I691+J691</f>
        <v>45949</v>
      </c>
      <c r="L691" s="5" t="n">
        <v>1058</v>
      </c>
      <c r="M691" s="10" t="n">
        <f aca="false">INDEX(Dim_Supplier!$F$2:$F$21,MATCH(B691,Dim_Supplier!$A$2:$A$21,0))</f>
        <v>6.8</v>
      </c>
      <c r="N691" s="11" t="n">
        <v>0.0639</v>
      </c>
      <c r="O691" s="10" t="n">
        <f aca="false">M691*(1+N691)</f>
        <v>7.23452</v>
      </c>
      <c r="P691" s="10" t="n">
        <f aca="false">O691*L691</f>
        <v>7654.12216</v>
      </c>
      <c r="Q691" s="5" t="s">
        <v>113</v>
      </c>
      <c r="R691" s="5" t="n">
        <v>23</v>
      </c>
      <c r="S691" s="5" t="n">
        <v>30</v>
      </c>
      <c r="T691" s="12" t="n">
        <f aca="false">(O691-M691)/M691</f>
        <v>0.0639</v>
      </c>
      <c r="U691" s="8" t="n">
        <f aca="false">IF(AND(K691&lt;=I691,R691=0),1,0)</f>
        <v>0</v>
      </c>
      <c r="V691" s="10" t="n">
        <f aca="false">IF(Q691="No",P691,0)</f>
        <v>0</v>
      </c>
    </row>
    <row r="692" customFormat="false" ht="15" hidden="false" customHeight="false" outlineLevel="0" collapsed="false">
      <c r="A692" s="5" t="s">
        <v>826</v>
      </c>
      <c r="B692" s="5" t="s">
        <v>75</v>
      </c>
      <c r="C692" s="7" t="n">
        <v>45448</v>
      </c>
      <c r="D692" s="8" t="str">
        <f aca="false">INDEX(Dim_Supplier!$C$2:$C$21,MATCH(B692,Dim_Supplier!$A$2:$A$21,0))</f>
        <v>MRO</v>
      </c>
      <c r="E692" s="8" t="str">
        <f aca="false">INDEX(Dim_Supplier!$B$2:$B$21,MATCH(B692,Dim_Supplier!$A$2:$A$21,0))</f>
        <v>Sterling Lubricants Inc.</v>
      </c>
      <c r="F692" s="5" t="s">
        <v>111</v>
      </c>
      <c r="G692" s="5" t="s">
        <v>129</v>
      </c>
      <c r="H692" s="8" t="n">
        <f aca="false">INDEX(Lookup_Tables!$B$2:$B$5,MATCH(D692,Lookup_Tables!$A$2:$A$5,0))</f>
        <v>10</v>
      </c>
      <c r="I692" s="9" t="n">
        <f aca="false">C692+H692</f>
        <v>45458</v>
      </c>
      <c r="J692" s="5" t="n">
        <v>-3</v>
      </c>
      <c r="K692" s="9" t="n">
        <f aca="false">I692+J692</f>
        <v>45455</v>
      </c>
      <c r="L692" s="5" t="n">
        <v>138</v>
      </c>
      <c r="M692" s="10" t="n">
        <f aca="false">INDEX(Dim_Supplier!$F$2:$F$21,MATCH(B692,Dim_Supplier!$A$2:$A$21,0))</f>
        <v>27.1</v>
      </c>
      <c r="N692" s="11" t="n">
        <v>-0.0094</v>
      </c>
      <c r="O692" s="10" t="n">
        <f aca="false">M692*(1+N692)</f>
        <v>26.84526</v>
      </c>
      <c r="P692" s="10" t="n">
        <f aca="false">O692*L692</f>
        <v>3704.64588</v>
      </c>
      <c r="Q692" s="5" t="s">
        <v>113</v>
      </c>
      <c r="R692" s="5" t="n">
        <v>0</v>
      </c>
      <c r="S692" s="5" t="n">
        <v>30</v>
      </c>
      <c r="T692" s="12" t="n">
        <f aca="false">(O692-M692)/M692</f>
        <v>-0.00939999999999993</v>
      </c>
      <c r="U692" s="8" t="n">
        <f aca="false">IF(AND(K692&lt;=I692,R692=0),1,0)</f>
        <v>1</v>
      </c>
      <c r="V692" s="10" t="n">
        <f aca="false">IF(Q692="No",P692,0)</f>
        <v>0</v>
      </c>
    </row>
    <row r="693" customFormat="false" ht="15" hidden="false" customHeight="false" outlineLevel="0" collapsed="false">
      <c r="A693" s="5" t="s">
        <v>827</v>
      </c>
      <c r="B693" s="5" t="s">
        <v>75</v>
      </c>
      <c r="C693" s="7" t="n">
        <v>45794</v>
      </c>
      <c r="D693" s="8" t="str">
        <f aca="false">INDEX(Dim_Supplier!$C$2:$C$21,MATCH(B693,Dim_Supplier!$A$2:$A$21,0))</f>
        <v>MRO</v>
      </c>
      <c r="E693" s="8" t="str">
        <f aca="false">INDEX(Dim_Supplier!$B$2:$B$21,MATCH(B693,Dim_Supplier!$A$2:$A$21,0))</f>
        <v>Sterling Lubricants Inc.</v>
      </c>
      <c r="F693" s="5" t="s">
        <v>132</v>
      </c>
      <c r="G693" s="5" t="s">
        <v>120</v>
      </c>
      <c r="H693" s="8" t="n">
        <f aca="false">INDEX(Lookup_Tables!$B$2:$B$5,MATCH(D693,Lookup_Tables!$A$2:$A$5,0))</f>
        <v>10</v>
      </c>
      <c r="I693" s="9" t="n">
        <f aca="false">C693+H693</f>
        <v>45804</v>
      </c>
      <c r="J693" s="5" t="n">
        <v>-4</v>
      </c>
      <c r="K693" s="9" t="n">
        <f aca="false">I693+J693</f>
        <v>45800</v>
      </c>
      <c r="L693" s="5" t="n">
        <v>143</v>
      </c>
      <c r="M693" s="10" t="n">
        <f aca="false">INDEX(Dim_Supplier!$F$2:$F$21,MATCH(B693,Dim_Supplier!$A$2:$A$21,0))</f>
        <v>27.1</v>
      </c>
      <c r="N693" s="11" t="n">
        <v>0.0104</v>
      </c>
      <c r="O693" s="10" t="n">
        <f aca="false">M693*(1+N693)</f>
        <v>27.38184</v>
      </c>
      <c r="P693" s="10" t="n">
        <f aca="false">O693*L693</f>
        <v>3915.60312</v>
      </c>
      <c r="Q693" s="5" t="s">
        <v>113</v>
      </c>
      <c r="R693" s="5" t="n">
        <v>0</v>
      </c>
      <c r="S693" s="5" t="n">
        <v>30</v>
      </c>
      <c r="T693" s="12" t="n">
        <f aca="false">(O693-M693)/M693</f>
        <v>0.0104</v>
      </c>
      <c r="U693" s="8" t="n">
        <f aca="false">IF(AND(K693&lt;=I693,R693=0),1,0)</f>
        <v>1</v>
      </c>
      <c r="V693" s="10" t="n">
        <f aca="false">IF(Q693="No",P693,0)</f>
        <v>0</v>
      </c>
    </row>
    <row r="694" customFormat="false" ht="15" hidden="false" customHeight="false" outlineLevel="0" collapsed="false">
      <c r="A694" s="5" t="s">
        <v>828</v>
      </c>
      <c r="B694" s="5" t="s">
        <v>62</v>
      </c>
      <c r="C694" s="7" t="n">
        <v>45413</v>
      </c>
      <c r="D694" s="8" t="str">
        <f aca="false">INDEX(Dim_Supplier!$C$2:$C$21,MATCH(B694,Dim_Supplier!$A$2:$A$21,0))</f>
        <v>Packaging</v>
      </c>
      <c r="E694" s="8" t="str">
        <f aca="false">INDEX(Dim_Supplier!$B$2:$B$21,MATCH(B694,Dim_Supplier!$A$2:$A$21,0))</f>
        <v>Trillium Packaging Solutions</v>
      </c>
      <c r="F694" s="5" t="s">
        <v>137</v>
      </c>
      <c r="G694" s="5" t="s">
        <v>125</v>
      </c>
      <c r="H694" s="8" t="n">
        <f aca="false">INDEX(Lookup_Tables!$B$2:$B$5,MATCH(D694,Lookup_Tables!$A$2:$A$5,0))</f>
        <v>14</v>
      </c>
      <c r="I694" s="9" t="n">
        <f aca="false">C694+H694</f>
        <v>45427</v>
      </c>
      <c r="J694" s="5" t="n">
        <v>-4</v>
      </c>
      <c r="K694" s="9" t="n">
        <f aca="false">I694+J694</f>
        <v>45423</v>
      </c>
      <c r="L694" s="5" t="n">
        <v>4265</v>
      </c>
      <c r="M694" s="10" t="n">
        <f aca="false">INDEX(Dim_Supplier!$F$2:$F$21,MATCH(B694,Dim_Supplier!$A$2:$A$21,0))</f>
        <v>5.6</v>
      </c>
      <c r="N694" s="11" t="n">
        <v>0.0379</v>
      </c>
      <c r="O694" s="10" t="n">
        <f aca="false">M694*(1+N694)</f>
        <v>5.81224</v>
      </c>
      <c r="P694" s="10" t="n">
        <f aca="false">O694*L694</f>
        <v>24789.2036</v>
      </c>
      <c r="Q694" s="5" t="s">
        <v>113</v>
      </c>
      <c r="R694" s="5" t="n">
        <v>0</v>
      </c>
      <c r="S694" s="5" t="n">
        <v>45</v>
      </c>
      <c r="T694" s="12" t="n">
        <f aca="false">(O694-M694)/M694</f>
        <v>0.0379000000000001</v>
      </c>
      <c r="U694" s="8" t="n">
        <f aca="false">IF(AND(K694&lt;=I694,R694=0),1,0)</f>
        <v>1</v>
      </c>
      <c r="V694" s="10" t="n">
        <f aca="false">IF(Q694="No",P694,0)</f>
        <v>0</v>
      </c>
    </row>
    <row r="695" customFormat="false" ht="15" hidden="false" customHeight="false" outlineLevel="0" collapsed="false">
      <c r="A695" s="5" t="s">
        <v>829</v>
      </c>
      <c r="B695" s="5" t="s">
        <v>79</v>
      </c>
      <c r="C695" s="7" t="n">
        <v>46197</v>
      </c>
      <c r="D695" s="8" t="str">
        <f aca="false">INDEX(Dim_Supplier!$C$2:$C$21,MATCH(B695,Dim_Supplier!$A$2:$A$21,0))</f>
        <v>Logistics</v>
      </c>
      <c r="E695" s="8" t="str">
        <f aca="false">INDEX(Dim_Supplier!$B$2:$B$21,MATCH(B695,Dim_Supplier!$A$2:$A$21,0))</f>
        <v>Niagara Freight Solutions</v>
      </c>
      <c r="F695" s="5" t="s">
        <v>154</v>
      </c>
      <c r="G695" s="5" t="s">
        <v>125</v>
      </c>
      <c r="H695" s="8" t="n">
        <f aca="false">INDEX(Lookup_Tables!$B$2:$B$5,MATCH(D695,Lookup_Tables!$A$2:$A$5,0))</f>
        <v>5</v>
      </c>
      <c r="I695" s="9" t="n">
        <f aca="false">C695+H695</f>
        <v>46202</v>
      </c>
      <c r="J695" s="5" t="n">
        <v>-4</v>
      </c>
      <c r="K695" s="9" t="n">
        <f aca="false">I695+J695</f>
        <v>46198</v>
      </c>
      <c r="L695" s="5" t="n">
        <v>25</v>
      </c>
      <c r="M695" s="10" t="n">
        <f aca="false">INDEX(Dim_Supplier!$F$2:$F$21,MATCH(B695,Dim_Supplier!$A$2:$A$21,0))</f>
        <v>340</v>
      </c>
      <c r="N695" s="11" t="n">
        <v>0.0173</v>
      </c>
      <c r="O695" s="10" t="n">
        <f aca="false">M695*(1+N695)</f>
        <v>345.882</v>
      </c>
      <c r="P695" s="10" t="n">
        <f aca="false">O695*L695</f>
        <v>8647.05</v>
      </c>
      <c r="Q695" s="5" t="s">
        <v>113</v>
      </c>
      <c r="R695" s="5" t="n">
        <v>0</v>
      </c>
      <c r="S695" s="5" t="n">
        <v>45</v>
      </c>
      <c r="T695" s="12" t="n">
        <f aca="false">(O695-M695)/M695</f>
        <v>0.0173</v>
      </c>
      <c r="U695" s="8" t="n">
        <f aca="false">IF(AND(K695&lt;=I695,R695=0),1,0)</f>
        <v>1</v>
      </c>
      <c r="V695" s="10" t="n">
        <f aca="false">IF(Q695="No",P695,0)</f>
        <v>0</v>
      </c>
    </row>
    <row r="696" customFormat="false" ht="15" hidden="false" customHeight="false" outlineLevel="0" collapsed="false">
      <c r="A696" s="5" t="s">
        <v>830</v>
      </c>
      <c r="B696" s="5" t="s">
        <v>75</v>
      </c>
      <c r="C696" s="7" t="n">
        <v>45993</v>
      </c>
      <c r="D696" s="8" t="str">
        <f aca="false">INDEX(Dim_Supplier!$C$2:$C$21,MATCH(B696,Dim_Supplier!$A$2:$A$21,0))</f>
        <v>MRO</v>
      </c>
      <c r="E696" s="8" t="str">
        <f aca="false">INDEX(Dim_Supplier!$B$2:$B$21,MATCH(B696,Dim_Supplier!$A$2:$A$21,0))</f>
        <v>Sterling Lubricants Inc.</v>
      </c>
      <c r="F696" s="5" t="s">
        <v>132</v>
      </c>
      <c r="G696" s="5" t="s">
        <v>125</v>
      </c>
      <c r="H696" s="8" t="n">
        <f aca="false">INDEX(Lookup_Tables!$B$2:$B$5,MATCH(D696,Lookup_Tables!$A$2:$A$5,0))</f>
        <v>10</v>
      </c>
      <c r="I696" s="9" t="n">
        <f aca="false">C696+H696</f>
        <v>46003</v>
      </c>
      <c r="J696" s="5" t="n">
        <v>-4</v>
      </c>
      <c r="K696" s="9" t="n">
        <f aca="false">I696+J696</f>
        <v>45999</v>
      </c>
      <c r="L696" s="5" t="n">
        <v>134</v>
      </c>
      <c r="M696" s="10" t="n">
        <f aca="false">INDEX(Dim_Supplier!$F$2:$F$21,MATCH(B696,Dim_Supplier!$A$2:$A$21,0))</f>
        <v>27.1</v>
      </c>
      <c r="N696" s="11" t="n">
        <v>0.0259</v>
      </c>
      <c r="O696" s="10" t="n">
        <f aca="false">M696*(1+N696)</f>
        <v>27.80189</v>
      </c>
      <c r="P696" s="10" t="n">
        <f aca="false">O696*L696</f>
        <v>3725.45326</v>
      </c>
      <c r="Q696" s="5" t="s">
        <v>113</v>
      </c>
      <c r="R696" s="5" t="n">
        <v>0</v>
      </c>
      <c r="S696" s="5" t="n">
        <v>45</v>
      </c>
      <c r="T696" s="12" t="n">
        <f aca="false">(O696-M696)/M696</f>
        <v>0.0259000000000001</v>
      </c>
      <c r="U696" s="8" t="n">
        <f aca="false">IF(AND(K696&lt;=I696,R696=0),1,0)</f>
        <v>1</v>
      </c>
      <c r="V696" s="10" t="n">
        <f aca="false">IF(Q696="No",P696,0)</f>
        <v>0</v>
      </c>
    </row>
    <row r="697" customFormat="false" ht="15" hidden="false" customHeight="false" outlineLevel="0" collapsed="false">
      <c r="A697" s="5" t="s">
        <v>831</v>
      </c>
      <c r="B697" s="5" t="s">
        <v>60</v>
      </c>
      <c r="C697" s="7" t="n">
        <v>45984</v>
      </c>
      <c r="D697" s="8" t="str">
        <f aca="false">INDEX(Dim_Supplier!$C$2:$C$21,MATCH(B697,Dim_Supplier!$A$2:$A$21,0))</f>
        <v>Packaging</v>
      </c>
      <c r="E697" s="8" t="str">
        <f aca="false">INDEX(Dim_Supplier!$B$2:$B$21,MATCH(B697,Dim_Supplier!$A$2:$A$21,0))</f>
        <v>Maple Leaf Box &amp; Crate</v>
      </c>
      <c r="F697" s="5" t="s">
        <v>119</v>
      </c>
      <c r="G697" s="5" t="s">
        <v>120</v>
      </c>
      <c r="H697" s="8" t="n">
        <f aca="false">INDEX(Lookup_Tables!$B$2:$B$5,MATCH(D697,Lookup_Tables!$A$2:$A$5,0))</f>
        <v>14</v>
      </c>
      <c r="I697" s="9" t="n">
        <f aca="false">C697+H697</f>
        <v>45998</v>
      </c>
      <c r="J697" s="5" t="n">
        <v>-1</v>
      </c>
      <c r="K697" s="9" t="n">
        <f aca="false">I697+J697</f>
        <v>45997</v>
      </c>
      <c r="L697" s="5" t="n">
        <v>869</v>
      </c>
      <c r="M697" s="10" t="n">
        <f aca="false">INDEX(Dim_Supplier!$F$2:$F$21,MATCH(B697,Dim_Supplier!$A$2:$A$21,0))</f>
        <v>3.1</v>
      </c>
      <c r="N697" s="11" t="n">
        <v>0.0443</v>
      </c>
      <c r="O697" s="10" t="n">
        <f aca="false">M697*(1+N697)</f>
        <v>3.23733</v>
      </c>
      <c r="P697" s="10" t="n">
        <f aca="false">O697*L697</f>
        <v>2813.23977</v>
      </c>
      <c r="Q697" s="5" t="s">
        <v>113</v>
      </c>
      <c r="R697" s="5" t="n">
        <v>0</v>
      </c>
      <c r="S697" s="5" t="n">
        <v>60</v>
      </c>
      <c r="T697" s="12" t="n">
        <f aca="false">(O697-M697)/M697</f>
        <v>0.0443</v>
      </c>
      <c r="U697" s="8" t="n">
        <f aca="false">IF(AND(K697&lt;=I697,R697=0),1,0)</f>
        <v>1</v>
      </c>
      <c r="V697" s="10" t="n">
        <f aca="false">IF(Q697="No",P697,0)</f>
        <v>0</v>
      </c>
    </row>
    <row r="698" customFormat="false" ht="15" hidden="false" customHeight="false" outlineLevel="0" collapsed="false">
      <c r="A698" s="5" t="s">
        <v>832</v>
      </c>
      <c r="B698" s="5" t="s">
        <v>68</v>
      </c>
      <c r="C698" s="7" t="n">
        <v>46075</v>
      </c>
      <c r="D698" s="8" t="str">
        <f aca="false">INDEX(Dim_Supplier!$C$2:$C$21,MATCH(B698,Dim_Supplier!$A$2:$A$21,0))</f>
        <v>MRO</v>
      </c>
      <c r="E698" s="8" t="str">
        <f aca="false">INDEX(Dim_Supplier!$B$2:$B$21,MATCH(B698,Dim_Supplier!$A$2:$A$21,0))</f>
        <v>Precision Tool &amp; Supply</v>
      </c>
      <c r="F698" s="5" t="s">
        <v>111</v>
      </c>
      <c r="G698" s="5" t="s">
        <v>125</v>
      </c>
      <c r="H698" s="8" t="n">
        <f aca="false">INDEX(Lookup_Tables!$B$2:$B$5,MATCH(D698,Lookup_Tables!$A$2:$A$5,0))</f>
        <v>10</v>
      </c>
      <c r="I698" s="9" t="n">
        <f aca="false">C698+H698</f>
        <v>46085</v>
      </c>
      <c r="J698" s="5" t="n">
        <v>-1</v>
      </c>
      <c r="K698" s="9" t="n">
        <f aca="false">I698+J698</f>
        <v>46084</v>
      </c>
      <c r="L698" s="5" t="n">
        <v>96</v>
      </c>
      <c r="M698" s="10" t="n">
        <f aca="false">INDEX(Dim_Supplier!$F$2:$F$21,MATCH(B698,Dim_Supplier!$A$2:$A$21,0))</f>
        <v>22.4</v>
      </c>
      <c r="N698" s="11" t="n">
        <v>0.0206</v>
      </c>
      <c r="O698" s="10" t="n">
        <f aca="false">M698*(1+N698)</f>
        <v>22.86144</v>
      </c>
      <c r="P698" s="10" t="n">
        <f aca="false">O698*L698</f>
        <v>2194.69824</v>
      </c>
      <c r="Q698" s="5" t="s">
        <v>113</v>
      </c>
      <c r="R698" s="5" t="n">
        <v>0</v>
      </c>
      <c r="S698" s="5" t="n">
        <v>30</v>
      </c>
      <c r="T698" s="12" t="n">
        <f aca="false">(O698-M698)/M698</f>
        <v>0.0206</v>
      </c>
      <c r="U698" s="8" t="n">
        <f aca="false">IF(AND(K698&lt;=I698,R698=0),1,0)</f>
        <v>1</v>
      </c>
      <c r="V698" s="10" t="n">
        <f aca="false">IF(Q698="No",P698,0)</f>
        <v>0</v>
      </c>
    </row>
    <row r="699" customFormat="false" ht="15" hidden="false" customHeight="false" outlineLevel="0" collapsed="false">
      <c r="A699" s="5" t="s">
        <v>833</v>
      </c>
      <c r="B699" s="5" t="s">
        <v>52</v>
      </c>
      <c r="C699" s="7" t="n">
        <v>45611</v>
      </c>
      <c r="D699" s="8" t="str">
        <f aca="false">INDEX(Dim_Supplier!$C$2:$C$21,MATCH(B699,Dim_Supplier!$A$2:$A$21,0))</f>
        <v>Raw Materials</v>
      </c>
      <c r="E699" s="8" t="str">
        <f aca="false">INDEX(Dim_Supplier!$B$2:$B$21,MATCH(B699,Dim_Supplier!$A$2:$A$21,0))</f>
        <v>Laurentian Metals Inc.</v>
      </c>
      <c r="F699" s="5" t="s">
        <v>144</v>
      </c>
      <c r="G699" s="5" t="s">
        <v>129</v>
      </c>
      <c r="H699" s="8" t="n">
        <f aca="false">INDEX(Lookup_Tables!$B$2:$B$5,MATCH(D699,Lookup_Tables!$A$2:$A$5,0))</f>
        <v>21</v>
      </c>
      <c r="I699" s="9" t="n">
        <f aca="false">C699+H699</f>
        <v>45632</v>
      </c>
      <c r="J699" s="5" t="n">
        <v>-2</v>
      </c>
      <c r="K699" s="9" t="n">
        <f aca="false">I699+J699</f>
        <v>45630</v>
      </c>
      <c r="L699" s="5" t="n">
        <v>724</v>
      </c>
      <c r="M699" s="10" t="n">
        <f aca="false">INDEX(Dim_Supplier!$F$2:$F$21,MATCH(B699,Dim_Supplier!$A$2:$A$21,0))</f>
        <v>61.2</v>
      </c>
      <c r="N699" s="11" t="n">
        <v>0.0161</v>
      </c>
      <c r="O699" s="10" t="n">
        <f aca="false">M699*(1+N699)</f>
        <v>62.18532</v>
      </c>
      <c r="P699" s="10" t="n">
        <f aca="false">O699*L699</f>
        <v>45022.17168</v>
      </c>
      <c r="Q699" s="5" t="s">
        <v>113</v>
      </c>
      <c r="R699" s="5" t="n">
        <v>0</v>
      </c>
      <c r="S699" s="5" t="n">
        <v>45</v>
      </c>
      <c r="T699" s="12" t="n">
        <f aca="false">(O699-M699)/M699</f>
        <v>0.0161</v>
      </c>
      <c r="U699" s="8" t="n">
        <f aca="false">IF(AND(K699&lt;=I699,R699=0),1,0)</f>
        <v>1</v>
      </c>
      <c r="V699" s="10" t="n">
        <f aca="false">IF(Q699="No",P699,0)</f>
        <v>0</v>
      </c>
    </row>
    <row r="700" customFormat="false" ht="15" hidden="false" customHeight="false" outlineLevel="0" collapsed="false">
      <c r="A700" s="5" t="s">
        <v>834</v>
      </c>
      <c r="B700" s="5" t="s">
        <v>41</v>
      </c>
      <c r="C700" s="7" t="n">
        <v>45965</v>
      </c>
      <c r="D700" s="8" t="str">
        <f aca="false">INDEX(Dim_Supplier!$C$2:$C$21,MATCH(B700,Dim_Supplier!$A$2:$A$21,0))</f>
        <v>Raw Materials</v>
      </c>
      <c r="E700" s="8" t="str">
        <f aca="false">INDEX(Dim_Supplier!$B$2:$B$21,MATCH(B700,Dim_Supplier!$A$2:$A$21,0))</f>
        <v>Ontario Steel Partners</v>
      </c>
      <c r="F700" s="5" t="s">
        <v>142</v>
      </c>
      <c r="G700" s="5" t="s">
        <v>125</v>
      </c>
      <c r="H700" s="8" t="n">
        <f aca="false">INDEX(Lookup_Tables!$B$2:$B$5,MATCH(D700,Lookup_Tables!$A$2:$A$5,0))</f>
        <v>21</v>
      </c>
      <c r="I700" s="9" t="n">
        <f aca="false">C700+H700</f>
        <v>45986</v>
      </c>
      <c r="J700" s="5" t="n">
        <v>-3</v>
      </c>
      <c r="K700" s="9" t="n">
        <f aca="false">I700+J700</f>
        <v>45983</v>
      </c>
      <c r="L700" s="5" t="n">
        <v>1304</v>
      </c>
      <c r="M700" s="10" t="n">
        <f aca="false">INDEX(Dim_Supplier!$F$2:$F$21,MATCH(B700,Dim_Supplier!$A$2:$A$21,0))</f>
        <v>58</v>
      </c>
      <c r="N700" s="11" t="n">
        <v>0.0407</v>
      </c>
      <c r="O700" s="10" t="n">
        <f aca="false">M700*(1+N700)</f>
        <v>60.3606</v>
      </c>
      <c r="P700" s="10" t="n">
        <f aca="false">O700*L700</f>
        <v>78710.2224</v>
      </c>
      <c r="Q700" s="5" t="s">
        <v>113</v>
      </c>
      <c r="R700" s="5" t="n">
        <v>0</v>
      </c>
      <c r="S700" s="5" t="n">
        <v>45</v>
      </c>
      <c r="T700" s="12" t="n">
        <f aca="false">(O700-M700)/M700</f>
        <v>0.0407</v>
      </c>
      <c r="U700" s="8" t="n">
        <f aca="false">IF(AND(K700&lt;=I700,R700=0),1,0)</f>
        <v>1</v>
      </c>
      <c r="V700" s="10" t="n">
        <f aca="false">IF(Q700="No",P700,0)</f>
        <v>0</v>
      </c>
    </row>
    <row r="701" customFormat="false" ht="15" hidden="false" customHeight="false" outlineLevel="0" collapsed="false">
      <c r="A701" s="5" t="s">
        <v>835</v>
      </c>
      <c r="B701" s="5" t="s">
        <v>57</v>
      </c>
      <c r="C701" s="7" t="n">
        <v>45392</v>
      </c>
      <c r="D701" s="8" t="str">
        <f aca="false">INDEX(Dim_Supplier!$C$2:$C$21,MATCH(B701,Dim_Supplier!$A$2:$A$21,0))</f>
        <v>Packaging</v>
      </c>
      <c r="E701" s="8" t="str">
        <f aca="false">INDEX(Dim_Supplier!$B$2:$B$21,MATCH(B701,Dim_Supplier!$A$2:$A$21,0))</f>
        <v>Great Lakes Packaging Co.</v>
      </c>
      <c r="F701" s="5" t="s">
        <v>137</v>
      </c>
      <c r="G701" s="5" t="s">
        <v>129</v>
      </c>
      <c r="H701" s="8" t="n">
        <f aca="false">INDEX(Lookup_Tables!$B$2:$B$5,MATCH(D701,Lookup_Tables!$A$2:$A$5,0))</f>
        <v>14</v>
      </c>
      <c r="I701" s="9" t="n">
        <f aca="false">C701+H701</f>
        <v>45406</v>
      </c>
      <c r="J701" s="5" t="n">
        <v>-3</v>
      </c>
      <c r="K701" s="9" t="n">
        <f aca="false">I701+J701</f>
        <v>45403</v>
      </c>
      <c r="L701" s="5" t="n">
        <v>4569</v>
      </c>
      <c r="M701" s="10" t="n">
        <f aca="false">INDEX(Dim_Supplier!$F$2:$F$21,MATCH(B701,Dim_Supplier!$A$2:$A$21,0))</f>
        <v>4.35</v>
      </c>
      <c r="N701" s="11" t="n">
        <v>-0.0027</v>
      </c>
      <c r="O701" s="10" t="n">
        <f aca="false">M701*(1+N701)</f>
        <v>4.338255</v>
      </c>
      <c r="P701" s="10" t="n">
        <f aca="false">O701*L701</f>
        <v>19821.487095</v>
      </c>
      <c r="Q701" s="5" t="s">
        <v>113</v>
      </c>
      <c r="R701" s="5" t="n">
        <v>0</v>
      </c>
      <c r="S701" s="5" t="n">
        <v>30</v>
      </c>
      <c r="T701" s="12" t="n">
        <f aca="false">(O701-M701)/M701</f>
        <v>-0.00270000000000008</v>
      </c>
      <c r="U701" s="8" t="n">
        <f aca="false">IF(AND(K701&lt;=I701,R701=0),1,0)</f>
        <v>1</v>
      </c>
      <c r="V701" s="10" t="n">
        <f aca="false">IF(Q701="No",P701,0)</f>
        <v>0</v>
      </c>
    </row>
    <row r="702" customFormat="false" ht="15" hidden="false" customHeight="false" outlineLevel="0" collapsed="false">
      <c r="A702" s="5" t="s">
        <v>836</v>
      </c>
      <c r="B702" s="5" t="s">
        <v>71</v>
      </c>
      <c r="C702" s="7" t="n">
        <v>45664</v>
      </c>
      <c r="D702" s="8" t="str">
        <f aca="false">INDEX(Dim_Supplier!$C$2:$C$21,MATCH(B702,Dim_Supplier!$A$2:$A$21,0))</f>
        <v>MRO</v>
      </c>
      <c r="E702" s="8" t="str">
        <f aca="false">INDEX(Dim_Supplier!$B$2:$B$21,MATCH(B702,Dim_Supplier!$A$2:$A$21,0))</f>
        <v>CanSafe Equipment Ltd.</v>
      </c>
      <c r="F702" s="5" t="s">
        <v>179</v>
      </c>
      <c r="G702" s="5" t="s">
        <v>112</v>
      </c>
      <c r="H702" s="8" t="n">
        <f aca="false">INDEX(Lookup_Tables!$B$2:$B$5,MATCH(D702,Lookup_Tables!$A$2:$A$5,0))</f>
        <v>10</v>
      </c>
      <c r="I702" s="9" t="n">
        <f aca="false">C702+H702</f>
        <v>45674</v>
      </c>
      <c r="J702" s="5" t="n">
        <v>-4</v>
      </c>
      <c r="K702" s="9" t="n">
        <f aca="false">I702+J702</f>
        <v>45670</v>
      </c>
      <c r="L702" s="5" t="n">
        <v>24</v>
      </c>
      <c r="M702" s="10" t="n">
        <f aca="false">INDEX(Dim_Supplier!$F$2:$F$21,MATCH(B702,Dim_Supplier!$A$2:$A$21,0))</f>
        <v>18.75</v>
      </c>
      <c r="N702" s="11" t="n">
        <v>0.0307</v>
      </c>
      <c r="O702" s="10" t="n">
        <f aca="false">M702*(1+N702)</f>
        <v>19.325625</v>
      </c>
      <c r="P702" s="10" t="n">
        <f aca="false">O702*L702</f>
        <v>463.815</v>
      </c>
      <c r="Q702" s="5" t="s">
        <v>113</v>
      </c>
      <c r="R702" s="5" t="n">
        <v>0</v>
      </c>
      <c r="S702" s="5" t="n">
        <v>30</v>
      </c>
      <c r="T702" s="12" t="n">
        <f aca="false">(O702-M702)/M702</f>
        <v>0.0306999999999999</v>
      </c>
      <c r="U702" s="8" t="n">
        <f aca="false">IF(AND(K702&lt;=I702,R702=0),1,0)</f>
        <v>1</v>
      </c>
      <c r="V702" s="10" t="n">
        <f aca="false">IF(Q702="No",P702,0)</f>
        <v>0</v>
      </c>
    </row>
    <row r="703" customFormat="false" ht="15" hidden="false" customHeight="false" outlineLevel="0" collapsed="false">
      <c r="A703" s="5" t="s">
        <v>837</v>
      </c>
      <c r="B703" s="5" t="s">
        <v>41</v>
      </c>
      <c r="C703" s="7" t="n">
        <v>45879</v>
      </c>
      <c r="D703" s="8" t="str">
        <f aca="false">INDEX(Dim_Supplier!$C$2:$C$21,MATCH(B703,Dim_Supplier!$A$2:$A$21,0))</f>
        <v>Raw Materials</v>
      </c>
      <c r="E703" s="8" t="str">
        <f aca="false">INDEX(Dim_Supplier!$B$2:$B$21,MATCH(B703,Dim_Supplier!$A$2:$A$21,0))</f>
        <v>Ontario Steel Partners</v>
      </c>
      <c r="F703" s="5" t="s">
        <v>142</v>
      </c>
      <c r="G703" s="5" t="s">
        <v>112</v>
      </c>
      <c r="H703" s="8" t="n">
        <f aca="false">INDEX(Lookup_Tables!$B$2:$B$5,MATCH(D703,Lookup_Tables!$A$2:$A$5,0))</f>
        <v>21</v>
      </c>
      <c r="I703" s="9" t="n">
        <f aca="false">C703+H703</f>
        <v>45900</v>
      </c>
      <c r="J703" s="5" t="n">
        <v>-4</v>
      </c>
      <c r="K703" s="9" t="n">
        <f aca="false">I703+J703</f>
        <v>45896</v>
      </c>
      <c r="L703" s="5" t="n">
        <v>1569</v>
      </c>
      <c r="M703" s="10" t="n">
        <f aca="false">INDEX(Dim_Supplier!$F$2:$F$21,MATCH(B703,Dim_Supplier!$A$2:$A$21,0))</f>
        <v>58</v>
      </c>
      <c r="N703" s="11" t="n">
        <v>-0.0255</v>
      </c>
      <c r="O703" s="10" t="n">
        <f aca="false">M703*(1+N703)</f>
        <v>56.521</v>
      </c>
      <c r="P703" s="10" t="n">
        <f aca="false">O703*L703</f>
        <v>88681.449</v>
      </c>
      <c r="Q703" s="5" t="s">
        <v>113</v>
      </c>
      <c r="R703" s="5" t="n">
        <v>0</v>
      </c>
      <c r="S703" s="5" t="n">
        <v>30</v>
      </c>
      <c r="T703" s="12" t="n">
        <f aca="false">(O703-M703)/M703</f>
        <v>-0.0255</v>
      </c>
      <c r="U703" s="8" t="n">
        <f aca="false">IF(AND(K703&lt;=I703,R703=0),1,0)</f>
        <v>1</v>
      </c>
      <c r="V703" s="10" t="n">
        <f aca="false">IF(Q703="No",P703,0)</f>
        <v>0</v>
      </c>
    </row>
    <row r="704" customFormat="false" ht="15" hidden="false" customHeight="false" outlineLevel="0" collapsed="false">
      <c r="A704" s="5" t="s">
        <v>838</v>
      </c>
      <c r="B704" s="5" t="s">
        <v>41</v>
      </c>
      <c r="C704" s="7" t="n">
        <v>46112</v>
      </c>
      <c r="D704" s="8" t="str">
        <f aca="false">INDEX(Dim_Supplier!$C$2:$C$21,MATCH(B704,Dim_Supplier!$A$2:$A$21,0))</f>
        <v>Raw Materials</v>
      </c>
      <c r="E704" s="8" t="str">
        <f aca="false">INDEX(Dim_Supplier!$B$2:$B$21,MATCH(B704,Dim_Supplier!$A$2:$A$21,0))</f>
        <v>Ontario Steel Partners</v>
      </c>
      <c r="F704" s="5" t="s">
        <v>144</v>
      </c>
      <c r="G704" s="5" t="s">
        <v>125</v>
      </c>
      <c r="H704" s="8" t="n">
        <f aca="false">INDEX(Lookup_Tables!$B$2:$B$5,MATCH(D704,Lookup_Tables!$A$2:$A$5,0))</f>
        <v>21</v>
      </c>
      <c r="I704" s="9" t="n">
        <f aca="false">C704+H704</f>
        <v>46133</v>
      </c>
      <c r="J704" s="5" t="n">
        <v>-4</v>
      </c>
      <c r="K704" s="9" t="n">
        <f aca="false">I704+J704</f>
        <v>46129</v>
      </c>
      <c r="L704" s="5" t="n">
        <v>257</v>
      </c>
      <c r="M704" s="10" t="n">
        <f aca="false">INDEX(Dim_Supplier!$F$2:$F$21,MATCH(B704,Dim_Supplier!$A$2:$A$21,0))</f>
        <v>58</v>
      </c>
      <c r="N704" s="11" t="n">
        <v>0.0182</v>
      </c>
      <c r="O704" s="10" t="n">
        <f aca="false">M704*(1+N704)</f>
        <v>59.0556</v>
      </c>
      <c r="P704" s="10" t="n">
        <f aca="false">O704*L704</f>
        <v>15177.2892</v>
      </c>
      <c r="Q704" s="5" t="s">
        <v>113</v>
      </c>
      <c r="R704" s="5" t="n">
        <v>0</v>
      </c>
      <c r="S704" s="5" t="n">
        <v>60</v>
      </c>
      <c r="T704" s="12" t="n">
        <f aca="false">(O704-M704)/M704</f>
        <v>0.0182</v>
      </c>
      <c r="U704" s="8" t="n">
        <f aca="false">IF(AND(K704&lt;=I704,R704=0),1,0)</f>
        <v>1</v>
      </c>
      <c r="V704" s="10" t="n">
        <f aca="false">IF(Q704="No",P704,0)</f>
        <v>0</v>
      </c>
    </row>
    <row r="705" customFormat="false" ht="15" hidden="false" customHeight="false" outlineLevel="0" collapsed="false">
      <c r="A705" s="5" t="s">
        <v>839</v>
      </c>
      <c r="B705" s="5" t="s">
        <v>62</v>
      </c>
      <c r="C705" s="7" t="n">
        <v>45844</v>
      </c>
      <c r="D705" s="8" t="str">
        <f aca="false">INDEX(Dim_Supplier!$C$2:$C$21,MATCH(B705,Dim_Supplier!$A$2:$A$21,0))</f>
        <v>Packaging</v>
      </c>
      <c r="E705" s="8" t="str">
        <f aca="false">INDEX(Dim_Supplier!$B$2:$B$21,MATCH(B705,Dim_Supplier!$A$2:$A$21,0))</f>
        <v>Trillium Packaging Solutions</v>
      </c>
      <c r="F705" s="5" t="s">
        <v>119</v>
      </c>
      <c r="G705" s="5" t="s">
        <v>112</v>
      </c>
      <c r="H705" s="8" t="n">
        <f aca="false">INDEX(Lookup_Tables!$B$2:$B$5,MATCH(D705,Lookup_Tables!$A$2:$A$5,0))</f>
        <v>14</v>
      </c>
      <c r="I705" s="9" t="n">
        <f aca="false">C705+H705</f>
        <v>45858</v>
      </c>
      <c r="J705" s="5" t="n">
        <v>-4</v>
      </c>
      <c r="K705" s="9" t="n">
        <f aca="false">I705+J705</f>
        <v>45854</v>
      </c>
      <c r="L705" s="5" t="n">
        <v>4721</v>
      </c>
      <c r="M705" s="10" t="n">
        <f aca="false">INDEX(Dim_Supplier!$F$2:$F$21,MATCH(B705,Dim_Supplier!$A$2:$A$21,0))</f>
        <v>5.6</v>
      </c>
      <c r="N705" s="11" t="n">
        <v>0.0278</v>
      </c>
      <c r="O705" s="10" t="n">
        <f aca="false">M705*(1+N705)</f>
        <v>5.75568</v>
      </c>
      <c r="P705" s="10" t="n">
        <f aca="false">O705*L705</f>
        <v>27172.56528</v>
      </c>
      <c r="Q705" s="5" t="s">
        <v>113</v>
      </c>
      <c r="R705" s="5" t="n">
        <v>0</v>
      </c>
      <c r="S705" s="5" t="n">
        <v>30</v>
      </c>
      <c r="T705" s="12" t="n">
        <f aca="false">(O705-M705)/M705</f>
        <v>0.0278000000000001</v>
      </c>
      <c r="U705" s="8" t="n">
        <f aca="false">IF(AND(K705&lt;=I705,R705=0),1,0)</f>
        <v>1</v>
      </c>
      <c r="V705" s="10" t="n">
        <f aca="false">IF(Q705="No",P705,0)</f>
        <v>0</v>
      </c>
    </row>
    <row r="706" customFormat="false" ht="15" hidden="false" customHeight="false" outlineLevel="0" collapsed="false">
      <c r="A706" s="5" t="s">
        <v>840</v>
      </c>
      <c r="B706" s="5" t="s">
        <v>41</v>
      </c>
      <c r="C706" s="7" t="n">
        <v>46012</v>
      </c>
      <c r="D706" s="8" t="str">
        <f aca="false">INDEX(Dim_Supplier!$C$2:$C$21,MATCH(B706,Dim_Supplier!$A$2:$A$21,0))</f>
        <v>Raw Materials</v>
      </c>
      <c r="E706" s="8" t="str">
        <f aca="false">INDEX(Dim_Supplier!$B$2:$B$21,MATCH(B706,Dim_Supplier!$A$2:$A$21,0))</f>
        <v>Ontario Steel Partners</v>
      </c>
      <c r="F706" s="5" t="s">
        <v>144</v>
      </c>
      <c r="G706" s="5" t="s">
        <v>112</v>
      </c>
      <c r="H706" s="8" t="n">
        <f aca="false">INDEX(Lookup_Tables!$B$2:$B$5,MATCH(D706,Lookup_Tables!$A$2:$A$5,0))</f>
        <v>21</v>
      </c>
      <c r="I706" s="9" t="n">
        <f aca="false">C706+H706</f>
        <v>46033</v>
      </c>
      <c r="J706" s="5" t="n">
        <v>-4</v>
      </c>
      <c r="K706" s="9" t="n">
        <f aca="false">I706+J706</f>
        <v>46029</v>
      </c>
      <c r="L706" s="5" t="n">
        <v>1787</v>
      </c>
      <c r="M706" s="10" t="n">
        <f aca="false">INDEX(Dim_Supplier!$F$2:$F$21,MATCH(B706,Dim_Supplier!$A$2:$A$21,0))</f>
        <v>58</v>
      </c>
      <c r="N706" s="11" t="n">
        <v>0.0036</v>
      </c>
      <c r="O706" s="10" t="n">
        <f aca="false">M706*(1+N706)</f>
        <v>58.2088</v>
      </c>
      <c r="P706" s="10" t="n">
        <f aca="false">O706*L706</f>
        <v>104019.1256</v>
      </c>
      <c r="Q706" s="5" t="s">
        <v>113</v>
      </c>
      <c r="R706" s="5" t="n">
        <v>0</v>
      </c>
      <c r="S706" s="5" t="n">
        <v>60</v>
      </c>
      <c r="T706" s="12" t="n">
        <f aca="false">(O706-M706)/M706</f>
        <v>0.00360000000000006</v>
      </c>
      <c r="U706" s="8" t="n">
        <f aca="false">IF(AND(K706&lt;=I706,R706=0),1,0)</f>
        <v>1</v>
      </c>
      <c r="V706" s="10" t="n">
        <f aca="false">IF(Q706="No",P706,0)</f>
        <v>0</v>
      </c>
    </row>
    <row r="707" customFormat="false" ht="15" hidden="false" customHeight="false" outlineLevel="0" collapsed="false">
      <c r="A707" s="5" t="s">
        <v>841</v>
      </c>
      <c r="B707" s="5" t="s">
        <v>68</v>
      </c>
      <c r="C707" s="7" t="n">
        <v>45921</v>
      </c>
      <c r="D707" s="8" t="str">
        <f aca="false">INDEX(Dim_Supplier!$C$2:$C$21,MATCH(B707,Dim_Supplier!$A$2:$A$21,0))</f>
        <v>MRO</v>
      </c>
      <c r="E707" s="8" t="str">
        <f aca="false">INDEX(Dim_Supplier!$B$2:$B$21,MATCH(B707,Dim_Supplier!$A$2:$A$21,0))</f>
        <v>Precision Tool &amp; Supply</v>
      </c>
      <c r="F707" s="5" t="s">
        <v>179</v>
      </c>
      <c r="G707" s="5" t="s">
        <v>129</v>
      </c>
      <c r="H707" s="8" t="n">
        <f aca="false">INDEX(Lookup_Tables!$B$2:$B$5,MATCH(D707,Lookup_Tables!$A$2:$A$5,0))</f>
        <v>10</v>
      </c>
      <c r="I707" s="9" t="n">
        <f aca="false">C707+H707</f>
        <v>45931</v>
      </c>
      <c r="J707" s="5" t="n">
        <v>-4</v>
      </c>
      <c r="K707" s="9" t="n">
        <f aca="false">I707+J707</f>
        <v>45927</v>
      </c>
      <c r="L707" s="5" t="n">
        <v>42</v>
      </c>
      <c r="M707" s="10" t="n">
        <f aca="false">INDEX(Dim_Supplier!$F$2:$F$21,MATCH(B707,Dim_Supplier!$A$2:$A$21,0))</f>
        <v>22.4</v>
      </c>
      <c r="N707" s="11" t="n">
        <v>0.0073</v>
      </c>
      <c r="O707" s="10" t="n">
        <f aca="false">M707*(1+N707)</f>
        <v>22.56352</v>
      </c>
      <c r="P707" s="10" t="n">
        <f aca="false">O707*L707</f>
        <v>947.66784</v>
      </c>
      <c r="Q707" s="5" t="s">
        <v>113</v>
      </c>
      <c r="R707" s="5" t="n">
        <v>0</v>
      </c>
      <c r="S707" s="5" t="n">
        <v>45</v>
      </c>
      <c r="T707" s="12" t="n">
        <f aca="false">(O707-M707)/M707</f>
        <v>0.00730000000000009</v>
      </c>
      <c r="U707" s="8" t="n">
        <f aca="false">IF(AND(K707&lt;=I707,R707=0),1,0)</f>
        <v>1</v>
      </c>
      <c r="V707" s="10" t="n">
        <f aca="false">IF(Q707="No",P707,0)</f>
        <v>0</v>
      </c>
    </row>
    <row r="708" customFormat="false" ht="15" hidden="false" customHeight="false" outlineLevel="0" collapsed="false">
      <c r="A708" s="5" t="s">
        <v>842</v>
      </c>
      <c r="B708" s="5" t="s">
        <v>82</v>
      </c>
      <c r="C708" s="7" t="n">
        <v>45712</v>
      </c>
      <c r="D708" s="8" t="str">
        <f aca="false">INDEX(Dim_Supplier!$C$2:$C$21,MATCH(B708,Dim_Supplier!$A$2:$A$21,0))</f>
        <v>Logistics</v>
      </c>
      <c r="E708" s="8" t="str">
        <f aca="false">INDEX(Dim_Supplier!$B$2:$B$21,MATCH(B708,Dim_Supplier!$A$2:$A$21,0))</f>
        <v>Maple Route Logistics</v>
      </c>
      <c r="F708" s="5" t="s">
        <v>146</v>
      </c>
      <c r="G708" s="5" t="s">
        <v>129</v>
      </c>
      <c r="H708" s="8" t="n">
        <f aca="false">INDEX(Lookup_Tables!$B$2:$B$5,MATCH(D708,Lookup_Tables!$A$2:$A$5,0))</f>
        <v>5</v>
      </c>
      <c r="I708" s="9" t="n">
        <f aca="false">C708+H708</f>
        <v>45717</v>
      </c>
      <c r="J708" s="5" t="n">
        <v>-4</v>
      </c>
      <c r="K708" s="9" t="n">
        <f aca="false">I708+J708</f>
        <v>45713</v>
      </c>
      <c r="L708" s="5" t="n">
        <v>18</v>
      </c>
      <c r="M708" s="10" t="n">
        <f aca="false">INDEX(Dim_Supplier!$F$2:$F$21,MATCH(B708,Dim_Supplier!$A$2:$A$21,0))</f>
        <v>285</v>
      </c>
      <c r="N708" s="11" t="n">
        <v>0.0012</v>
      </c>
      <c r="O708" s="10" t="n">
        <f aca="false">M708*(1+N708)</f>
        <v>285.342</v>
      </c>
      <c r="P708" s="10" t="n">
        <f aca="false">O708*L708</f>
        <v>5136.156</v>
      </c>
      <c r="Q708" s="5" t="s">
        <v>113</v>
      </c>
      <c r="R708" s="5" t="n">
        <v>0</v>
      </c>
      <c r="S708" s="5" t="n">
        <v>30</v>
      </c>
      <c r="T708" s="12" t="n">
        <f aca="false">(O708-M708)/M708</f>
        <v>0.00120000000000015</v>
      </c>
      <c r="U708" s="8" t="n">
        <f aca="false">IF(AND(K708&lt;=I708,R708=0),1,0)</f>
        <v>1</v>
      </c>
      <c r="V708" s="10" t="n">
        <f aca="false">IF(Q708="No",P708,0)</f>
        <v>0</v>
      </c>
    </row>
    <row r="709" customFormat="false" ht="15" hidden="false" customHeight="false" outlineLevel="0" collapsed="false">
      <c r="A709" s="5" t="s">
        <v>843</v>
      </c>
      <c r="B709" s="5" t="s">
        <v>71</v>
      </c>
      <c r="C709" s="7" t="n">
        <v>45707</v>
      </c>
      <c r="D709" s="8" t="str">
        <f aca="false">INDEX(Dim_Supplier!$C$2:$C$21,MATCH(B709,Dim_Supplier!$A$2:$A$21,0))</f>
        <v>MRO</v>
      </c>
      <c r="E709" s="8" t="str">
        <f aca="false">INDEX(Dim_Supplier!$B$2:$B$21,MATCH(B709,Dim_Supplier!$A$2:$A$21,0))</f>
        <v>CanSafe Equipment Ltd.</v>
      </c>
      <c r="F709" s="5" t="s">
        <v>164</v>
      </c>
      <c r="G709" s="5" t="s">
        <v>129</v>
      </c>
      <c r="H709" s="8" t="n">
        <f aca="false">INDEX(Lookup_Tables!$B$2:$B$5,MATCH(D709,Lookup_Tables!$A$2:$A$5,0))</f>
        <v>10</v>
      </c>
      <c r="I709" s="9" t="n">
        <f aca="false">C709+H709</f>
        <v>45717</v>
      </c>
      <c r="J709" s="5" t="n">
        <v>-1</v>
      </c>
      <c r="K709" s="9" t="n">
        <f aca="false">I709+J709</f>
        <v>45716</v>
      </c>
      <c r="L709" s="5" t="n">
        <v>84</v>
      </c>
      <c r="M709" s="10" t="n">
        <f aca="false">INDEX(Dim_Supplier!$F$2:$F$21,MATCH(B709,Dim_Supplier!$A$2:$A$21,0))</f>
        <v>18.75</v>
      </c>
      <c r="N709" s="11" t="n">
        <v>0.0338</v>
      </c>
      <c r="O709" s="10" t="n">
        <f aca="false">M709*(1+N709)</f>
        <v>19.38375</v>
      </c>
      <c r="P709" s="10" t="n">
        <f aca="false">O709*L709</f>
        <v>1628.235</v>
      </c>
      <c r="Q709" s="5" t="s">
        <v>113</v>
      </c>
      <c r="R709" s="5" t="n">
        <v>0</v>
      </c>
      <c r="S709" s="5" t="n">
        <v>30</v>
      </c>
      <c r="T709" s="12" t="n">
        <f aca="false">(O709-M709)/M709</f>
        <v>0.0338000000000001</v>
      </c>
      <c r="U709" s="8" t="n">
        <f aca="false">IF(AND(K709&lt;=I709,R709=0),1,0)</f>
        <v>1</v>
      </c>
      <c r="V709" s="10" t="n">
        <f aca="false">IF(Q709="No",P709,0)</f>
        <v>0</v>
      </c>
    </row>
    <row r="710" customFormat="false" ht="15" hidden="false" customHeight="false" outlineLevel="0" collapsed="false">
      <c r="A710" s="5" t="s">
        <v>844</v>
      </c>
      <c r="B710" s="5" t="s">
        <v>73</v>
      </c>
      <c r="C710" s="7" t="n">
        <v>45329</v>
      </c>
      <c r="D710" s="8" t="str">
        <f aca="false">INDEX(Dim_Supplier!$C$2:$C$21,MATCH(B710,Dim_Supplier!$A$2:$A$21,0))</f>
        <v>MRO</v>
      </c>
      <c r="E710" s="8" t="str">
        <f aca="false">INDEX(Dim_Supplier!$B$2:$B$21,MATCH(B710,Dim_Supplier!$A$2:$A$21,0))</f>
        <v>Frontier MRO Solutions</v>
      </c>
      <c r="F710" s="5" t="s">
        <v>164</v>
      </c>
      <c r="G710" s="5" t="s">
        <v>112</v>
      </c>
      <c r="H710" s="8" t="n">
        <f aca="false">INDEX(Lookup_Tables!$B$2:$B$5,MATCH(D710,Lookup_Tables!$A$2:$A$5,0))</f>
        <v>10</v>
      </c>
      <c r="I710" s="9" t="n">
        <f aca="false">C710+H710</f>
        <v>45339</v>
      </c>
      <c r="J710" s="5" t="n">
        <v>5</v>
      </c>
      <c r="K710" s="9" t="n">
        <f aca="false">I710+J710</f>
        <v>45344</v>
      </c>
      <c r="L710" s="5" t="n">
        <v>76</v>
      </c>
      <c r="M710" s="10" t="n">
        <f aca="false">INDEX(Dim_Supplier!$F$2:$F$21,MATCH(B710,Dim_Supplier!$A$2:$A$21,0))</f>
        <v>15.9</v>
      </c>
      <c r="N710" s="11" t="n">
        <v>0.1548</v>
      </c>
      <c r="O710" s="10" t="n">
        <f aca="false">M710*(1+N710)</f>
        <v>18.36132</v>
      </c>
      <c r="P710" s="10" t="n">
        <f aca="false">O710*L710</f>
        <v>1395.46032</v>
      </c>
      <c r="Q710" s="5" t="s">
        <v>133</v>
      </c>
      <c r="R710" s="5" t="n">
        <v>0</v>
      </c>
      <c r="S710" s="5" t="n">
        <v>60</v>
      </c>
      <c r="T710" s="12" t="n">
        <f aca="false">(O710-M710)/M710</f>
        <v>0.1548</v>
      </c>
      <c r="U710" s="8" t="n">
        <f aca="false">IF(AND(K710&lt;=I710,R710=0),1,0)</f>
        <v>0</v>
      </c>
      <c r="V710" s="10" t="n">
        <f aca="false">IF(Q710="No",P710,0)</f>
        <v>1395.46032</v>
      </c>
    </row>
    <row r="711" customFormat="false" ht="15" hidden="false" customHeight="false" outlineLevel="0" collapsed="false">
      <c r="A711" s="5" t="s">
        <v>845</v>
      </c>
      <c r="B711" s="5" t="s">
        <v>88</v>
      </c>
      <c r="C711" s="7" t="n">
        <v>45789</v>
      </c>
      <c r="D711" s="8" t="str">
        <f aca="false">INDEX(Dim_Supplier!$C$2:$C$21,MATCH(B711,Dim_Supplier!$A$2:$A$21,0))</f>
        <v>Logistics</v>
      </c>
      <c r="E711" s="8" t="str">
        <f aca="false">INDEX(Dim_Supplier!$B$2:$B$21,MATCH(B711,Dim_Supplier!$A$2:$A$21,0))</f>
        <v>Summit Last-Mile Delivery</v>
      </c>
      <c r="F711" s="5" t="s">
        <v>124</v>
      </c>
      <c r="G711" s="5" t="s">
        <v>129</v>
      </c>
      <c r="H711" s="8" t="n">
        <f aca="false">INDEX(Lookup_Tables!$B$2:$B$5,MATCH(D711,Lookup_Tables!$A$2:$A$5,0))</f>
        <v>5</v>
      </c>
      <c r="I711" s="9" t="n">
        <f aca="false">C711+H711</f>
        <v>45794</v>
      </c>
      <c r="J711" s="5" t="n">
        <v>0</v>
      </c>
      <c r="K711" s="9" t="n">
        <f aca="false">I711+J711</f>
        <v>45794</v>
      </c>
      <c r="L711" s="5" t="n">
        <v>39</v>
      </c>
      <c r="M711" s="10" t="n">
        <f aca="false">INDEX(Dim_Supplier!$F$2:$F$21,MATCH(B711,Dim_Supplier!$A$2:$A$21,0))</f>
        <v>95</v>
      </c>
      <c r="N711" s="11" t="n">
        <v>0.0335</v>
      </c>
      <c r="O711" s="10" t="n">
        <f aca="false">M711*(1+N711)</f>
        <v>98.1825</v>
      </c>
      <c r="P711" s="10" t="n">
        <f aca="false">O711*L711</f>
        <v>3829.1175</v>
      </c>
      <c r="Q711" s="5" t="s">
        <v>113</v>
      </c>
      <c r="R711" s="5" t="n">
        <v>0</v>
      </c>
      <c r="S711" s="5" t="n">
        <v>60</v>
      </c>
      <c r="T711" s="12" t="n">
        <f aca="false">(O711-M711)/M711</f>
        <v>0.0335000000000001</v>
      </c>
      <c r="U711" s="8" t="n">
        <f aca="false">IF(AND(K711&lt;=I711,R711=0),1,0)</f>
        <v>1</v>
      </c>
      <c r="V711" s="10" t="n">
        <f aca="false">IF(Q711="No",P711,0)</f>
        <v>0</v>
      </c>
    </row>
    <row r="712" customFormat="false" ht="15" hidden="false" customHeight="false" outlineLevel="0" collapsed="false">
      <c r="A712" s="5" t="s">
        <v>846</v>
      </c>
      <c r="B712" s="5" t="s">
        <v>84</v>
      </c>
      <c r="C712" s="7" t="n">
        <v>45979</v>
      </c>
      <c r="D712" s="8" t="str">
        <f aca="false">INDEX(Dim_Supplier!$C$2:$C$21,MATCH(B712,Dim_Supplier!$A$2:$A$21,0))</f>
        <v>Logistics</v>
      </c>
      <c r="E712" s="8" t="str">
        <f aca="false">INDEX(Dim_Supplier!$B$2:$B$21,MATCH(B712,Dim_Supplier!$A$2:$A$21,0))</f>
        <v>Trans-Canada Carriers</v>
      </c>
      <c r="F712" s="5" t="s">
        <v>124</v>
      </c>
      <c r="G712" s="5" t="s">
        <v>125</v>
      </c>
      <c r="H712" s="8" t="n">
        <f aca="false">INDEX(Lookup_Tables!$B$2:$B$5,MATCH(D712,Lookup_Tables!$A$2:$A$5,0))</f>
        <v>5</v>
      </c>
      <c r="I712" s="9" t="n">
        <f aca="false">C712+H712</f>
        <v>45984</v>
      </c>
      <c r="J712" s="5" t="n">
        <v>7</v>
      </c>
      <c r="K712" s="9" t="n">
        <f aca="false">I712+J712</f>
        <v>45991</v>
      </c>
      <c r="L712" s="5" t="n">
        <v>9</v>
      </c>
      <c r="M712" s="10" t="n">
        <f aca="false">INDEX(Dim_Supplier!$F$2:$F$21,MATCH(B712,Dim_Supplier!$A$2:$A$21,0))</f>
        <v>210</v>
      </c>
      <c r="N712" s="11" t="n">
        <v>0.1188</v>
      </c>
      <c r="O712" s="10" t="n">
        <f aca="false">M712*(1+N712)</f>
        <v>234.948</v>
      </c>
      <c r="P712" s="10" t="n">
        <f aca="false">O712*L712</f>
        <v>2114.532</v>
      </c>
      <c r="Q712" s="5" t="s">
        <v>113</v>
      </c>
      <c r="R712" s="5" t="n">
        <v>0</v>
      </c>
      <c r="S712" s="5" t="n">
        <v>45</v>
      </c>
      <c r="T712" s="12" t="n">
        <f aca="false">(O712-M712)/M712</f>
        <v>0.1188</v>
      </c>
      <c r="U712" s="8" t="n">
        <f aca="false">IF(AND(K712&lt;=I712,R712=0),1,0)</f>
        <v>0</v>
      </c>
      <c r="V712" s="10" t="n">
        <f aca="false">IF(Q712="No",P712,0)</f>
        <v>0</v>
      </c>
    </row>
    <row r="713" customFormat="false" ht="15" hidden="false" customHeight="false" outlineLevel="0" collapsed="false">
      <c r="A713" s="5" t="s">
        <v>847</v>
      </c>
      <c r="B713" s="5" t="s">
        <v>46</v>
      </c>
      <c r="C713" s="7" t="n">
        <v>45972</v>
      </c>
      <c r="D713" s="8" t="str">
        <f aca="false">INDEX(Dim_Supplier!$C$2:$C$21,MATCH(B713,Dim_Supplier!$A$2:$A$21,0))</f>
        <v>Raw Materials</v>
      </c>
      <c r="E713" s="8" t="str">
        <f aca="false">INDEX(Dim_Supplier!$B$2:$B$21,MATCH(B713,Dim_Supplier!$A$2:$A$21,0))</f>
        <v>Niagara Alloy Supply</v>
      </c>
      <c r="F713" s="5" t="s">
        <v>144</v>
      </c>
      <c r="G713" s="5" t="s">
        <v>120</v>
      </c>
      <c r="H713" s="8" t="n">
        <f aca="false">INDEX(Lookup_Tables!$B$2:$B$5,MATCH(D713,Lookup_Tables!$A$2:$A$5,0))</f>
        <v>21</v>
      </c>
      <c r="I713" s="9" t="n">
        <f aca="false">C713+H713</f>
        <v>45993</v>
      </c>
      <c r="J713" s="5" t="n">
        <v>-2</v>
      </c>
      <c r="K713" s="9" t="n">
        <f aca="false">I713+J713</f>
        <v>45991</v>
      </c>
      <c r="L713" s="5" t="n">
        <v>1328</v>
      </c>
      <c r="M713" s="10" t="n">
        <f aca="false">INDEX(Dim_Supplier!$F$2:$F$21,MATCH(B713,Dim_Supplier!$A$2:$A$21,0))</f>
        <v>46.5</v>
      </c>
      <c r="N713" s="11" t="n">
        <v>0.0302</v>
      </c>
      <c r="O713" s="10" t="n">
        <f aca="false">M713*(1+N713)</f>
        <v>47.9043</v>
      </c>
      <c r="P713" s="10" t="n">
        <f aca="false">O713*L713</f>
        <v>63616.9104</v>
      </c>
      <c r="Q713" s="5" t="s">
        <v>113</v>
      </c>
      <c r="R713" s="5" t="n">
        <v>0</v>
      </c>
      <c r="S713" s="5" t="n">
        <v>30</v>
      </c>
      <c r="T713" s="12" t="n">
        <f aca="false">(O713-M713)/M713</f>
        <v>0.0302</v>
      </c>
      <c r="U713" s="8" t="n">
        <f aca="false">IF(AND(K713&lt;=I713,R713=0),1,0)</f>
        <v>1</v>
      </c>
      <c r="V713" s="10" t="n">
        <f aca="false">IF(Q713="No",P713,0)</f>
        <v>0</v>
      </c>
    </row>
    <row r="714" customFormat="false" ht="15" hidden="false" customHeight="false" outlineLevel="0" collapsed="false">
      <c r="A714" s="5" t="s">
        <v>848</v>
      </c>
      <c r="B714" s="5" t="s">
        <v>68</v>
      </c>
      <c r="C714" s="7" t="n">
        <v>45691</v>
      </c>
      <c r="D714" s="8" t="str">
        <f aca="false">INDEX(Dim_Supplier!$C$2:$C$21,MATCH(B714,Dim_Supplier!$A$2:$A$21,0))</f>
        <v>MRO</v>
      </c>
      <c r="E714" s="8" t="str">
        <f aca="false">INDEX(Dim_Supplier!$B$2:$B$21,MATCH(B714,Dim_Supplier!$A$2:$A$21,0))</f>
        <v>Precision Tool &amp; Supply</v>
      </c>
      <c r="F714" s="5" t="s">
        <v>164</v>
      </c>
      <c r="G714" s="5" t="s">
        <v>125</v>
      </c>
      <c r="H714" s="8" t="n">
        <f aca="false">INDEX(Lookup_Tables!$B$2:$B$5,MATCH(D714,Lookup_Tables!$A$2:$A$5,0))</f>
        <v>10</v>
      </c>
      <c r="I714" s="9" t="n">
        <f aca="false">C714+H714</f>
        <v>45701</v>
      </c>
      <c r="J714" s="5" t="n">
        <v>-3</v>
      </c>
      <c r="K714" s="9" t="n">
        <f aca="false">I714+J714</f>
        <v>45698</v>
      </c>
      <c r="L714" s="5" t="n">
        <v>59</v>
      </c>
      <c r="M714" s="10" t="n">
        <f aca="false">INDEX(Dim_Supplier!$F$2:$F$21,MATCH(B714,Dim_Supplier!$A$2:$A$21,0))</f>
        <v>22.4</v>
      </c>
      <c r="N714" s="11" t="n">
        <v>0.0193</v>
      </c>
      <c r="O714" s="10" t="n">
        <f aca="false">M714*(1+N714)</f>
        <v>22.83232</v>
      </c>
      <c r="P714" s="10" t="n">
        <f aca="false">O714*L714</f>
        <v>1347.10688</v>
      </c>
      <c r="Q714" s="5" t="s">
        <v>133</v>
      </c>
      <c r="R714" s="5" t="n">
        <v>0</v>
      </c>
      <c r="S714" s="5" t="n">
        <v>30</v>
      </c>
      <c r="T714" s="12" t="n">
        <f aca="false">(O714-M714)/M714</f>
        <v>0.0193</v>
      </c>
      <c r="U714" s="8" t="n">
        <f aca="false">IF(AND(K714&lt;=I714,R714=0),1,0)</f>
        <v>1</v>
      </c>
      <c r="V714" s="10" t="n">
        <f aca="false">IF(Q714="No",P714,0)</f>
        <v>1347.10688</v>
      </c>
    </row>
    <row r="715" customFormat="false" ht="15" hidden="false" customHeight="false" outlineLevel="0" collapsed="false">
      <c r="A715" s="5" t="s">
        <v>849</v>
      </c>
      <c r="B715" s="5" t="s">
        <v>68</v>
      </c>
      <c r="C715" s="7" t="n">
        <v>45794</v>
      </c>
      <c r="D715" s="8" t="str">
        <f aca="false">INDEX(Dim_Supplier!$C$2:$C$21,MATCH(B715,Dim_Supplier!$A$2:$A$21,0))</f>
        <v>MRO</v>
      </c>
      <c r="E715" s="8" t="str">
        <f aca="false">INDEX(Dim_Supplier!$B$2:$B$21,MATCH(B715,Dim_Supplier!$A$2:$A$21,0))</f>
        <v>Precision Tool &amp; Supply</v>
      </c>
      <c r="F715" s="5" t="s">
        <v>132</v>
      </c>
      <c r="G715" s="5" t="s">
        <v>120</v>
      </c>
      <c r="H715" s="8" t="n">
        <f aca="false">INDEX(Lookup_Tables!$B$2:$B$5,MATCH(D715,Lookup_Tables!$A$2:$A$5,0))</f>
        <v>10</v>
      </c>
      <c r="I715" s="9" t="n">
        <f aca="false">C715+H715</f>
        <v>45804</v>
      </c>
      <c r="J715" s="5" t="n">
        <v>-3</v>
      </c>
      <c r="K715" s="9" t="n">
        <f aca="false">I715+J715</f>
        <v>45801</v>
      </c>
      <c r="L715" s="5" t="n">
        <v>144</v>
      </c>
      <c r="M715" s="10" t="n">
        <f aca="false">INDEX(Dim_Supplier!$F$2:$F$21,MATCH(B715,Dim_Supplier!$A$2:$A$21,0))</f>
        <v>22.4</v>
      </c>
      <c r="N715" s="11" t="n">
        <v>0.0007</v>
      </c>
      <c r="O715" s="10" t="n">
        <f aca="false">M715*(1+N715)</f>
        <v>22.41568</v>
      </c>
      <c r="P715" s="10" t="n">
        <f aca="false">O715*L715</f>
        <v>3227.85792</v>
      </c>
      <c r="Q715" s="5" t="s">
        <v>113</v>
      </c>
      <c r="R715" s="5" t="n">
        <v>0</v>
      </c>
      <c r="S715" s="5" t="n">
        <v>60</v>
      </c>
      <c r="T715" s="12" t="n">
        <f aca="false">(O715-M715)/M715</f>
        <v>0.000699999999999986</v>
      </c>
      <c r="U715" s="8" t="n">
        <f aca="false">IF(AND(K715&lt;=I715,R715=0),1,0)</f>
        <v>1</v>
      </c>
      <c r="V715" s="10" t="n">
        <f aca="false">IF(Q715="No",P715,0)</f>
        <v>0</v>
      </c>
    </row>
    <row r="716" customFormat="false" ht="15" hidden="false" customHeight="false" outlineLevel="0" collapsed="false">
      <c r="A716" s="5" t="s">
        <v>850</v>
      </c>
      <c r="B716" s="5" t="s">
        <v>82</v>
      </c>
      <c r="C716" s="7" t="n">
        <v>45440</v>
      </c>
      <c r="D716" s="8" t="str">
        <f aca="false">INDEX(Dim_Supplier!$C$2:$C$21,MATCH(B716,Dim_Supplier!$A$2:$A$21,0))</f>
        <v>Logistics</v>
      </c>
      <c r="E716" s="8" t="str">
        <f aca="false">INDEX(Dim_Supplier!$B$2:$B$21,MATCH(B716,Dim_Supplier!$A$2:$A$21,0))</f>
        <v>Maple Route Logistics</v>
      </c>
      <c r="F716" s="5" t="s">
        <v>146</v>
      </c>
      <c r="G716" s="5" t="s">
        <v>125</v>
      </c>
      <c r="H716" s="8" t="n">
        <f aca="false">INDEX(Lookup_Tables!$B$2:$B$5,MATCH(D716,Lookup_Tables!$A$2:$A$5,0))</f>
        <v>5</v>
      </c>
      <c r="I716" s="9" t="n">
        <f aca="false">C716+H716</f>
        <v>45445</v>
      </c>
      <c r="J716" s="5" t="n">
        <v>-2</v>
      </c>
      <c r="K716" s="9" t="n">
        <f aca="false">I716+J716</f>
        <v>45443</v>
      </c>
      <c r="L716" s="5" t="n">
        <v>2</v>
      </c>
      <c r="M716" s="10" t="n">
        <f aca="false">INDEX(Dim_Supplier!$F$2:$F$21,MATCH(B716,Dim_Supplier!$A$2:$A$21,0))</f>
        <v>285</v>
      </c>
      <c r="N716" s="11" t="n">
        <v>-0.0063</v>
      </c>
      <c r="O716" s="10" t="n">
        <f aca="false">M716*(1+N716)</f>
        <v>283.2045</v>
      </c>
      <c r="P716" s="10" t="n">
        <f aca="false">O716*L716</f>
        <v>566.409</v>
      </c>
      <c r="Q716" s="5" t="s">
        <v>113</v>
      </c>
      <c r="R716" s="5" t="n">
        <v>0</v>
      </c>
      <c r="S716" s="5" t="n">
        <v>30</v>
      </c>
      <c r="T716" s="12" t="n">
        <f aca="false">(O716-M716)/M716</f>
        <v>-0.00630000000000002</v>
      </c>
      <c r="U716" s="8" t="n">
        <f aca="false">IF(AND(K716&lt;=I716,R716=0),1,0)</f>
        <v>1</v>
      </c>
      <c r="V716" s="10" t="n">
        <f aca="false">IF(Q716="No",P716,0)</f>
        <v>0</v>
      </c>
    </row>
    <row r="717" customFormat="false" ht="15" hidden="false" customHeight="false" outlineLevel="0" collapsed="false">
      <c r="A717" s="5" t="s">
        <v>851</v>
      </c>
      <c r="B717" s="5" t="s">
        <v>77</v>
      </c>
      <c r="C717" s="7" t="n">
        <v>46110</v>
      </c>
      <c r="D717" s="8" t="str">
        <f aca="false">INDEX(Dim_Supplier!$C$2:$C$21,MATCH(B717,Dim_Supplier!$A$2:$A$21,0))</f>
        <v>MRO</v>
      </c>
      <c r="E717" s="8" t="str">
        <f aca="false">INDEX(Dim_Supplier!$B$2:$B$21,MATCH(B717,Dim_Supplier!$A$2:$A$21,0))</f>
        <v>Apex Industrial Supply</v>
      </c>
      <c r="F717" s="5" t="s">
        <v>127</v>
      </c>
      <c r="G717" s="5" t="s">
        <v>112</v>
      </c>
      <c r="H717" s="8" t="n">
        <f aca="false">INDEX(Lookup_Tables!$B$2:$B$5,MATCH(D717,Lookup_Tables!$A$2:$A$5,0))</f>
        <v>10</v>
      </c>
      <c r="I717" s="9" t="n">
        <f aca="false">C717+H717</f>
        <v>46120</v>
      </c>
      <c r="J717" s="5" t="n">
        <v>-1</v>
      </c>
      <c r="K717" s="9" t="n">
        <f aca="false">I717+J717</f>
        <v>46119</v>
      </c>
      <c r="L717" s="5" t="n">
        <v>168</v>
      </c>
      <c r="M717" s="10" t="n">
        <f aca="false">INDEX(Dim_Supplier!$F$2:$F$21,MATCH(B717,Dim_Supplier!$A$2:$A$21,0))</f>
        <v>24.6</v>
      </c>
      <c r="N717" s="11" t="n">
        <v>0.0697</v>
      </c>
      <c r="O717" s="10" t="n">
        <f aca="false">M717*(1+N717)</f>
        <v>26.31462</v>
      </c>
      <c r="P717" s="10" t="n">
        <f aca="false">O717*L717</f>
        <v>4420.85616</v>
      </c>
      <c r="Q717" s="5" t="s">
        <v>133</v>
      </c>
      <c r="R717" s="5" t="n">
        <v>0</v>
      </c>
      <c r="S717" s="5" t="n">
        <v>60</v>
      </c>
      <c r="T717" s="12" t="n">
        <f aca="false">(O717-M717)/M717</f>
        <v>0.0697000000000001</v>
      </c>
      <c r="U717" s="8" t="n">
        <f aca="false">IF(AND(K717&lt;=I717,R717=0),1,0)</f>
        <v>1</v>
      </c>
      <c r="V717" s="10" t="n">
        <f aca="false">IF(Q717="No",P717,0)</f>
        <v>4420.85616</v>
      </c>
    </row>
    <row r="718" customFormat="false" ht="15" hidden="false" customHeight="false" outlineLevel="0" collapsed="false">
      <c r="A718" s="5" t="s">
        <v>852</v>
      </c>
      <c r="B718" s="5" t="s">
        <v>46</v>
      </c>
      <c r="C718" s="7" t="n">
        <v>46179</v>
      </c>
      <c r="D718" s="8" t="str">
        <f aca="false">INDEX(Dim_Supplier!$C$2:$C$21,MATCH(B718,Dim_Supplier!$A$2:$A$21,0))</f>
        <v>Raw Materials</v>
      </c>
      <c r="E718" s="8" t="str">
        <f aca="false">INDEX(Dim_Supplier!$B$2:$B$21,MATCH(B718,Dim_Supplier!$A$2:$A$21,0))</f>
        <v>Niagara Alloy Supply</v>
      </c>
      <c r="F718" s="5" t="s">
        <v>115</v>
      </c>
      <c r="G718" s="5" t="s">
        <v>125</v>
      </c>
      <c r="H718" s="8" t="n">
        <f aca="false">INDEX(Lookup_Tables!$B$2:$B$5,MATCH(D718,Lookup_Tables!$A$2:$A$5,0))</f>
        <v>21</v>
      </c>
      <c r="I718" s="9" t="n">
        <f aca="false">C718+H718</f>
        <v>46200</v>
      </c>
      <c r="J718" s="5" t="n">
        <v>-4</v>
      </c>
      <c r="K718" s="9" t="n">
        <f aca="false">I718+J718</f>
        <v>46196</v>
      </c>
      <c r="L718" s="5" t="n">
        <v>904</v>
      </c>
      <c r="M718" s="10" t="n">
        <f aca="false">INDEX(Dim_Supplier!$F$2:$F$21,MATCH(B718,Dim_Supplier!$A$2:$A$21,0))</f>
        <v>46.5</v>
      </c>
      <c r="N718" s="11" t="n">
        <v>0.0583</v>
      </c>
      <c r="O718" s="10" t="n">
        <f aca="false">M718*(1+N718)</f>
        <v>49.21095</v>
      </c>
      <c r="P718" s="10" t="n">
        <f aca="false">O718*L718</f>
        <v>44486.6988</v>
      </c>
      <c r="Q718" s="5" t="s">
        <v>133</v>
      </c>
      <c r="R718" s="5" t="n">
        <v>0</v>
      </c>
      <c r="S718" s="5" t="n">
        <v>30</v>
      </c>
      <c r="T718" s="12" t="n">
        <f aca="false">(O718-M718)/M718</f>
        <v>0.0583000000000001</v>
      </c>
      <c r="U718" s="8" t="n">
        <f aca="false">IF(AND(K718&lt;=I718,R718=0),1,0)</f>
        <v>1</v>
      </c>
      <c r="V718" s="10" t="n">
        <f aca="false">IF(Q718="No",P718,0)</f>
        <v>44486.6988</v>
      </c>
    </row>
    <row r="719" customFormat="false" ht="15" hidden="false" customHeight="false" outlineLevel="0" collapsed="false">
      <c r="A719" s="5" t="s">
        <v>853</v>
      </c>
      <c r="B719" s="5" t="s">
        <v>86</v>
      </c>
      <c r="C719" s="7" t="n">
        <v>46066</v>
      </c>
      <c r="D719" s="8" t="str">
        <f aca="false">INDEX(Dim_Supplier!$C$2:$C$21,MATCH(B719,Dim_Supplier!$A$2:$A$21,0))</f>
        <v>Logistics</v>
      </c>
      <c r="E719" s="8" t="str">
        <f aca="false">INDEX(Dim_Supplier!$B$2:$B$21,MATCH(B719,Dim_Supplier!$A$2:$A$21,0))</f>
        <v>Blue Water Customs Brokerage</v>
      </c>
      <c r="F719" s="5" t="s">
        <v>154</v>
      </c>
      <c r="G719" s="5" t="s">
        <v>120</v>
      </c>
      <c r="H719" s="8" t="n">
        <f aca="false">INDEX(Lookup_Tables!$B$2:$B$5,MATCH(D719,Lookup_Tables!$A$2:$A$5,0))</f>
        <v>5</v>
      </c>
      <c r="I719" s="9" t="n">
        <f aca="false">C719+H719</f>
        <v>46071</v>
      </c>
      <c r="J719" s="5" t="n">
        <v>-1</v>
      </c>
      <c r="K719" s="9" t="n">
        <f aca="false">I719+J719</f>
        <v>46070</v>
      </c>
      <c r="L719" s="5" t="n">
        <v>29</v>
      </c>
      <c r="M719" s="10" t="n">
        <f aca="false">INDEX(Dim_Supplier!$F$2:$F$21,MATCH(B719,Dim_Supplier!$A$2:$A$21,0))</f>
        <v>175</v>
      </c>
      <c r="N719" s="11" t="n">
        <v>0.0507</v>
      </c>
      <c r="O719" s="10" t="n">
        <f aca="false">M719*(1+N719)</f>
        <v>183.8725</v>
      </c>
      <c r="P719" s="10" t="n">
        <f aca="false">O719*L719</f>
        <v>5332.3025</v>
      </c>
      <c r="Q719" s="5" t="s">
        <v>113</v>
      </c>
      <c r="R719" s="5" t="n">
        <v>0</v>
      </c>
      <c r="S719" s="5" t="n">
        <v>45</v>
      </c>
      <c r="T719" s="12" t="n">
        <f aca="false">(O719-M719)/M719</f>
        <v>0.0507</v>
      </c>
      <c r="U719" s="8" t="n">
        <f aca="false">IF(AND(K719&lt;=I719,R719=0),1,0)</f>
        <v>1</v>
      </c>
      <c r="V719" s="10" t="n">
        <f aca="false">IF(Q719="No",P719,0)</f>
        <v>0</v>
      </c>
    </row>
    <row r="720" customFormat="false" ht="15" hidden="false" customHeight="false" outlineLevel="0" collapsed="false">
      <c r="A720" s="5" t="s">
        <v>854</v>
      </c>
      <c r="B720" s="5" t="s">
        <v>60</v>
      </c>
      <c r="C720" s="7" t="n">
        <v>45326</v>
      </c>
      <c r="D720" s="8" t="str">
        <f aca="false">INDEX(Dim_Supplier!$C$2:$C$21,MATCH(B720,Dim_Supplier!$A$2:$A$21,0))</f>
        <v>Packaging</v>
      </c>
      <c r="E720" s="8" t="str">
        <f aca="false">INDEX(Dim_Supplier!$B$2:$B$21,MATCH(B720,Dim_Supplier!$A$2:$A$21,0))</f>
        <v>Maple Leaf Box &amp; Crate</v>
      </c>
      <c r="F720" s="5" t="s">
        <v>119</v>
      </c>
      <c r="G720" s="5" t="s">
        <v>129</v>
      </c>
      <c r="H720" s="8" t="n">
        <f aca="false">INDEX(Lookup_Tables!$B$2:$B$5,MATCH(D720,Lookup_Tables!$A$2:$A$5,0))</f>
        <v>14</v>
      </c>
      <c r="I720" s="9" t="n">
        <f aca="false">C720+H720</f>
        <v>45340</v>
      </c>
      <c r="J720" s="5" t="n">
        <v>1</v>
      </c>
      <c r="K720" s="9" t="n">
        <f aca="false">I720+J720</f>
        <v>45341</v>
      </c>
      <c r="L720" s="5" t="n">
        <v>4359</v>
      </c>
      <c r="M720" s="10" t="n">
        <f aca="false">INDEX(Dim_Supplier!$F$2:$F$21,MATCH(B720,Dim_Supplier!$A$2:$A$21,0))</f>
        <v>3.1</v>
      </c>
      <c r="N720" s="11" t="n">
        <v>-0.0026</v>
      </c>
      <c r="O720" s="10" t="n">
        <f aca="false">M720*(1+N720)</f>
        <v>3.09194</v>
      </c>
      <c r="P720" s="10" t="n">
        <f aca="false">O720*L720</f>
        <v>13477.76646</v>
      </c>
      <c r="Q720" s="5" t="s">
        <v>113</v>
      </c>
      <c r="R720" s="5" t="n">
        <v>0</v>
      </c>
      <c r="S720" s="5" t="n">
        <v>30</v>
      </c>
      <c r="T720" s="12" t="n">
        <f aca="false">(O720-M720)/M720</f>
        <v>-0.00259999999999999</v>
      </c>
      <c r="U720" s="8" t="n">
        <f aca="false">IF(AND(K720&lt;=I720,R720=0),1,0)</f>
        <v>0</v>
      </c>
      <c r="V720" s="10" t="n">
        <f aca="false">IF(Q720="No",P720,0)</f>
        <v>0</v>
      </c>
    </row>
    <row r="721" customFormat="false" ht="15" hidden="false" customHeight="false" outlineLevel="0" collapsed="false">
      <c r="A721" s="5" t="s">
        <v>855</v>
      </c>
      <c r="B721" s="5" t="s">
        <v>62</v>
      </c>
      <c r="C721" s="7" t="n">
        <v>46131</v>
      </c>
      <c r="D721" s="8" t="str">
        <f aca="false">INDEX(Dim_Supplier!$C$2:$C$21,MATCH(B721,Dim_Supplier!$A$2:$A$21,0))</f>
        <v>Packaging</v>
      </c>
      <c r="E721" s="8" t="str">
        <f aca="false">INDEX(Dim_Supplier!$B$2:$B$21,MATCH(B721,Dim_Supplier!$A$2:$A$21,0))</f>
        <v>Trillium Packaging Solutions</v>
      </c>
      <c r="F721" s="5" t="s">
        <v>117</v>
      </c>
      <c r="G721" s="5" t="s">
        <v>112</v>
      </c>
      <c r="H721" s="8" t="n">
        <f aca="false">INDEX(Lookup_Tables!$B$2:$B$5,MATCH(D721,Lookup_Tables!$A$2:$A$5,0))</f>
        <v>14</v>
      </c>
      <c r="I721" s="9" t="n">
        <f aca="false">C721+H721</f>
        <v>46145</v>
      </c>
      <c r="J721" s="5" t="n">
        <v>-4</v>
      </c>
      <c r="K721" s="9" t="n">
        <f aca="false">I721+J721</f>
        <v>46141</v>
      </c>
      <c r="L721" s="5" t="n">
        <v>3382</v>
      </c>
      <c r="M721" s="10" t="n">
        <f aca="false">INDEX(Dim_Supplier!$F$2:$F$21,MATCH(B721,Dim_Supplier!$A$2:$A$21,0))</f>
        <v>5.6</v>
      </c>
      <c r="N721" s="11" t="n">
        <v>-0.0025</v>
      </c>
      <c r="O721" s="10" t="n">
        <f aca="false">M721*(1+N721)</f>
        <v>5.586</v>
      </c>
      <c r="P721" s="10" t="n">
        <f aca="false">O721*L721</f>
        <v>18891.852</v>
      </c>
      <c r="Q721" s="5" t="s">
        <v>113</v>
      </c>
      <c r="R721" s="5" t="n">
        <v>0</v>
      </c>
      <c r="S721" s="5" t="n">
        <v>45</v>
      </c>
      <c r="T721" s="12" t="n">
        <f aca="false">(O721-M721)/M721</f>
        <v>-0.00249999999999988</v>
      </c>
      <c r="U721" s="8" t="n">
        <f aca="false">IF(AND(K721&lt;=I721,R721=0),1,0)</f>
        <v>1</v>
      </c>
      <c r="V721" s="10" t="n">
        <f aca="false">IF(Q721="No",P721,0)</f>
        <v>0</v>
      </c>
    </row>
    <row r="722" customFormat="false" ht="15" hidden="false" customHeight="false" outlineLevel="0" collapsed="false">
      <c r="A722" s="5" t="s">
        <v>856</v>
      </c>
      <c r="B722" s="5" t="s">
        <v>57</v>
      </c>
      <c r="C722" s="7" t="n">
        <v>46003</v>
      </c>
      <c r="D722" s="8" t="str">
        <f aca="false">INDEX(Dim_Supplier!$C$2:$C$21,MATCH(B722,Dim_Supplier!$A$2:$A$21,0))</f>
        <v>Packaging</v>
      </c>
      <c r="E722" s="8" t="str">
        <f aca="false">INDEX(Dim_Supplier!$B$2:$B$21,MATCH(B722,Dim_Supplier!$A$2:$A$21,0))</f>
        <v>Great Lakes Packaging Co.</v>
      </c>
      <c r="F722" s="5" t="s">
        <v>117</v>
      </c>
      <c r="G722" s="5" t="s">
        <v>129</v>
      </c>
      <c r="H722" s="8" t="n">
        <f aca="false">INDEX(Lookup_Tables!$B$2:$B$5,MATCH(D722,Lookup_Tables!$A$2:$A$5,0))</f>
        <v>14</v>
      </c>
      <c r="I722" s="9" t="n">
        <f aca="false">C722+H722</f>
        <v>46017</v>
      </c>
      <c r="J722" s="5" t="n">
        <v>-4</v>
      </c>
      <c r="K722" s="9" t="n">
        <f aca="false">I722+J722</f>
        <v>46013</v>
      </c>
      <c r="L722" s="5" t="n">
        <v>4132</v>
      </c>
      <c r="M722" s="10" t="n">
        <f aca="false">INDEX(Dim_Supplier!$F$2:$F$21,MATCH(B722,Dim_Supplier!$A$2:$A$21,0))</f>
        <v>4.35</v>
      </c>
      <c r="N722" s="11" t="n">
        <v>0.0001</v>
      </c>
      <c r="O722" s="10" t="n">
        <f aca="false">M722*(1+N722)</f>
        <v>4.350435</v>
      </c>
      <c r="P722" s="10" t="n">
        <f aca="false">O722*L722</f>
        <v>17975.99742</v>
      </c>
      <c r="Q722" s="5" t="s">
        <v>113</v>
      </c>
      <c r="R722" s="5" t="n">
        <v>0</v>
      </c>
      <c r="S722" s="5" t="n">
        <v>30</v>
      </c>
      <c r="T722" s="12" t="n">
        <f aca="false">(O722-M722)/M722</f>
        <v>9.99999999998895E-005</v>
      </c>
      <c r="U722" s="8" t="n">
        <f aca="false">IF(AND(K722&lt;=I722,R722=0),1,0)</f>
        <v>1</v>
      </c>
      <c r="V722" s="10" t="n">
        <f aca="false">IF(Q722="No",P722,0)</f>
        <v>0</v>
      </c>
    </row>
    <row r="723" customFormat="false" ht="15" hidden="false" customHeight="false" outlineLevel="0" collapsed="false">
      <c r="A723" s="5" t="s">
        <v>857</v>
      </c>
      <c r="B723" s="5" t="s">
        <v>71</v>
      </c>
      <c r="C723" s="7" t="n">
        <v>45613</v>
      </c>
      <c r="D723" s="8" t="str">
        <f aca="false">INDEX(Dim_Supplier!$C$2:$C$21,MATCH(B723,Dim_Supplier!$A$2:$A$21,0))</f>
        <v>MRO</v>
      </c>
      <c r="E723" s="8" t="str">
        <f aca="false">INDEX(Dim_Supplier!$B$2:$B$21,MATCH(B723,Dim_Supplier!$A$2:$A$21,0))</f>
        <v>CanSafe Equipment Ltd.</v>
      </c>
      <c r="F723" s="5" t="s">
        <v>132</v>
      </c>
      <c r="G723" s="5" t="s">
        <v>129</v>
      </c>
      <c r="H723" s="8" t="n">
        <f aca="false">INDEX(Lookup_Tables!$B$2:$B$5,MATCH(D723,Lookup_Tables!$A$2:$A$5,0))</f>
        <v>10</v>
      </c>
      <c r="I723" s="9" t="n">
        <f aca="false">C723+H723</f>
        <v>45623</v>
      </c>
      <c r="J723" s="5" t="n">
        <v>0</v>
      </c>
      <c r="K723" s="9" t="n">
        <f aca="false">I723+J723</f>
        <v>45623</v>
      </c>
      <c r="L723" s="5" t="n">
        <v>187</v>
      </c>
      <c r="M723" s="10" t="n">
        <f aca="false">INDEX(Dim_Supplier!$F$2:$F$21,MATCH(B723,Dim_Supplier!$A$2:$A$21,0))</f>
        <v>18.75</v>
      </c>
      <c r="N723" s="11" t="n">
        <v>0.0397</v>
      </c>
      <c r="O723" s="10" t="n">
        <f aca="false">M723*(1+N723)</f>
        <v>19.494375</v>
      </c>
      <c r="P723" s="10" t="n">
        <f aca="false">O723*L723</f>
        <v>3645.448125</v>
      </c>
      <c r="Q723" s="5" t="s">
        <v>133</v>
      </c>
      <c r="R723" s="5" t="n">
        <v>0</v>
      </c>
      <c r="S723" s="5" t="n">
        <v>45</v>
      </c>
      <c r="T723" s="12" t="n">
        <f aca="false">(O723-M723)/M723</f>
        <v>0.0397000000000001</v>
      </c>
      <c r="U723" s="8" t="n">
        <f aca="false">IF(AND(K723&lt;=I723,R723=0),1,0)</f>
        <v>1</v>
      </c>
      <c r="V723" s="10" t="n">
        <f aca="false">IF(Q723="No",P723,0)</f>
        <v>3645.448125</v>
      </c>
    </row>
    <row r="724" customFormat="false" ht="15" hidden="false" customHeight="false" outlineLevel="0" collapsed="false">
      <c r="A724" s="5" t="s">
        <v>858</v>
      </c>
      <c r="B724" s="5" t="s">
        <v>82</v>
      </c>
      <c r="C724" s="7" t="n">
        <v>45994</v>
      </c>
      <c r="D724" s="8" t="str">
        <f aca="false">INDEX(Dim_Supplier!$C$2:$C$21,MATCH(B724,Dim_Supplier!$A$2:$A$21,0))</f>
        <v>Logistics</v>
      </c>
      <c r="E724" s="8" t="str">
        <f aca="false">INDEX(Dim_Supplier!$B$2:$B$21,MATCH(B724,Dim_Supplier!$A$2:$A$21,0))</f>
        <v>Maple Route Logistics</v>
      </c>
      <c r="F724" s="5" t="s">
        <v>237</v>
      </c>
      <c r="G724" s="5" t="s">
        <v>120</v>
      </c>
      <c r="H724" s="8" t="n">
        <f aca="false">INDEX(Lookup_Tables!$B$2:$B$5,MATCH(D724,Lookup_Tables!$A$2:$A$5,0))</f>
        <v>5</v>
      </c>
      <c r="I724" s="9" t="n">
        <f aca="false">C724+H724</f>
        <v>45999</v>
      </c>
      <c r="J724" s="5" t="n">
        <v>-4</v>
      </c>
      <c r="K724" s="9" t="n">
        <f aca="false">I724+J724</f>
        <v>45995</v>
      </c>
      <c r="L724" s="5" t="n">
        <v>9</v>
      </c>
      <c r="M724" s="10" t="n">
        <f aca="false">INDEX(Dim_Supplier!$F$2:$F$21,MATCH(B724,Dim_Supplier!$A$2:$A$21,0))</f>
        <v>285</v>
      </c>
      <c r="N724" s="11" t="n">
        <v>0.0422</v>
      </c>
      <c r="O724" s="10" t="n">
        <f aca="false">M724*(1+N724)</f>
        <v>297.027</v>
      </c>
      <c r="P724" s="10" t="n">
        <f aca="false">O724*L724</f>
        <v>2673.243</v>
      </c>
      <c r="Q724" s="5" t="s">
        <v>113</v>
      </c>
      <c r="R724" s="5" t="n">
        <v>0</v>
      </c>
      <c r="S724" s="5" t="n">
        <v>60</v>
      </c>
      <c r="T724" s="12" t="n">
        <f aca="false">(O724-M724)/M724</f>
        <v>0.0422</v>
      </c>
      <c r="U724" s="8" t="n">
        <f aca="false">IF(AND(K724&lt;=I724,R724=0),1,0)</f>
        <v>1</v>
      </c>
      <c r="V724" s="10" t="n">
        <f aca="false">IF(Q724="No",P724,0)</f>
        <v>0</v>
      </c>
    </row>
    <row r="725" customFormat="false" ht="15" hidden="false" customHeight="false" outlineLevel="0" collapsed="false">
      <c r="A725" s="5" t="s">
        <v>859</v>
      </c>
      <c r="B725" s="5" t="s">
        <v>79</v>
      </c>
      <c r="C725" s="7" t="n">
        <v>45495</v>
      </c>
      <c r="D725" s="8" t="str">
        <f aca="false">INDEX(Dim_Supplier!$C$2:$C$21,MATCH(B725,Dim_Supplier!$A$2:$A$21,0))</f>
        <v>Logistics</v>
      </c>
      <c r="E725" s="8" t="str">
        <f aca="false">INDEX(Dim_Supplier!$B$2:$B$21,MATCH(B725,Dim_Supplier!$A$2:$A$21,0))</f>
        <v>Niagara Freight Solutions</v>
      </c>
      <c r="F725" s="5" t="s">
        <v>124</v>
      </c>
      <c r="G725" s="5" t="s">
        <v>125</v>
      </c>
      <c r="H725" s="8" t="n">
        <f aca="false">INDEX(Lookup_Tables!$B$2:$B$5,MATCH(D725,Lookup_Tables!$A$2:$A$5,0))</f>
        <v>5</v>
      </c>
      <c r="I725" s="9" t="n">
        <f aca="false">C725+H725</f>
        <v>45500</v>
      </c>
      <c r="J725" s="5" t="n">
        <v>-3</v>
      </c>
      <c r="K725" s="9" t="n">
        <f aca="false">I725+J725</f>
        <v>45497</v>
      </c>
      <c r="L725" s="5" t="n">
        <v>25</v>
      </c>
      <c r="M725" s="10" t="n">
        <f aca="false">INDEX(Dim_Supplier!$F$2:$F$21,MATCH(B725,Dim_Supplier!$A$2:$A$21,0))</f>
        <v>340</v>
      </c>
      <c r="N725" s="11" t="n">
        <v>0.0248</v>
      </c>
      <c r="O725" s="10" t="n">
        <f aca="false">M725*(1+N725)</f>
        <v>348.432</v>
      </c>
      <c r="P725" s="10" t="n">
        <f aca="false">O725*L725</f>
        <v>8710.8</v>
      </c>
      <c r="Q725" s="5" t="s">
        <v>113</v>
      </c>
      <c r="R725" s="5" t="n">
        <v>0</v>
      </c>
      <c r="S725" s="5" t="n">
        <v>30</v>
      </c>
      <c r="T725" s="12" t="n">
        <f aca="false">(O725-M725)/M725</f>
        <v>0.0247999999999999</v>
      </c>
      <c r="U725" s="8" t="n">
        <f aca="false">IF(AND(K725&lt;=I725,R725=0),1,0)</f>
        <v>1</v>
      </c>
      <c r="V725" s="10" t="n">
        <f aca="false">IF(Q725="No",P725,0)</f>
        <v>0</v>
      </c>
    </row>
    <row r="726" customFormat="false" ht="15" hidden="false" customHeight="false" outlineLevel="0" collapsed="false">
      <c r="A726" s="5" t="s">
        <v>860</v>
      </c>
      <c r="B726" s="5" t="s">
        <v>86</v>
      </c>
      <c r="C726" s="7" t="n">
        <v>45863</v>
      </c>
      <c r="D726" s="8" t="str">
        <f aca="false">INDEX(Dim_Supplier!$C$2:$C$21,MATCH(B726,Dim_Supplier!$A$2:$A$21,0))</f>
        <v>Logistics</v>
      </c>
      <c r="E726" s="8" t="str">
        <f aca="false">INDEX(Dim_Supplier!$B$2:$B$21,MATCH(B726,Dim_Supplier!$A$2:$A$21,0))</f>
        <v>Blue Water Customs Brokerage</v>
      </c>
      <c r="F726" s="5" t="s">
        <v>185</v>
      </c>
      <c r="G726" s="5" t="s">
        <v>112</v>
      </c>
      <c r="H726" s="8" t="n">
        <f aca="false">INDEX(Lookup_Tables!$B$2:$B$5,MATCH(D726,Lookup_Tables!$A$2:$A$5,0))</f>
        <v>5</v>
      </c>
      <c r="I726" s="9" t="n">
        <f aca="false">C726+H726</f>
        <v>45868</v>
      </c>
      <c r="J726" s="5" t="n">
        <v>3</v>
      </c>
      <c r="K726" s="9" t="n">
        <f aca="false">I726+J726</f>
        <v>45871</v>
      </c>
      <c r="L726" s="5" t="n">
        <v>13</v>
      </c>
      <c r="M726" s="10" t="n">
        <f aca="false">INDEX(Dim_Supplier!$F$2:$F$21,MATCH(B726,Dim_Supplier!$A$2:$A$21,0))</f>
        <v>175</v>
      </c>
      <c r="N726" s="11" t="n">
        <v>-0.0199</v>
      </c>
      <c r="O726" s="10" t="n">
        <f aca="false">M726*(1+N726)</f>
        <v>171.5175</v>
      </c>
      <c r="P726" s="10" t="n">
        <f aca="false">O726*L726</f>
        <v>2229.7275</v>
      </c>
      <c r="Q726" s="5" t="s">
        <v>113</v>
      </c>
      <c r="R726" s="5" t="n">
        <v>0</v>
      </c>
      <c r="S726" s="5" t="n">
        <v>30</v>
      </c>
      <c r="T726" s="12" t="n">
        <f aca="false">(O726-M726)/M726</f>
        <v>-0.0199000000000001</v>
      </c>
      <c r="U726" s="8" t="n">
        <f aca="false">IF(AND(K726&lt;=I726,R726=0),1,0)</f>
        <v>0</v>
      </c>
      <c r="V726" s="10" t="n">
        <f aca="false">IF(Q726="No",P726,0)</f>
        <v>0</v>
      </c>
    </row>
    <row r="727" customFormat="false" ht="15" hidden="false" customHeight="false" outlineLevel="0" collapsed="false">
      <c r="A727" s="5" t="s">
        <v>861</v>
      </c>
      <c r="B727" s="5" t="s">
        <v>71</v>
      </c>
      <c r="C727" s="7" t="n">
        <v>45906</v>
      </c>
      <c r="D727" s="8" t="str">
        <f aca="false">INDEX(Dim_Supplier!$C$2:$C$21,MATCH(B727,Dim_Supplier!$A$2:$A$21,0))</f>
        <v>MRO</v>
      </c>
      <c r="E727" s="8" t="str">
        <f aca="false">INDEX(Dim_Supplier!$B$2:$B$21,MATCH(B727,Dim_Supplier!$A$2:$A$21,0))</f>
        <v>CanSafe Equipment Ltd.</v>
      </c>
      <c r="F727" s="5" t="s">
        <v>111</v>
      </c>
      <c r="G727" s="5" t="s">
        <v>112</v>
      </c>
      <c r="H727" s="8" t="n">
        <f aca="false">INDEX(Lookup_Tables!$B$2:$B$5,MATCH(D727,Lookup_Tables!$A$2:$A$5,0))</f>
        <v>10</v>
      </c>
      <c r="I727" s="9" t="n">
        <f aca="false">C727+H727</f>
        <v>45916</v>
      </c>
      <c r="J727" s="5" t="n">
        <v>1</v>
      </c>
      <c r="K727" s="9" t="n">
        <f aca="false">I727+J727</f>
        <v>45917</v>
      </c>
      <c r="L727" s="5" t="n">
        <v>150</v>
      </c>
      <c r="M727" s="10" t="n">
        <f aca="false">INDEX(Dim_Supplier!$F$2:$F$21,MATCH(B727,Dim_Supplier!$A$2:$A$21,0))</f>
        <v>18.75</v>
      </c>
      <c r="N727" s="11" t="n">
        <v>0.0402</v>
      </c>
      <c r="O727" s="10" t="n">
        <f aca="false">M727*(1+N727)</f>
        <v>19.50375</v>
      </c>
      <c r="P727" s="10" t="n">
        <f aca="false">O727*L727</f>
        <v>2925.5625</v>
      </c>
      <c r="Q727" s="5" t="s">
        <v>113</v>
      </c>
      <c r="R727" s="5" t="n">
        <v>0</v>
      </c>
      <c r="S727" s="5" t="n">
        <v>30</v>
      </c>
      <c r="T727" s="12" t="n">
        <f aca="false">(O727-M727)/M727</f>
        <v>0.0402</v>
      </c>
      <c r="U727" s="8" t="n">
        <f aca="false">IF(AND(K727&lt;=I727,R727=0),1,0)</f>
        <v>0</v>
      </c>
      <c r="V727" s="10" t="n">
        <f aca="false">IF(Q727="No",P727,0)</f>
        <v>0</v>
      </c>
    </row>
    <row r="728" customFormat="false" ht="15" hidden="false" customHeight="false" outlineLevel="0" collapsed="false">
      <c r="A728" s="5" t="s">
        <v>862</v>
      </c>
      <c r="B728" s="5" t="s">
        <v>86</v>
      </c>
      <c r="C728" s="7" t="n">
        <v>45756</v>
      </c>
      <c r="D728" s="8" t="str">
        <f aca="false">INDEX(Dim_Supplier!$C$2:$C$21,MATCH(B728,Dim_Supplier!$A$2:$A$21,0))</f>
        <v>Logistics</v>
      </c>
      <c r="E728" s="8" t="str">
        <f aca="false">INDEX(Dim_Supplier!$B$2:$B$21,MATCH(B728,Dim_Supplier!$A$2:$A$21,0))</f>
        <v>Blue Water Customs Brokerage</v>
      </c>
      <c r="F728" s="5" t="s">
        <v>237</v>
      </c>
      <c r="G728" s="5" t="s">
        <v>129</v>
      </c>
      <c r="H728" s="8" t="n">
        <f aca="false">INDEX(Lookup_Tables!$B$2:$B$5,MATCH(D728,Lookup_Tables!$A$2:$A$5,0))</f>
        <v>5</v>
      </c>
      <c r="I728" s="9" t="n">
        <f aca="false">C728+H728</f>
        <v>45761</v>
      </c>
      <c r="J728" s="5" t="n">
        <v>-2</v>
      </c>
      <c r="K728" s="9" t="n">
        <f aca="false">I728+J728</f>
        <v>45759</v>
      </c>
      <c r="L728" s="5" t="n">
        <v>18</v>
      </c>
      <c r="M728" s="10" t="n">
        <f aca="false">INDEX(Dim_Supplier!$F$2:$F$21,MATCH(B728,Dim_Supplier!$A$2:$A$21,0))</f>
        <v>175</v>
      </c>
      <c r="N728" s="11" t="n">
        <v>0.0233</v>
      </c>
      <c r="O728" s="10" t="n">
        <f aca="false">M728*(1+N728)</f>
        <v>179.0775</v>
      </c>
      <c r="P728" s="10" t="n">
        <f aca="false">O728*L728</f>
        <v>3223.395</v>
      </c>
      <c r="Q728" s="5" t="s">
        <v>113</v>
      </c>
      <c r="R728" s="5" t="n">
        <v>0</v>
      </c>
      <c r="S728" s="5" t="n">
        <v>30</v>
      </c>
      <c r="T728" s="12" t="n">
        <f aca="false">(O728-M728)/M728</f>
        <v>0.0233000000000001</v>
      </c>
      <c r="U728" s="8" t="n">
        <f aca="false">IF(AND(K728&lt;=I728,R728=0),1,0)</f>
        <v>1</v>
      </c>
      <c r="V728" s="10" t="n">
        <f aca="false">IF(Q728="No",P728,0)</f>
        <v>0</v>
      </c>
    </row>
    <row r="729" customFormat="false" ht="15" hidden="false" customHeight="false" outlineLevel="0" collapsed="false">
      <c r="A729" s="5" t="s">
        <v>863</v>
      </c>
      <c r="B729" s="5" t="s">
        <v>82</v>
      </c>
      <c r="C729" s="7" t="n">
        <v>45906</v>
      </c>
      <c r="D729" s="8" t="str">
        <f aca="false">INDEX(Dim_Supplier!$C$2:$C$21,MATCH(B729,Dim_Supplier!$A$2:$A$21,0))</f>
        <v>Logistics</v>
      </c>
      <c r="E729" s="8" t="str">
        <f aca="false">INDEX(Dim_Supplier!$B$2:$B$21,MATCH(B729,Dim_Supplier!$A$2:$A$21,0))</f>
        <v>Maple Route Logistics</v>
      </c>
      <c r="F729" s="5" t="s">
        <v>154</v>
      </c>
      <c r="G729" s="5" t="s">
        <v>120</v>
      </c>
      <c r="H729" s="8" t="n">
        <f aca="false">INDEX(Lookup_Tables!$B$2:$B$5,MATCH(D729,Lookup_Tables!$A$2:$A$5,0))</f>
        <v>5</v>
      </c>
      <c r="I729" s="9" t="n">
        <f aca="false">C729+H729</f>
        <v>45911</v>
      </c>
      <c r="J729" s="5" t="n">
        <v>-1</v>
      </c>
      <c r="K729" s="9" t="n">
        <f aca="false">I729+J729</f>
        <v>45910</v>
      </c>
      <c r="L729" s="5" t="n">
        <v>12</v>
      </c>
      <c r="M729" s="10" t="n">
        <f aca="false">INDEX(Dim_Supplier!$F$2:$F$21,MATCH(B729,Dim_Supplier!$A$2:$A$21,0))</f>
        <v>285</v>
      </c>
      <c r="N729" s="11" t="n">
        <v>0.0172</v>
      </c>
      <c r="O729" s="10" t="n">
        <f aca="false">M729*(1+N729)</f>
        <v>289.902</v>
      </c>
      <c r="P729" s="10" t="n">
        <f aca="false">O729*L729</f>
        <v>3478.824</v>
      </c>
      <c r="Q729" s="5" t="s">
        <v>113</v>
      </c>
      <c r="R729" s="5" t="n">
        <v>0</v>
      </c>
      <c r="S729" s="5" t="n">
        <v>30</v>
      </c>
      <c r="T729" s="12" t="n">
        <f aca="false">(O729-M729)/M729</f>
        <v>0.0172000000000002</v>
      </c>
      <c r="U729" s="8" t="n">
        <f aca="false">IF(AND(K729&lt;=I729,R729=0),1,0)</f>
        <v>1</v>
      </c>
      <c r="V729" s="10" t="n">
        <f aca="false">IF(Q729="No",P729,0)</f>
        <v>0</v>
      </c>
    </row>
    <row r="730" customFormat="false" ht="15" hidden="false" customHeight="false" outlineLevel="0" collapsed="false">
      <c r="A730" s="5" t="s">
        <v>864</v>
      </c>
      <c r="B730" s="5" t="s">
        <v>54</v>
      </c>
      <c r="C730" s="7" t="n">
        <v>45924</v>
      </c>
      <c r="D730" s="8" t="str">
        <f aca="false">INDEX(Dim_Supplier!$C$2:$C$21,MATCH(B730,Dim_Supplier!$A$2:$A$21,0))</f>
        <v>Raw Materials</v>
      </c>
      <c r="E730" s="8" t="str">
        <f aca="false">INDEX(Dim_Supplier!$B$2:$B$21,MATCH(B730,Dim_Supplier!$A$2:$A$21,0))</f>
        <v>Northern Resin Solutions</v>
      </c>
      <c r="F730" s="5" t="s">
        <v>142</v>
      </c>
      <c r="G730" s="5" t="s">
        <v>112</v>
      </c>
      <c r="H730" s="8" t="n">
        <f aca="false">INDEX(Lookup_Tables!$B$2:$B$5,MATCH(D730,Lookup_Tables!$A$2:$A$5,0))</f>
        <v>21</v>
      </c>
      <c r="I730" s="9" t="n">
        <f aca="false">C730+H730</f>
        <v>45945</v>
      </c>
      <c r="J730" s="5" t="n">
        <v>-3</v>
      </c>
      <c r="K730" s="9" t="n">
        <f aca="false">I730+J730</f>
        <v>45942</v>
      </c>
      <c r="L730" s="5" t="n">
        <v>1038</v>
      </c>
      <c r="M730" s="10" t="n">
        <f aca="false">INDEX(Dim_Supplier!$F$2:$F$21,MATCH(B730,Dim_Supplier!$A$2:$A$21,0))</f>
        <v>38.9</v>
      </c>
      <c r="N730" s="11" t="n">
        <v>0.0722</v>
      </c>
      <c r="O730" s="10" t="n">
        <f aca="false">M730*(1+N730)</f>
        <v>41.70858</v>
      </c>
      <c r="P730" s="10" t="n">
        <f aca="false">O730*L730</f>
        <v>43293.50604</v>
      </c>
      <c r="Q730" s="5" t="s">
        <v>113</v>
      </c>
      <c r="R730" s="5" t="n">
        <v>0</v>
      </c>
      <c r="S730" s="5" t="n">
        <v>60</v>
      </c>
      <c r="T730" s="12" t="n">
        <f aca="false">(O730-M730)/M730</f>
        <v>0.0722</v>
      </c>
      <c r="U730" s="8" t="n">
        <f aca="false">IF(AND(K730&lt;=I730,R730=0),1,0)</f>
        <v>1</v>
      </c>
      <c r="V730" s="10" t="n">
        <f aca="false">IF(Q730="No",P730,0)</f>
        <v>0</v>
      </c>
    </row>
    <row r="731" customFormat="false" ht="15" hidden="false" customHeight="false" outlineLevel="0" collapsed="false">
      <c r="A731" s="5" t="s">
        <v>865</v>
      </c>
      <c r="B731" s="5" t="s">
        <v>88</v>
      </c>
      <c r="C731" s="7" t="n">
        <v>45699</v>
      </c>
      <c r="D731" s="8" t="str">
        <f aca="false">INDEX(Dim_Supplier!$C$2:$C$21,MATCH(B731,Dim_Supplier!$A$2:$A$21,0))</f>
        <v>Logistics</v>
      </c>
      <c r="E731" s="8" t="str">
        <f aca="false">INDEX(Dim_Supplier!$B$2:$B$21,MATCH(B731,Dim_Supplier!$A$2:$A$21,0))</f>
        <v>Summit Last-Mile Delivery</v>
      </c>
      <c r="F731" s="5" t="s">
        <v>154</v>
      </c>
      <c r="G731" s="5" t="s">
        <v>125</v>
      </c>
      <c r="H731" s="8" t="n">
        <f aca="false">INDEX(Lookup_Tables!$B$2:$B$5,MATCH(D731,Lookup_Tables!$A$2:$A$5,0))</f>
        <v>5</v>
      </c>
      <c r="I731" s="9" t="n">
        <f aca="false">C731+H731</f>
        <v>45704</v>
      </c>
      <c r="J731" s="5" t="n">
        <v>-2</v>
      </c>
      <c r="K731" s="9" t="n">
        <f aca="false">I731+J731</f>
        <v>45702</v>
      </c>
      <c r="L731" s="5" t="n">
        <v>17</v>
      </c>
      <c r="M731" s="10" t="n">
        <f aca="false">INDEX(Dim_Supplier!$F$2:$F$21,MATCH(B731,Dim_Supplier!$A$2:$A$21,0))</f>
        <v>95</v>
      </c>
      <c r="N731" s="11" t="n">
        <v>0.0085</v>
      </c>
      <c r="O731" s="10" t="n">
        <f aca="false">M731*(1+N731)</f>
        <v>95.8075</v>
      </c>
      <c r="P731" s="10" t="n">
        <f aca="false">O731*L731</f>
        <v>1628.7275</v>
      </c>
      <c r="Q731" s="5" t="s">
        <v>113</v>
      </c>
      <c r="R731" s="5" t="n">
        <v>0</v>
      </c>
      <c r="S731" s="5" t="n">
        <v>30</v>
      </c>
      <c r="T731" s="12" t="n">
        <f aca="false">(O731-M731)/M731</f>
        <v>0.0084999999999999</v>
      </c>
      <c r="U731" s="8" t="n">
        <f aca="false">IF(AND(K731&lt;=I731,R731=0),1,0)</f>
        <v>1</v>
      </c>
      <c r="V731" s="10" t="n">
        <f aca="false">IF(Q731="No",P731,0)</f>
        <v>0</v>
      </c>
    </row>
    <row r="732" customFormat="false" ht="15" hidden="false" customHeight="false" outlineLevel="0" collapsed="false">
      <c r="A732" s="5" t="s">
        <v>866</v>
      </c>
      <c r="B732" s="5" t="s">
        <v>86</v>
      </c>
      <c r="C732" s="7" t="n">
        <v>45774</v>
      </c>
      <c r="D732" s="8" t="str">
        <f aca="false">INDEX(Dim_Supplier!$C$2:$C$21,MATCH(B732,Dim_Supplier!$A$2:$A$21,0))</f>
        <v>Logistics</v>
      </c>
      <c r="E732" s="8" t="str">
        <f aca="false">INDEX(Dim_Supplier!$B$2:$B$21,MATCH(B732,Dim_Supplier!$A$2:$A$21,0))</f>
        <v>Blue Water Customs Brokerage</v>
      </c>
      <c r="F732" s="5" t="s">
        <v>146</v>
      </c>
      <c r="G732" s="5" t="s">
        <v>129</v>
      </c>
      <c r="H732" s="8" t="n">
        <f aca="false">INDEX(Lookup_Tables!$B$2:$B$5,MATCH(D732,Lookup_Tables!$A$2:$A$5,0))</f>
        <v>5</v>
      </c>
      <c r="I732" s="9" t="n">
        <f aca="false">C732+H732</f>
        <v>45779</v>
      </c>
      <c r="J732" s="5" t="n">
        <v>0</v>
      </c>
      <c r="K732" s="9" t="n">
        <f aca="false">I732+J732</f>
        <v>45779</v>
      </c>
      <c r="L732" s="5" t="n">
        <v>25</v>
      </c>
      <c r="M732" s="10" t="n">
        <f aca="false">INDEX(Dim_Supplier!$F$2:$F$21,MATCH(B732,Dim_Supplier!$A$2:$A$21,0))</f>
        <v>175</v>
      </c>
      <c r="N732" s="11" t="n">
        <v>0.0108</v>
      </c>
      <c r="O732" s="10" t="n">
        <f aca="false">M732*(1+N732)</f>
        <v>176.89</v>
      </c>
      <c r="P732" s="10" t="n">
        <f aca="false">O732*L732</f>
        <v>4422.25</v>
      </c>
      <c r="Q732" s="5" t="s">
        <v>113</v>
      </c>
      <c r="R732" s="5" t="n">
        <v>0</v>
      </c>
      <c r="S732" s="5" t="n">
        <v>30</v>
      </c>
      <c r="T732" s="12" t="n">
        <f aca="false">(O732-M732)/M732</f>
        <v>0.0107999999999999</v>
      </c>
      <c r="U732" s="8" t="n">
        <f aca="false">IF(AND(K732&lt;=I732,R732=0),1,0)</f>
        <v>1</v>
      </c>
      <c r="V732" s="10" t="n">
        <f aca="false">IF(Q732="No",P732,0)</f>
        <v>0</v>
      </c>
    </row>
    <row r="733" customFormat="false" ht="15" hidden="false" customHeight="false" outlineLevel="0" collapsed="false">
      <c r="A733" s="5" t="s">
        <v>867</v>
      </c>
      <c r="B733" s="5" t="s">
        <v>88</v>
      </c>
      <c r="C733" s="7" t="n">
        <v>45864</v>
      </c>
      <c r="D733" s="8" t="str">
        <f aca="false">INDEX(Dim_Supplier!$C$2:$C$21,MATCH(B733,Dim_Supplier!$A$2:$A$21,0))</f>
        <v>Logistics</v>
      </c>
      <c r="E733" s="8" t="str">
        <f aca="false">INDEX(Dim_Supplier!$B$2:$B$21,MATCH(B733,Dim_Supplier!$A$2:$A$21,0))</f>
        <v>Summit Last-Mile Delivery</v>
      </c>
      <c r="F733" s="5" t="s">
        <v>124</v>
      </c>
      <c r="G733" s="5" t="s">
        <v>112</v>
      </c>
      <c r="H733" s="8" t="n">
        <f aca="false">INDEX(Lookup_Tables!$B$2:$B$5,MATCH(D733,Lookup_Tables!$A$2:$A$5,0))</f>
        <v>5</v>
      </c>
      <c r="I733" s="9" t="n">
        <f aca="false">C733+H733</f>
        <v>45869</v>
      </c>
      <c r="J733" s="5" t="n">
        <v>-1</v>
      </c>
      <c r="K733" s="9" t="n">
        <f aca="false">I733+J733</f>
        <v>45868</v>
      </c>
      <c r="L733" s="5" t="n">
        <v>22</v>
      </c>
      <c r="M733" s="10" t="n">
        <f aca="false">INDEX(Dim_Supplier!$F$2:$F$21,MATCH(B733,Dim_Supplier!$A$2:$A$21,0))</f>
        <v>95</v>
      </c>
      <c r="N733" s="11" t="n">
        <v>0.0636</v>
      </c>
      <c r="O733" s="10" t="n">
        <f aca="false">M733*(1+N733)</f>
        <v>101.042</v>
      </c>
      <c r="P733" s="10" t="n">
        <f aca="false">O733*L733</f>
        <v>2222.924</v>
      </c>
      <c r="Q733" s="5" t="s">
        <v>133</v>
      </c>
      <c r="R733" s="5" t="n">
        <v>0</v>
      </c>
      <c r="S733" s="5" t="n">
        <v>30</v>
      </c>
      <c r="T733" s="12" t="n">
        <f aca="false">(O733-M733)/M733</f>
        <v>0.0636000000000002</v>
      </c>
      <c r="U733" s="8" t="n">
        <f aca="false">IF(AND(K733&lt;=I733,R733=0),1,0)</f>
        <v>1</v>
      </c>
      <c r="V733" s="10" t="n">
        <f aca="false">IF(Q733="No",P733,0)</f>
        <v>2222.924</v>
      </c>
    </row>
    <row r="734" customFormat="false" ht="15" hidden="false" customHeight="false" outlineLevel="0" collapsed="false">
      <c r="A734" s="5" t="s">
        <v>868</v>
      </c>
      <c r="B734" s="5" t="s">
        <v>68</v>
      </c>
      <c r="C734" s="7" t="n">
        <v>45437</v>
      </c>
      <c r="D734" s="8" t="str">
        <f aca="false">INDEX(Dim_Supplier!$C$2:$C$21,MATCH(B734,Dim_Supplier!$A$2:$A$21,0))</f>
        <v>MRO</v>
      </c>
      <c r="E734" s="8" t="str">
        <f aca="false">INDEX(Dim_Supplier!$B$2:$B$21,MATCH(B734,Dim_Supplier!$A$2:$A$21,0))</f>
        <v>Precision Tool &amp; Supply</v>
      </c>
      <c r="F734" s="5" t="s">
        <v>111</v>
      </c>
      <c r="G734" s="5" t="s">
        <v>129</v>
      </c>
      <c r="H734" s="8" t="n">
        <f aca="false">INDEX(Lookup_Tables!$B$2:$B$5,MATCH(D734,Lookup_Tables!$A$2:$A$5,0))</f>
        <v>10</v>
      </c>
      <c r="I734" s="9" t="n">
        <f aca="false">C734+H734</f>
        <v>45447</v>
      </c>
      <c r="J734" s="5" t="n">
        <v>-4</v>
      </c>
      <c r="K734" s="9" t="n">
        <f aca="false">I734+J734</f>
        <v>45443</v>
      </c>
      <c r="L734" s="5" t="n">
        <v>132</v>
      </c>
      <c r="M734" s="10" t="n">
        <f aca="false">INDEX(Dim_Supplier!$F$2:$F$21,MATCH(B734,Dim_Supplier!$A$2:$A$21,0))</f>
        <v>22.4</v>
      </c>
      <c r="N734" s="11" t="n">
        <v>0.0611</v>
      </c>
      <c r="O734" s="10" t="n">
        <f aca="false">M734*(1+N734)</f>
        <v>23.76864</v>
      </c>
      <c r="P734" s="10" t="n">
        <f aca="false">O734*L734</f>
        <v>3137.46048</v>
      </c>
      <c r="Q734" s="5" t="s">
        <v>113</v>
      </c>
      <c r="R734" s="5" t="n">
        <v>0</v>
      </c>
      <c r="S734" s="5" t="n">
        <v>45</v>
      </c>
      <c r="T734" s="12" t="n">
        <f aca="false">(O734-M734)/M734</f>
        <v>0.0611</v>
      </c>
      <c r="U734" s="8" t="n">
        <f aca="false">IF(AND(K734&lt;=I734,R734=0),1,0)</f>
        <v>1</v>
      </c>
      <c r="V734" s="10" t="n">
        <f aca="false">IF(Q734="No",P734,0)</f>
        <v>0</v>
      </c>
    </row>
    <row r="735" customFormat="false" ht="15" hidden="false" customHeight="false" outlineLevel="0" collapsed="false">
      <c r="A735" s="5" t="s">
        <v>869</v>
      </c>
      <c r="B735" s="5" t="s">
        <v>86</v>
      </c>
      <c r="C735" s="7" t="n">
        <v>45581</v>
      </c>
      <c r="D735" s="8" t="str">
        <f aca="false">INDEX(Dim_Supplier!$C$2:$C$21,MATCH(B735,Dim_Supplier!$A$2:$A$21,0))</f>
        <v>Logistics</v>
      </c>
      <c r="E735" s="8" t="str">
        <f aca="false">INDEX(Dim_Supplier!$B$2:$B$21,MATCH(B735,Dim_Supplier!$A$2:$A$21,0))</f>
        <v>Blue Water Customs Brokerage</v>
      </c>
      <c r="F735" s="5" t="s">
        <v>146</v>
      </c>
      <c r="G735" s="5" t="s">
        <v>120</v>
      </c>
      <c r="H735" s="8" t="n">
        <f aca="false">INDEX(Lookup_Tables!$B$2:$B$5,MATCH(D735,Lookup_Tables!$A$2:$A$5,0))</f>
        <v>5</v>
      </c>
      <c r="I735" s="9" t="n">
        <f aca="false">C735+H735</f>
        <v>45586</v>
      </c>
      <c r="J735" s="5" t="n">
        <v>-4</v>
      </c>
      <c r="K735" s="9" t="n">
        <f aca="false">I735+J735</f>
        <v>45582</v>
      </c>
      <c r="L735" s="5" t="n">
        <v>11</v>
      </c>
      <c r="M735" s="10" t="n">
        <f aca="false">INDEX(Dim_Supplier!$F$2:$F$21,MATCH(B735,Dim_Supplier!$A$2:$A$21,0))</f>
        <v>175</v>
      </c>
      <c r="N735" s="11" t="n">
        <v>0.0077</v>
      </c>
      <c r="O735" s="10" t="n">
        <f aca="false">M735*(1+N735)</f>
        <v>176.3475</v>
      </c>
      <c r="P735" s="10" t="n">
        <f aca="false">O735*L735</f>
        <v>1939.8225</v>
      </c>
      <c r="Q735" s="5" t="s">
        <v>113</v>
      </c>
      <c r="R735" s="5" t="n">
        <v>0</v>
      </c>
      <c r="S735" s="5" t="n">
        <v>45</v>
      </c>
      <c r="T735" s="12" t="n">
        <f aca="false">(O735-M735)/M735</f>
        <v>0.00769999999999998</v>
      </c>
      <c r="U735" s="8" t="n">
        <f aca="false">IF(AND(K735&lt;=I735,R735=0),1,0)</f>
        <v>1</v>
      </c>
      <c r="V735" s="10" t="n">
        <f aca="false">IF(Q735="No",P735,0)</f>
        <v>0</v>
      </c>
    </row>
    <row r="736" customFormat="false" ht="15" hidden="false" customHeight="false" outlineLevel="0" collapsed="false">
      <c r="A736" s="5" t="s">
        <v>870</v>
      </c>
      <c r="B736" s="5" t="s">
        <v>46</v>
      </c>
      <c r="C736" s="7" t="n">
        <v>46165</v>
      </c>
      <c r="D736" s="8" t="str">
        <f aca="false">INDEX(Dim_Supplier!$C$2:$C$21,MATCH(B736,Dim_Supplier!$A$2:$A$21,0))</f>
        <v>Raw Materials</v>
      </c>
      <c r="E736" s="8" t="str">
        <f aca="false">INDEX(Dim_Supplier!$B$2:$B$21,MATCH(B736,Dim_Supplier!$A$2:$A$21,0))</f>
        <v>Niagara Alloy Supply</v>
      </c>
      <c r="F736" s="5" t="s">
        <v>142</v>
      </c>
      <c r="G736" s="5" t="s">
        <v>129</v>
      </c>
      <c r="H736" s="8" t="n">
        <f aca="false">INDEX(Lookup_Tables!$B$2:$B$5,MATCH(D736,Lookup_Tables!$A$2:$A$5,0))</f>
        <v>21</v>
      </c>
      <c r="I736" s="9" t="n">
        <f aca="false">C736+H736</f>
        <v>46186</v>
      </c>
      <c r="J736" s="5" t="n">
        <v>-1</v>
      </c>
      <c r="K736" s="9" t="n">
        <f aca="false">I736+J736</f>
        <v>46185</v>
      </c>
      <c r="L736" s="5" t="n">
        <v>475</v>
      </c>
      <c r="M736" s="10" t="n">
        <f aca="false">INDEX(Dim_Supplier!$F$2:$F$21,MATCH(B736,Dim_Supplier!$A$2:$A$21,0))</f>
        <v>46.5</v>
      </c>
      <c r="N736" s="11" t="n">
        <v>0.0362</v>
      </c>
      <c r="O736" s="10" t="n">
        <f aca="false">M736*(1+N736)</f>
        <v>48.1833</v>
      </c>
      <c r="P736" s="10" t="n">
        <f aca="false">O736*L736</f>
        <v>22887.0675</v>
      </c>
      <c r="Q736" s="5" t="s">
        <v>113</v>
      </c>
      <c r="R736" s="5" t="n">
        <v>0</v>
      </c>
      <c r="S736" s="5" t="n">
        <v>45</v>
      </c>
      <c r="T736" s="12" t="n">
        <f aca="false">(O736-M736)/M736</f>
        <v>0.0362000000000001</v>
      </c>
      <c r="U736" s="8" t="n">
        <f aca="false">IF(AND(K736&lt;=I736,R736=0),1,0)</f>
        <v>1</v>
      </c>
      <c r="V736" s="10" t="n">
        <f aca="false">IF(Q736="No",P736,0)</f>
        <v>0</v>
      </c>
    </row>
    <row r="737" customFormat="false" ht="15" hidden="false" customHeight="false" outlineLevel="0" collapsed="false">
      <c r="A737" s="5" t="s">
        <v>871</v>
      </c>
      <c r="B737" s="5" t="s">
        <v>62</v>
      </c>
      <c r="C737" s="7" t="n">
        <v>45798</v>
      </c>
      <c r="D737" s="8" t="str">
        <f aca="false">INDEX(Dim_Supplier!$C$2:$C$21,MATCH(B737,Dim_Supplier!$A$2:$A$21,0))</f>
        <v>Packaging</v>
      </c>
      <c r="E737" s="8" t="str">
        <f aca="false">INDEX(Dim_Supplier!$B$2:$B$21,MATCH(B737,Dim_Supplier!$A$2:$A$21,0))</f>
        <v>Trillium Packaging Solutions</v>
      </c>
      <c r="F737" s="5" t="s">
        <v>117</v>
      </c>
      <c r="G737" s="5" t="s">
        <v>125</v>
      </c>
      <c r="H737" s="8" t="n">
        <f aca="false">INDEX(Lookup_Tables!$B$2:$B$5,MATCH(D737,Lookup_Tables!$A$2:$A$5,0))</f>
        <v>14</v>
      </c>
      <c r="I737" s="9" t="n">
        <f aca="false">C737+H737</f>
        <v>45812</v>
      </c>
      <c r="J737" s="5" t="n">
        <v>-4</v>
      </c>
      <c r="K737" s="9" t="n">
        <f aca="false">I737+J737</f>
        <v>45808</v>
      </c>
      <c r="L737" s="5" t="n">
        <v>4474</v>
      </c>
      <c r="M737" s="10" t="n">
        <f aca="false">INDEX(Dim_Supplier!$F$2:$F$21,MATCH(B737,Dim_Supplier!$A$2:$A$21,0))</f>
        <v>5.6</v>
      </c>
      <c r="N737" s="11" t="n">
        <v>0.0446</v>
      </c>
      <c r="O737" s="10" t="n">
        <f aca="false">M737*(1+N737)</f>
        <v>5.84976</v>
      </c>
      <c r="P737" s="10" t="n">
        <f aca="false">O737*L737</f>
        <v>26171.82624</v>
      </c>
      <c r="Q737" s="5" t="s">
        <v>113</v>
      </c>
      <c r="R737" s="5" t="n">
        <v>0</v>
      </c>
      <c r="S737" s="5" t="n">
        <v>45</v>
      </c>
      <c r="T737" s="12" t="n">
        <f aca="false">(O737-M737)/M737</f>
        <v>0.0446</v>
      </c>
      <c r="U737" s="8" t="n">
        <f aca="false">IF(AND(K737&lt;=I737,R737=0),1,0)</f>
        <v>1</v>
      </c>
      <c r="V737" s="10" t="n">
        <f aca="false">IF(Q737="No",P737,0)</f>
        <v>0</v>
      </c>
    </row>
    <row r="738" customFormat="false" ht="15" hidden="false" customHeight="false" outlineLevel="0" collapsed="false">
      <c r="A738" s="5" t="s">
        <v>872</v>
      </c>
      <c r="B738" s="5" t="s">
        <v>46</v>
      </c>
      <c r="C738" s="7" t="n">
        <v>45649</v>
      </c>
      <c r="D738" s="8" t="str">
        <f aca="false">INDEX(Dim_Supplier!$C$2:$C$21,MATCH(B738,Dim_Supplier!$A$2:$A$21,0))</f>
        <v>Raw Materials</v>
      </c>
      <c r="E738" s="8" t="str">
        <f aca="false">INDEX(Dim_Supplier!$B$2:$B$21,MATCH(B738,Dim_Supplier!$A$2:$A$21,0))</f>
        <v>Niagara Alloy Supply</v>
      </c>
      <c r="F738" s="5" t="s">
        <v>148</v>
      </c>
      <c r="G738" s="5" t="s">
        <v>112</v>
      </c>
      <c r="H738" s="8" t="n">
        <f aca="false">INDEX(Lookup_Tables!$B$2:$B$5,MATCH(D738,Lookup_Tables!$A$2:$A$5,0))</f>
        <v>21</v>
      </c>
      <c r="I738" s="9" t="n">
        <f aca="false">C738+H738</f>
        <v>45670</v>
      </c>
      <c r="J738" s="5" t="n">
        <v>0</v>
      </c>
      <c r="K738" s="9" t="n">
        <f aca="false">I738+J738</f>
        <v>45670</v>
      </c>
      <c r="L738" s="5" t="n">
        <v>444</v>
      </c>
      <c r="M738" s="10" t="n">
        <f aca="false">INDEX(Dim_Supplier!$F$2:$F$21,MATCH(B738,Dim_Supplier!$A$2:$A$21,0))</f>
        <v>46.5</v>
      </c>
      <c r="N738" s="11" t="n">
        <v>0.0207</v>
      </c>
      <c r="O738" s="10" t="n">
        <f aca="false">M738*(1+N738)</f>
        <v>47.46255</v>
      </c>
      <c r="P738" s="10" t="n">
        <f aca="false">O738*L738</f>
        <v>21073.3722</v>
      </c>
      <c r="Q738" s="5" t="s">
        <v>113</v>
      </c>
      <c r="R738" s="5" t="n">
        <v>0</v>
      </c>
      <c r="S738" s="5" t="n">
        <v>45</v>
      </c>
      <c r="T738" s="12" t="n">
        <f aca="false">(O738-M738)/M738</f>
        <v>0.0207</v>
      </c>
      <c r="U738" s="8" t="n">
        <f aca="false">IF(AND(K738&lt;=I738,R738=0),1,0)</f>
        <v>1</v>
      </c>
      <c r="V738" s="10" t="n">
        <f aca="false">IF(Q738="No",P738,0)</f>
        <v>0</v>
      </c>
    </row>
    <row r="739" customFormat="false" ht="15" hidden="false" customHeight="false" outlineLevel="0" collapsed="false">
      <c r="A739" s="5" t="s">
        <v>873</v>
      </c>
      <c r="B739" s="5" t="s">
        <v>75</v>
      </c>
      <c r="C739" s="7" t="n">
        <v>45509</v>
      </c>
      <c r="D739" s="8" t="str">
        <f aca="false">INDEX(Dim_Supplier!$C$2:$C$21,MATCH(B739,Dim_Supplier!$A$2:$A$21,0))</f>
        <v>MRO</v>
      </c>
      <c r="E739" s="8" t="str">
        <f aca="false">INDEX(Dim_Supplier!$B$2:$B$21,MATCH(B739,Dim_Supplier!$A$2:$A$21,0))</f>
        <v>Sterling Lubricants Inc.</v>
      </c>
      <c r="F739" s="5" t="s">
        <v>132</v>
      </c>
      <c r="G739" s="5" t="s">
        <v>129</v>
      </c>
      <c r="H739" s="8" t="n">
        <f aca="false">INDEX(Lookup_Tables!$B$2:$B$5,MATCH(D739,Lookup_Tables!$A$2:$A$5,0))</f>
        <v>10</v>
      </c>
      <c r="I739" s="9" t="n">
        <f aca="false">C739+H739</f>
        <v>45519</v>
      </c>
      <c r="J739" s="5" t="n">
        <v>-4</v>
      </c>
      <c r="K739" s="9" t="n">
        <f aca="false">I739+J739</f>
        <v>45515</v>
      </c>
      <c r="L739" s="5" t="n">
        <v>111</v>
      </c>
      <c r="M739" s="10" t="n">
        <f aca="false">INDEX(Dim_Supplier!$F$2:$F$21,MATCH(B739,Dim_Supplier!$A$2:$A$21,0))</f>
        <v>27.1</v>
      </c>
      <c r="N739" s="11" t="n">
        <v>0.0158</v>
      </c>
      <c r="O739" s="10" t="n">
        <f aca="false">M739*(1+N739)</f>
        <v>27.52818</v>
      </c>
      <c r="P739" s="10" t="n">
        <f aca="false">O739*L739</f>
        <v>3055.62798</v>
      </c>
      <c r="Q739" s="5" t="s">
        <v>133</v>
      </c>
      <c r="R739" s="5" t="n">
        <v>0</v>
      </c>
      <c r="S739" s="5" t="n">
        <v>30</v>
      </c>
      <c r="T739" s="12" t="n">
        <f aca="false">(O739-M739)/M739</f>
        <v>0.0158</v>
      </c>
      <c r="U739" s="8" t="n">
        <f aca="false">IF(AND(K739&lt;=I739,R739=0),1,0)</f>
        <v>1</v>
      </c>
      <c r="V739" s="10" t="n">
        <f aca="false">IF(Q739="No",P739,0)</f>
        <v>3055.62798</v>
      </c>
    </row>
    <row r="740" customFormat="false" ht="15" hidden="false" customHeight="false" outlineLevel="0" collapsed="false">
      <c r="A740" s="5" t="s">
        <v>874</v>
      </c>
      <c r="B740" s="5" t="s">
        <v>46</v>
      </c>
      <c r="C740" s="7" t="n">
        <v>45628</v>
      </c>
      <c r="D740" s="8" t="str">
        <f aca="false">INDEX(Dim_Supplier!$C$2:$C$21,MATCH(B740,Dim_Supplier!$A$2:$A$21,0))</f>
        <v>Raw Materials</v>
      </c>
      <c r="E740" s="8" t="str">
        <f aca="false">INDEX(Dim_Supplier!$B$2:$B$21,MATCH(B740,Dim_Supplier!$A$2:$A$21,0))</f>
        <v>Niagara Alloy Supply</v>
      </c>
      <c r="F740" s="5" t="s">
        <v>148</v>
      </c>
      <c r="G740" s="5" t="s">
        <v>120</v>
      </c>
      <c r="H740" s="8" t="n">
        <f aca="false">INDEX(Lookup_Tables!$B$2:$B$5,MATCH(D740,Lookup_Tables!$A$2:$A$5,0))</f>
        <v>21</v>
      </c>
      <c r="I740" s="9" t="n">
        <f aca="false">C740+H740</f>
        <v>45649</v>
      </c>
      <c r="J740" s="5" t="n">
        <v>-2</v>
      </c>
      <c r="K740" s="9" t="n">
        <f aca="false">I740+J740</f>
        <v>45647</v>
      </c>
      <c r="L740" s="5" t="n">
        <v>907</v>
      </c>
      <c r="M740" s="10" t="n">
        <f aca="false">INDEX(Dim_Supplier!$F$2:$F$21,MATCH(B740,Dim_Supplier!$A$2:$A$21,0))</f>
        <v>46.5</v>
      </c>
      <c r="N740" s="11" t="n">
        <v>0.0026</v>
      </c>
      <c r="O740" s="10" t="n">
        <f aca="false">M740*(1+N740)</f>
        <v>46.6209</v>
      </c>
      <c r="P740" s="10" t="n">
        <f aca="false">O740*L740</f>
        <v>42285.1563</v>
      </c>
      <c r="Q740" s="5" t="s">
        <v>113</v>
      </c>
      <c r="R740" s="5" t="n">
        <v>0</v>
      </c>
      <c r="S740" s="5" t="n">
        <v>30</v>
      </c>
      <c r="T740" s="12" t="n">
        <f aca="false">(O740-M740)/M740</f>
        <v>0.00259999999999998</v>
      </c>
      <c r="U740" s="8" t="n">
        <f aca="false">IF(AND(K740&lt;=I740,R740=0),1,0)</f>
        <v>1</v>
      </c>
      <c r="V740" s="10" t="n">
        <f aca="false">IF(Q740="No",P740,0)</f>
        <v>0</v>
      </c>
    </row>
    <row r="741" customFormat="false" ht="15" hidden="false" customHeight="false" outlineLevel="0" collapsed="false">
      <c r="A741" s="5" t="s">
        <v>875</v>
      </c>
      <c r="B741" s="5" t="s">
        <v>57</v>
      </c>
      <c r="C741" s="7" t="n">
        <v>45321</v>
      </c>
      <c r="D741" s="8" t="str">
        <f aca="false">INDEX(Dim_Supplier!$C$2:$C$21,MATCH(B741,Dim_Supplier!$A$2:$A$21,0))</f>
        <v>Packaging</v>
      </c>
      <c r="E741" s="8" t="str">
        <f aca="false">INDEX(Dim_Supplier!$B$2:$B$21,MATCH(B741,Dim_Supplier!$A$2:$A$21,0))</f>
        <v>Great Lakes Packaging Co.</v>
      </c>
      <c r="F741" s="5" t="s">
        <v>117</v>
      </c>
      <c r="G741" s="5" t="s">
        <v>125</v>
      </c>
      <c r="H741" s="8" t="n">
        <f aca="false">INDEX(Lookup_Tables!$B$2:$B$5,MATCH(D741,Lookup_Tables!$A$2:$A$5,0))</f>
        <v>14</v>
      </c>
      <c r="I741" s="9" t="n">
        <f aca="false">C741+H741</f>
        <v>45335</v>
      </c>
      <c r="J741" s="5" t="n">
        <v>-2</v>
      </c>
      <c r="K741" s="9" t="n">
        <f aca="false">I741+J741</f>
        <v>45333</v>
      </c>
      <c r="L741" s="5" t="n">
        <v>4219</v>
      </c>
      <c r="M741" s="10" t="n">
        <f aca="false">INDEX(Dim_Supplier!$F$2:$F$21,MATCH(B741,Dim_Supplier!$A$2:$A$21,0))</f>
        <v>4.35</v>
      </c>
      <c r="N741" s="11" t="n">
        <v>-0.0157</v>
      </c>
      <c r="O741" s="10" t="n">
        <f aca="false">M741*(1+N741)</f>
        <v>4.281705</v>
      </c>
      <c r="P741" s="10" t="n">
        <f aca="false">O741*L741</f>
        <v>18064.513395</v>
      </c>
      <c r="Q741" s="5" t="s">
        <v>113</v>
      </c>
      <c r="R741" s="5" t="n">
        <v>0</v>
      </c>
      <c r="S741" s="5" t="n">
        <v>45</v>
      </c>
      <c r="T741" s="12" t="n">
        <f aca="false">(O741-M741)/M741</f>
        <v>-0.0157</v>
      </c>
      <c r="U741" s="8" t="n">
        <f aca="false">IF(AND(K741&lt;=I741,R741=0),1,0)</f>
        <v>1</v>
      </c>
      <c r="V741" s="10" t="n">
        <f aca="false">IF(Q741="No",P741,0)</f>
        <v>0</v>
      </c>
    </row>
    <row r="742" customFormat="false" ht="15" hidden="false" customHeight="false" outlineLevel="0" collapsed="false">
      <c r="A742" s="5" t="s">
        <v>876</v>
      </c>
      <c r="B742" s="5" t="s">
        <v>57</v>
      </c>
      <c r="C742" s="7" t="n">
        <v>45336</v>
      </c>
      <c r="D742" s="8" t="str">
        <f aca="false">INDEX(Dim_Supplier!$C$2:$C$21,MATCH(B742,Dim_Supplier!$A$2:$A$21,0))</f>
        <v>Packaging</v>
      </c>
      <c r="E742" s="8" t="str">
        <f aca="false">INDEX(Dim_Supplier!$B$2:$B$21,MATCH(B742,Dim_Supplier!$A$2:$A$21,0))</f>
        <v>Great Lakes Packaging Co.</v>
      </c>
      <c r="F742" s="5" t="s">
        <v>122</v>
      </c>
      <c r="G742" s="5" t="s">
        <v>125</v>
      </c>
      <c r="H742" s="8" t="n">
        <f aca="false">INDEX(Lookup_Tables!$B$2:$B$5,MATCH(D742,Lookup_Tables!$A$2:$A$5,0))</f>
        <v>14</v>
      </c>
      <c r="I742" s="9" t="n">
        <f aca="false">C742+H742</f>
        <v>45350</v>
      </c>
      <c r="J742" s="5" t="n">
        <v>-4</v>
      </c>
      <c r="K742" s="9" t="n">
        <f aca="false">I742+J742</f>
        <v>45346</v>
      </c>
      <c r="L742" s="5" t="n">
        <v>1559</v>
      </c>
      <c r="M742" s="10" t="n">
        <f aca="false">INDEX(Dim_Supplier!$F$2:$F$21,MATCH(B742,Dim_Supplier!$A$2:$A$21,0))</f>
        <v>4.35</v>
      </c>
      <c r="N742" s="11" t="n">
        <v>0.0389</v>
      </c>
      <c r="O742" s="10" t="n">
        <f aca="false">M742*(1+N742)</f>
        <v>4.519215</v>
      </c>
      <c r="P742" s="10" t="n">
        <f aca="false">O742*L742</f>
        <v>7045.456185</v>
      </c>
      <c r="Q742" s="5" t="s">
        <v>113</v>
      </c>
      <c r="R742" s="5" t="n">
        <v>0</v>
      </c>
      <c r="S742" s="5" t="n">
        <v>45</v>
      </c>
      <c r="T742" s="12" t="n">
        <f aca="false">(O742-M742)/M742</f>
        <v>0.0388999999999999</v>
      </c>
      <c r="U742" s="8" t="n">
        <f aca="false">IF(AND(K742&lt;=I742,R742=0),1,0)</f>
        <v>1</v>
      </c>
      <c r="V742" s="10" t="n">
        <f aca="false">IF(Q742="No",P742,0)</f>
        <v>0</v>
      </c>
    </row>
    <row r="743" customFormat="false" ht="15" hidden="false" customHeight="false" outlineLevel="0" collapsed="false">
      <c r="A743" s="5" t="s">
        <v>877</v>
      </c>
      <c r="B743" s="5" t="s">
        <v>57</v>
      </c>
      <c r="C743" s="7" t="n">
        <v>45348</v>
      </c>
      <c r="D743" s="8" t="str">
        <f aca="false">INDEX(Dim_Supplier!$C$2:$C$21,MATCH(B743,Dim_Supplier!$A$2:$A$21,0))</f>
        <v>Packaging</v>
      </c>
      <c r="E743" s="8" t="str">
        <f aca="false">INDEX(Dim_Supplier!$B$2:$B$21,MATCH(B743,Dim_Supplier!$A$2:$A$21,0))</f>
        <v>Great Lakes Packaging Co.</v>
      </c>
      <c r="F743" s="5" t="s">
        <v>117</v>
      </c>
      <c r="G743" s="5" t="s">
        <v>125</v>
      </c>
      <c r="H743" s="8" t="n">
        <f aca="false">INDEX(Lookup_Tables!$B$2:$B$5,MATCH(D743,Lookup_Tables!$A$2:$A$5,0))</f>
        <v>14</v>
      </c>
      <c r="I743" s="9" t="n">
        <f aca="false">C743+H743</f>
        <v>45362</v>
      </c>
      <c r="J743" s="5" t="n">
        <v>-2</v>
      </c>
      <c r="K743" s="9" t="n">
        <f aca="false">I743+J743</f>
        <v>45360</v>
      </c>
      <c r="L743" s="5" t="n">
        <v>2466</v>
      </c>
      <c r="M743" s="10" t="n">
        <f aca="false">INDEX(Dim_Supplier!$F$2:$F$21,MATCH(B743,Dim_Supplier!$A$2:$A$21,0))</f>
        <v>4.35</v>
      </c>
      <c r="N743" s="11" t="n">
        <v>0.0184</v>
      </c>
      <c r="O743" s="10" t="n">
        <f aca="false">M743*(1+N743)</f>
        <v>4.43004</v>
      </c>
      <c r="P743" s="10" t="n">
        <f aca="false">O743*L743</f>
        <v>10924.47864</v>
      </c>
      <c r="Q743" s="5" t="s">
        <v>133</v>
      </c>
      <c r="R743" s="5" t="n">
        <v>0</v>
      </c>
      <c r="S743" s="5" t="n">
        <v>30</v>
      </c>
      <c r="T743" s="12" t="n">
        <f aca="false">(O743-M743)/M743</f>
        <v>0.0183999999999999</v>
      </c>
      <c r="U743" s="8" t="n">
        <f aca="false">IF(AND(K743&lt;=I743,R743=0),1,0)</f>
        <v>1</v>
      </c>
      <c r="V743" s="10" t="n">
        <f aca="false">IF(Q743="No",P743,0)</f>
        <v>10924.47864</v>
      </c>
    </row>
    <row r="744" customFormat="false" ht="15" hidden="false" customHeight="false" outlineLevel="0" collapsed="false">
      <c r="A744" s="5" t="s">
        <v>878</v>
      </c>
      <c r="B744" s="5" t="s">
        <v>82</v>
      </c>
      <c r="C744" s="7" t="n">
        <v>45458</v>
      </c>
      <c r="D744" s="8" t="str">
        <f aca="false">INDEX(Dim_Supplier!$C$2:$C$21,MATCH(B744,Dim_Supplier!$A$2:$A$21,0))</f>
        <v>Logistics</v>
      </c>
      <c r="E744" s="8" t="str">
        <f aca="false">INDEX(Dim_Supplier!$B$2:$B$21,MATCH(B744,Dim_Supplier!$A$2:$A$21,0))</f>
        <v>Maple Route Logistics</v>
      </c>
      <c r="F744" s="5" t="s">
        <v>237</v>
      </c>
      <c r="G744" s="5" t="s">
        <v>125</v>
      </c>
      <c r="H744" s="8" t="n">
        <f aca="false">INDEX(Lookup_Tables!$B$2:$B$5,MATCH(D744,Lookup_Tables!$A$2:$A$5,0))</f>
        <v>5</v>
      </c>
      <c r="I744" s="9" t="n">
        <f aca="false">C744+H744</f>
        <v>45463</v>
      </c>
      <c r="J744" s="5" t="n">
        <v>-2</v>
      </c>
      <c r="K744" s="9" t="n">
        <f aca="false">I744+J744</f>
        <v>45461</v>
      </c>
      <c r="L744" s="5" t="n">
        <v>42</v>
      </c>
      <c r="M744" s="10" t="n">
        <f aca="false">INDEX(Dim_Supplier!$F$2:$F$21,MATCH(B744,Dim_Supplier!$A$2:$A$21,0))</f>
        <v>285</v>
      </c>
      <c r="N744" s="11" t="n">
        <v>0.0626</v>
      </c>
      <c r="O744" s="10" t="n">
        <f aca="false">M744*(1+N744)</f>
        <v>302.841</v>
      </c>
      <c r="P744" s="10" t="n">
        <f aca="false">O744*L744</f>
        <v>12719.322</v>
      </c>
      <c r="Q744" s="5" t="s">
        <v>113</v>
      </c>
      <c r="R744" s="5" t="n">
        <v>0</v>
      </c>
      <c r="S744" s="5" t="n">
        <v>60</v>
      </c>
      <c r="T744" s="12" t="n">
        <f aca="false">(O744-M744)/M744</f>
        <v>0.0626</v>
      </c>
      <c r="U744" s="8" t="n">
        <f aca="false">IF(AND(K744&lt;=I744,R744=0),1,0)</f>
        <v>1</v>
      </c>
      <c r="V744" s="10" t="n">
        <f aca="false">IF(Q744="No",P744,0)</f>
        <v>0</v>
      </c>
    </row>
    <row r="745" customFormat="false" ht="15" hidden="false" customHeight="false" outlineLevel="0" collapsed="false">
      <c r="A745" s="5" t="s">
        <v>879</v>
      </c>
      <c r="B745" s="5" t="s">
        <v>77</v>
      </c>
      <c r="C745" s="7" t="n">
        <v>45609</v>
      </c>
      <c r="D745" s="8" t="str">
        <f aca="false">INDEX(Dim_Supplier!$C$2:$C$21,MATCH(B745,Dim_Supplier!$A$2:$A$21,0))</f>
        <v>MRO</v>
      </c>
      <c r="E745" s="8" t="str">
        <f aca="false">INDEX(Dim_Supplier!$B$2:$B$21,MATCH(B745,Dim_Supplier!$A$2:$A$21,0))</f>
        <v>Apex Industrial Supply</v>
      </c>
      <c r="F745" s="5" t="s">
        <v>132</v>
      </c>
      <c r="G745" s="5" t="s">
        <v>112</v>
      </c>
      <c r="H745" s="8" t="n">
        <f aca="false">INDEX(Lookup_Tables!$B$2:$B$5,MATCH(D745,Lookup_Tables!$A$2:$A$5,0))</f>
        <v>10</v>
      </c>
      <c r="I745" s="9" t="n">
        <f aca="false">C745+H745</f>
        <v>45619</v>
      </c>
      <c r="J745" s="5" t="n">
        <v>-2</v>
      </c>
      <c r="K745" s="9" t="n">
        <f aca="false">I745+J745</f>
        <v>45617</v>
      </c>
      <c r="L745" s="5" t="n">
        <v>99</v>
      </c>
      <c r="M745" s="10" t="n">
        <f aca="false">INDEX(Dim_Supplier!$F$2:$F$21,MATCH(B745,Dim_Supplier!$A$2:$A$21,0))</f>
        <v>24.6</v>
      </c>
      <c r="N745" s="11" t="n">
        <v>0.057</v>
      </c>
      <c r="O745" s="10" t="n">
        <f aca="false">M745*(1+N745)</f>
        <v>26.0022</v>
      </c>
      <c r="P745" s="10" t="n">
        <f aca="false">O745*L745</f>
        <v>2574.2178</v>
      </c>
      <c r="Q745" s="5" t="s">
        <v>113</v>
      </c>
      <c r="R745" s="5" t="n">
        <v>0</v>
      </c>
      <c r="S745" s="5" t="n">
        <v>60</v>
      </c>
      <c r="T745" s="12" t="n">
        <f aca="false">(O745-M745)/M745</f>
        <v>0.0569999999999999</v>
      </c>
      <c r="U745" s="8" t="n">
        <f aca="false">IF(AND(K745&lt;=I745,R745=0),1,0)</f>
        <v>1</v>
      </c>
      <c r="V745" s="10" t="n">
        <f aca="false">IF(Q745="No",P745,0)</f>
        <v>0</v>
      </c>
    </row>
    <row r="746" customFormat="false" ht="15" hidden="false" customHeight="false" outlineLevel="0" collapsed="false">
      <c r="A746" s="5" t="s">
        <v>880</v>
      </c>
      <c r="B746" s="5" t="s">
        <v>64</v>
      </c>
      <c r="C746" s="7" t="n">
        <v>45868</v>
      </c>
      <c r="D746" s="8" t="str">
        <f aca="false">INDEX(Dim_Supplier!$C$2:$C$21,MATCH(B746,Dim_Supplier!$A$2:$A$21,0))</f>
        <v>Packaging</v>
      </c>
      <c r="E746" s="8" t="str">
        <f aca="false">INDEX(Dim_Supplier!$B$2:$B$21,MATCH(B746,Dim_Supplier!$A$2:$A$21,0))</f>
        <v>Huron Pallet Works</v>
      </c>
      <c r="F746" s="5" t="s">
        <v>122</v>
      </c>
      <c r="G746" s="5" t="s">
        <v>125</v>
      </c>
      <c r="H746" s="8" t="n">
        <f aca="false">INDEX(Lookup_Tables!$B$2:$B$5,MATCH(D746,Lookup_Tables!$A$2:$A$5,0))</f>
        <v>14</v>
      </c>
      <c r="I746" s="9" t="n">
        <f aca="false">C746+H746</f>
        <v>45882</v>
      </c>
      <c r="J746" s="5" t="n">
        <v>7</v>
      </c>
      <c r="K746" s="9" t="n">
        <f aca="false">I746+J746</f>
        <v>45889</v>
      </c>
      <c r="L746" s="5" t="n">
        <v>3516</v>
      </c>
      <c r="M746" s="10" t="n">
        <f aca="false">INDEX(Dim_Supplier!$F$2:$F$21,MATCH(B746,Dim_Supplier!$A$2:$A$21,0))</f>
        <v>2.25</v>
      </c>
      <c r="N746" s="11" t="n">
        <v>0.1513</v>
      </c>
      <c r="O746" s="10" t="n">
        <f aca="false">M746*(1+N746)</f>
        <v>2.590425</v>
      </c>
      <c r="P746" s="10" t="n">
        <f aca="false">O746*L746</f>
        <v>9107.9343</v>
      </c>
      <c r="Q746" s="5" t="s">
        <v>133</v>
      </c>
      <c r="R746" s="5" t="n">
        <v>0</v>
      </c>
      <c r="S746" s="5" t="n">
        <v>30</v>
      </c>
      <c r="T746" s="12" t="n">
        <f aca="false">(O746-M746)/M746</f>
        <v>0.1513</v>
      </c>
      <c r="U746" s="8" t="n">
        <f aca="false">IF(AND(K746&lt;=I746,R746=0),1,0)</f>
        <v>0</v>
      </c>
      <c r="V746" s="10" t="n">
        <f aca="false">IF(Q746="No",P746,0)</f>
        <v>9107.9343</v>
      </c>
    </row>
    <row r="747" customFormat="false" ht="15" hidden="false" customHeight="false" outlineLevel="0" collapsed="false">
      <c r="A747" s="5" t="s">
        <v>881</v>
      </c>
      <c r="B747" s="5" t="s">
        <v>41</v>
      </c>
      <c r="C747" s="7" t="n">
        <v>45641</v>
      </c>
      <c r="D747" s="8" t="str">
        <f aca="false">INDEX(Dim_Supplier!$C$2:$C$21,MATCH(B747,Dim_Supplier!$A$2:$A$21,0))</f>
        <v>Raw Materials</v>
      </c>
      <c r="E747" s="8" t="str">
        <f aca="false">INDEX(Dim_Supplier!$B$2:$B$21,MATCH(B747,Dim_Supplier!$A$2:$A$21,0))</f>
        <v>Ontario Steel Partners</v>
      </c>
      <c r="F747" s="5" t="s">
        <v>142</v>
      </c>
      <c r="G747" s="5" t="s">
        <v>112</v>
      </c>
      <c r="H747" s="8" t="n">
        <f aca="false">INDEX(Lookup_Tables!$B$2:$B$5,MATCH(D747,Lookup_Tables!$A$2:$A$5,0))</f>
        <v>21</v>
      </c>
      <c r="I747" s="9" t="n">
        <f aca="false">C747+H747</f>
        <v>45662</v>
      </c>
      <c r="J747" s="5" t="n">
        <v>-4</v>
      </c>
      <c r="K747" s="9" t="n">
        <f aca="false">I747+J747</f>
        <v>45658</v>
      </c>
      <c r="L747" s="5" t="n">
        <v>1114</v>
      </c>
      <c r="M747" s="10" t="n">
        <f aca="false">INDEX(Dim_Supplier!$F$2:$F$21,MATCH(B747,Dim_Supplier!$A$2:$A$21,0))</f>
        <v>58</v>
      </c>
      <c r="N747" s="11" t="n">
        <v>-0.0153</v>
      </c>
      <c r="O747" s="10" t="n">
        <f aca="false">M747*(1+N747)</f>
        <v>57.1126</v>
      </c>
      <c r="P747" s="10" t="n">
        <f aca="false">O747*L747</f>
        <v>63623.4364</v>
      </c>
      <c r="Q747" s="5" t="s">
        <v>113</v>
      </c>
      <c r="R747" s="5" t="n">
        <v>0</v>
      </c>
      <c r="S747" s="5" t="n">
        <v>30</v>
      </c>
      <c r="T747" s="12" t="n">
        <f aca="false">(O747-M747)/M747</f>
        <v>-0.0153</v>
      </c>
      <c r="U747" s="8" t="n">
        <f aca="false">IF(AND(K747&lt;=I747,R747=0),1,0)</f>
        <v>1</v>
      </c>
      <c r="V747" s="10" t="n">
        <f aca="false">IF(Q747="No",P747,0)</f>
        <v>0</v>
      </c>
    </row>
    <row r="748" customFormat="false" ht="15" hidden="false" customHeight="false" outlineLevel="0" collapsed="false">
      <c r="A748" s="5" t="s">
        <v>882</v>
      </c>
      <c r="B748" s="5" t="s">
        <v>62</v>
      </c>
      <c r="C748" s="7" t="n">
        <v>45373</v>
      </c>
      <c r="D748" s="8" t="str">
        <f aca="false">INDEX(Dim_Supplier!$C$2:$C$21,MATCH(B748,Dim_Supplier!$A$2:$A$21,0))</f>
        <v>Packaging</v>
      </c>
      <c r="E748" s="8" t="str">
        <f aca="false">INDEX(Dim_Supplier!$B$2:$B$21,MATCH(B748,Dim_Supplier!$A$2:$A$21,0))</f>
        <v>Trillium Packaging Solutions</v>
      </c>
      <c r="F748" s="5" t="s">
        <v>137</v>
      </c>
      <c r="G748" s="5" t="s">
        <v>120</v>
      </c>
      <c r="H748" s="8" t="n">
        <f aca="false">INDEX(Lookup_Tables!$B$2:$B$5,MATCH(D748,Lookup_Tables!$A$2:$A$5,0))</f>
        <v>14</v>
      </c>
      <c r="I748" s="9" t="n">
        <f aca="false">C748+H748</f>
        <v>45387</v>
      </c>
      <c r="J748" s="5" t="n">
        <v>-2</v>
      </c>
      <c r="K748" s="9" t="n">
        <f aca="false">I748+J748</f>
        <v>45385</v>
      </c>
      <c r="L748" s="5" t="n">
        <v>2960</v>
      </c>
      <c r="M748" s="10" t="n">
        <f aca="false">INDEX(Dim_Supplier!$F$2:$F$21,MATCH(B748,Dim_Supplier!$A$2:$A$21,0))</f>
        <v>5.6</v>
      </c>
      <c r="N748" s="11" t="n">
        <v>0.0284</v>
      </c>
      <c r="O748" s="10" t="n">
        <f aca="false">M748*(1+N748)</f>
        <v>5.75904</v>
      </c>
      <c r="P748" s="10" t="n">
        <f aca="false">O748*L748</f>
        <v>17046.7584</v>
      </c>
      <c r="Q748" s="5" t="s">
        <v>113</v>
      </c>
      <c r="R748" s="5" t="n">
        <v>0</v>
      </c>
      <c r="S748" s="5" t="n">
        <v>30</v>
      </c>
      <c r="T748" s="12" t="n">
        <f aca="false">(O748-M748)/M748</f>
        <v>0.0284</v>
      </c>
      <c r="U748" s="8" t="n">
        <f aca="false">IF(AND(K748&lt;=I748,R748=0),1,0)</f>
        <v>1</v>
      </c>
      <c r="V748" s="10" t="n">
        <f aca="false">IF(Q748="No",P748,0)</f>
        <v>0</v>
      </c>
    </row>
    <row r="749" customFormat="false" ht="15" hidden="false" customHeight="false" outlineLevel="0" collapsed="false">
      <c r="A749" s="5" t="s">
        <v>883</v>
      </c>
      <c r="B749" s="5" t="s">
        <v>41</v>
      </c>
      <c r="C749" s="7" t="n">
        <v>45370</v>
      </c>
      <c r="D749" s="8" t="str">
        <f aca="false">INDEX(Dim_Supplier!$C$2:$C$21,MATCH(B749,Dim_Supplier!$A$2:$A$21,0))</f>
        <v>Raw Materials</v>
      </c>
      <c r="E749" s="8" t="str">
        <f aca="false">INDEX(Dim_Supplier!$B$2:$B$21,MATCH(B749,Dim_Supplier!$A$2:$A$21,0))</f>
        <v>Ontario Steel Partners</v>
      </c>
      <c r="F749" s="5" t="s">
        <v>148</v>
      </c>
      <c r="G749" s="5" t="s">
        <v>129</v>
      </c>
      <c r="H749" s="8" t="n">
        <f aca="false">INDEX(Lookup_Tables!$B$2:$B$5,MATCH(D749,Lookup_Tables!$A$2:$A$5,0))</f>
        <v>21</v>
      </c>
      <c r="I749" s="9" t="n">
        <f aca="false">C749+H749</f>
        <v>45391</v>
      </c>
      <c r="J749" s="5" t="n">
        <v>-4</v>
      </c>
      <c r="K749" s="9" t="n">
        <f aca="false">I749+J749</f>
        <v>45387</v>
      </c>
      <c r="L749" s="5" t="n">
        <v>1051</v>
      </c>
      <c r="M749" s="10" t="n">
        <f aca="false">INDEX(Dim_Supplier!$F$2:$F$21,MATCH(B749,Dim_Supplier!$A$2:$A$21,0))</f>
        <v>58</v>
      </c>
      <c r="N749" s="11" t="n">
        <v>0.0086</v>
      </c>
      <c r="O749" s="10" t="n">
        <f aca="false">M749*(1+N749)</f>
        <v>58.4988</v>
      </c>
      <c r="P749" s="10" t="n">
        <f aca="false">O749*L749</f>
        <v>61482.2388</v>
      </c>
      <c r="Q749" s="5" t="s">
        <v>113</v>
      </c>
      <c r="R749" s="5" t="n">
        <v>0</v>
      </c>
      <c r="S749" s="5" t="n">
        <v>30</v>
      </c>
      <c r="T749" s="12" t="n">
        <f aca="false">(O749-M749)/M749</f>
        <v>0.00859999999999993</v>
      </c>
      <c r="U749" s="8" t="n">
        <f aca="false">IF(AND(K749&lt;=I749,R749=0),1,0)</f>
        <v>1</v>
      </c>
      <c r="V749" s="10" t="n">
        <f aca="false">IF(Q749="No",P749,0)</f>
        <v>0</v>
      </c>
    </row>
    <row r="750" customFormat="false" ht="15" hidden="false" customHeight="false" outlineLevel="0" collapsed="false">
      <c r="A750" s="5" t="s">
        <v>884</v>
      </c>
      <c r="B750" s="5" t="s">
        <v>52</v>
      </c>
      <c r="C750" s="7" t="n">
        <v>45375</v>
      </c>
      <c r="D750" s="8" t="str">
        <f aca="false">INDEX(Dim_Supplier!$C$2:$C$21,MATCH(B750,Dim_Supplier!$A$2:$A$21,0))</f>
        <v>Raw Materials</v>
      </c>
      <c r="E750" s="8" t="str">
        <f aca="false">INDEX(Dim_Supplier!$B$2:$B$21,MATCH(B750,Dim_Supplier!$A$2:$A$21,0))</f>
        <v>Laurentian Metals Inc.</v>
      </c>
      <c r="F750" s="5" t="s">
        <v>144</v>
      </c>
      <c r="G750" s="5" t="s">
        <v>129</v>
      </c>
      <c r="H750" s="8" t="n">
        <f aca="false">INDEX(Lookup_Tables!$B$2:$B$5,MATCH(D750,Lookup_Tables!$A$2:$A$5,0))</f>
        <v>21</v>
      </c>
      <c r="I750" s="9" t="n">
        <f aca="false">C750+H750</f>
        <v>45396</v>
      </c>
      <c r="J750" s="5" t="n">
        <v>-1</v>
      </c>
      <c r="K750" s="9" t="n">
        <f aca="false">I750+J750</f>
        <v>45395</v>
      </c>
      <c r="L750" s="5" t="n">
        <v>467</v>
      </c>
      <c r="M750" s="10" t="n">
        <f aca="false">INDEX(Dim_Supplier!$F$2:$F$21,MATCH(B750,Dim_Supplier!$A$2:$A$21,0))</f>
        <v>61.2</v>
      </c>
      <c r="N750" s="11" t="n">
        <v>0.0393</v>
      </c>
      <c r="O750" s="10" t="n">
        <f aca="false">M750*(1+N750)</f>
        <v>63.60516</v>
      </c>
      <c r="P750" s="10" t="n">
        <f aca="false">O750*L750</f>
        <v>29703.60972</v>
      </c>
      <c r="Q750" s="5" t="s">
        <v>113</v>
      </c>
      <c r="R750" s="5" t="n">
        <v>0</v>
      </c>
      <c r="S750" s="5" t="n">
        <v>30</v>
      </c>
      <c r="T750" s="12" t="n">
        <f aca="false">(O750-M750)/M750</f>
        <v>0.0392999999999999</v>
      </c>
      <c r="U750" s="8" t="n">
        <f aca="false">IF(AND(K750&lt;=I750,R750=0),1,0)</f>
        <v>1</v>
      </c>
      <c r="V750" s="10" t="n">
        <f aca="false">IF(Q750="No",P750,0)</f>
        <v>0</v>
      </c>
    </row>
    <row r="751" customFormat="false" ht="15" hidden="false" customHeight="false" outlineLevel="0" collapsed="false">
      <c r="A751" s="5" t="s">
        <v>885</v>
      </c>
      <c r="B751" s="5" t="s">
        <v>62</v>
      </c>
      <c r="C751" s="7" t="n">
        <v>46013</v>
      </c>
      <c r="D751" s="8" t="str">
        <f aca="false">INDEX(Dim_Supplier!$C$2:$C$21,MATCH(B751,Dim_Supplier!$A$2:$A$21,0))</f>
        <v>Packaging</v>
      </c>
      <c r="E751" s="8" t="str">
        <f aca="false">INDEX(Dim_Supplier!$B$2:$B$21,MATCH(B751,Dim_Supplier!$A$2:$A$21,0))</f>
        <v>Trillium Packaging Solutions</v>
      </c>
      <c r="F751" s="5" t="s">
        <v>119</v>
      </c>
      <c r="G751" s="5" t="s">
        <v>120</v>
      </c>
      <c r="H751" s="8" t="n">
        <f aca="false">INDEX(Lookup_Tables!$B$2:$B$5,MATCH(D751,Lookup_Tables!$A$2:$A$5,0))</f>
        <v>14</v>
      </c>
      <c r="I751" s="9" t="n">
        <f aca="false">C751+H751</f>
        <v>46027</v>
      </c>
      <c r="J751" s="5" t="n">
        <v>-4</v>
      </c>
      <c r="K751" s="9" t="n">
        <f aca="false">I751+J751</f>
        <v>46023</v>
      </c>
      <c r="L751" s="5" t="n">
        <v>4185</v>
      </c>
      <c r="M751" s="10" t="n">
        <f aca="false">INDEX(Dim_Supplier!$F$2:$F$21,MATCH(B751,Dim_Supplier!$A$2:$A$21,0))</f>
        <v>5.6</v>
      </c>
      <c r="N751" s="11" t="n">
        <v>0.0085</v>
      </c>
      <c r="O751" s="10" t="n">
        <f aca="false">M751*(1+N751)</f>
        <v>5.6476</v>
      </c>
      <c r="P751" s="10" t="n">
        <f aca="false">O751*L751</f>
        <v>23635.206</v>
      </c>
      <c r="Q751" s="5" t="s">
        <v>113</v>
      </c>
      <c r="R751" s="5" t="n">
        <v>0</v>
      </c>
      <c r="S751" s="5" t="n">
        <v>60</v>
      </c>
      <c r="T751" s="12" t="n">
        <f aca="false">(O751-M751)/M751</f>
        <v>0.00850000000000002</v>
      </c>
      <c r="U751" s="8" t="n">
        <f aca="false">IF(AND(K751&lt;=I751,R751=0),1,0)</f>
        <v>1</v>
      </c>
      <c r="V751" s="10" t="n">
        <f aca="false">IF(Q751="No",P751,0)</f>
        <v>0</v>
      </c>
    </row>
    <row r="752" customFormat="false" ht="15" hidden="false" customHeight="false" outlineLevel="0" collapsed="false">
      <c r="A752" s="5" t="s">
        <v>886</v>
      </c>
      <c r="B752" s="5" t="s">
        <v>82</v>
      </c>
      <c r="C752" s="7" t="n">
        <v>45483</v>
      </c>
      <c r="D752" s="8" t="str">
        <f aca="false">INDEX(Dim_Supplier!$C$2:$C$21,MATCH(B752,Dim_Supplier!$A$2:$A$21,0))</f>
        <v>Logistics</v>
      </c>
      <c r="E752" s="8" t="str">
        <f aca="false">INDEX(Dim_Supplier!$B$2:$B$21,MATCH(B752,Dim_Supplier!$A$2:$A$21,0))</f>
        <v>Maple Route Logistics</v>
      </c>
      <c r="F752" s="5" t="s">
        <v>154</v>
      </c>
      <c r="G752" s="5" t="s">
        <v>112</v>
      </c>
      <c r="H752" s="8" t="n">
        <f aca="false">INDEX(Lookup_Tables!$B$2:$B$5,MATCH(D752,Lookup_Tables!$A$2:$A$5,0))</f>
        <v>5</v>
      </c>
      <c r="I752" s="9" t="n">
        <f aca="false">C752+H752</f>
        <v>45488</v>
      </c>
      <c r="J752" s="5" t="n">
        <v>4</v>
      </c>
      <c r="K752" s="9" t="n">
        <f aca="false">I752+J752</f>
        <v>45492</v>
      </c>
      <c r="L752" s="5" t="n">
        <v>17</v>
      </c>
      <c r="M752" s="10" t="n">
        <f aca="false">INDEX(Dim_Supplier!$F$2:$F$21,MATCH(B752,Dim_Supplier!$A$2:$A$21,0))</f>
        <v>285</v>
      </c>
      <c r="N752" s="11" t="n">
        <v>0.0568</v>
      </c>
      <c r="O752" s="10" t="n">
        <f aca="false">M752*(1+N752)</f>
        <v>301.188</v>
      </c>
      <c r="P752" s="10" t="n">
        <f aca="false">O752*L752</f>
        <v>5120.196</v>
      </c>
      <c r="Q752" s="5" t="s">
        <v>133</v>
      </c>
      <c r="R752" s="5" t="n">
        <v>0</v>
      </c>
      <c r="S752" s="5" t="n">
        <v>45</v>
      </c>
      <c r="T752" s="12" t="n">
        <f aca="false">(O752-M752)/M752</f>
        <v>0.0568</v>
      </c>
      <c r="U752" s="8" t="n">
        <f aca="false">IF(AND(K752&lt;=I752,R752=0),1,0)</f>
        <v>0</v>
      </c>
      <c r="V752" s="10" t="n">
        <f aca="false">IF(Q752="No",P752,0)</f>
        <v>5120.196</v>
      </c>
    </row>
    <row r="753" customFormat="false" ht="15" hidden="false" customHeight="false" outlineLevel="0" collapsed="false">
      <c r="A753" s="5" t="s">
        <v>887</v>
      </c>
      <c r="B753" s="5" t="s">
        <v>41</v>
      </c>
      <c r="C753" s="7" t="n">
        <v>45411</v>
      </c>
      <c r="D753" s="8" t="str">
        <f aca="false">INDEX(Dim_Supplier!$C$2:$C$21,MATCH(B753,Dim_Supplier!$A$2:$A$21,0))</f>
        <v>Raw Materials</v>
      </c>
      <c r="E753" s="8" t="str">
        <f aca="false">INDEX(Dim_Supplier!$B$2:$B$21,MATCH(B753,Dim_Supplier!$A$2:$A$21,0))</f>
        <v>Ontario Steel Partners</v>
      </c>
      <c r="F753" s="5" t="s">
        <v>148</v>
      </c>
      <c r="G753" s="5" t="s">
        <v>112</v>
      </c>
      <c r="H753" s="8" t="n">
        <f aca="false">INDEX(Lookup_Tables!$B$2:$B$5,MATCH(D753,Lookup_Tables!$A$2:$A$5,0))</f>
        <v>21</v>
      </c>
      <c r="I753" s="9" t="n">
        <f aca="false">C753+H753</f>
        <v>45432</v>
      </c>
      <c r="J753" s="5" t="n">
        <v>-4</v>
      </c>
      <c r="K753" s="9" t="n">
        <f aca="false">I753+J753</f>
        <v>45428</v>
      </c>
      <c r="L753" s="5" t="n">
        <v>929</v>
      </c>
      <c r="M753" s="10" t="n">
        <f aca="false">INDEX(Dim_Supplier!$F$2:$F$21,MATCH(B753,Dim_Supplier!$A$2:$A$21,0))</f>
        <v>58</v>
      </c>
      <c r="N753" s="11" t="n">
        <v>-0.0084</v>
      </c>
      <c r="O753" s="10" t="n">
        <f aca="false">M753*(1+N753)</f>
        <v>57.5128</v>
      </c>
      <c r="P753" s="10" t="n">
        <f aca="false">O753*L753</f>
        <v>53429.3912</v>
      </c>
      <c r="Q753" s="5" t="s">
        <v>113</v>
      </c>
      <c r="R753" s="5" t="n">
        <v>0</v>
      </c>
      <c r="S753" s="5" t="n">
        <v>45</v>
      </c>
      <c r="T753" s="12" t="n">
        <f aca="false">(O753-M753)/M753</f>
        <v>-0.00840000000000002</v>
      </c>
      <c r="U753" s="8" t="n">
        <f aca="false">IF(AND(K753&lt;=I753,R753=0),1,0)</f>
        <v>1</v>
      </c>
      <c r="V753" s="10" t="n">
        <f aca="false">IF(Q753="No",P753,0)</f>
        <v>0</v>
      </c>
    </row>
    <row r="754" customFormat="false" ht="15" hidden="false" customHeight="false" outlineLevel="0" collapsed="false">
      <c r="A754" s="5" t="s">
        <v>888</v>
      </c>
      <c r="B754" s="5" t="s">
        <v>64</v>
      </c>
      <c r="C754" s="7" t="n">
        <v>45925</v>
      </c>
      <c r="D754" s="8" t="str">
        <f aca="false">INDEX(Dim_Supplier!$C$2:$C$21,MATCH(B754,Dim_Supplier!$A$2:$A$21,0))</f>
        <v>Packaging</v>
      </c>
      <c r="E754" s="8" t="str">
        <f aca="false">INDEX(Dim_Supplier!$B$2:$B$21,MATCH(B754,Dim_Supplier!$A$2:$A$21,0))</f>
        <v>Huron Pallet Works</v>
      </c>
      <c r="F754" s="5" t="s">
        <v>122</v>
      </c>
      <c r="G754" s="5" t="s">
        <v>120</v>
      </c>
      <c r="H754" s="8" t="n">
        <f aca="false">INDEX(Lookup_Tables!$B$2:$B$5,MATCH(D754,Lookup_Tables!$A$2:$A$5,0))</f>
        <v>14</v>
      </c>
      <c r="I754" s="9" t="n">
        <f aca="false">C754+H754</f>
        <v>45939</v>
      </c>
      <c r="J754" s="5" t="n">
        <v>3</v>
      </c>
      <c r="K754" s="9" t="n">
        <f aca="false">I754+J754</f>
        <v>45942</v>
      </c>
      <c r="L754" s="5" t="n">
        <v>3735</v>
      </c>
      <c r="M754" s="10" t="n">
        <f aca="false">INDEX(Dim_Supplier!$F$2:$F$21,MATCH(B754,Dim_Supplier!$A$2:$A$21,0))</f>
        <v>2.25</v>
      </c>
      <c r="N754" s="11" t="n">
        <v>0.0921</v>
      </c>
      <c r="O754" s="10" t="n">
        <f aca="false">M754*(1+N754)</f>
        <v>2.457225</v>
      </c>
      <c r="P754" s="10" t="n">
        <f aca="false">O754*L754</f>
        <v>9177.735375</v>
      </c>
      <c r="Q754" s="5" t="s">
        <v>133</v>
      </c>
      <c r="R754" s="5" t="n">
        <v>0</v>
      </c>
      <c r="S754" s="5" t="n">
        <v>30</v>
      </c>
      <c r="T754" s="12" t="n">
        <f aca="false">(O754-M754)/M754</f>
        <v>0.0921000000000001</v>
      </c>
      <c r="U754" s="8" t="n">
        <f aca="false">IF(AND(K754&lt;=I754,R754=0),1,0)</f>
        <v>0</v>
      </c>
      <c r="V754" s="10" t="n">
        <f aca="false">IF(Q754="No",P754,0)</f>
        <v>9177.735375</v>
      </c>
    </row>
    <row r="755" customFormat="false" ht="15" hidden="false" customHeight="false" outlineLevel="0" collapsed="false">
      <c r="A755" s="5" t="s">
        <v>889</v>
      </c>
      <c r="B755" s="5" t="s">
        <v>52</v>
      </c>
      <c r="C755" s="7" t="n">
        <v>46127</v>
      </c>
      <c r="D755" s="8" t="str">
        <f aca="false">INDEX(Dim_Supplier!$C$2:$C$21,MATCH(B755,Dim_Supplier!$A$2:$A$21,0))</f>
        <v>Raw Materials</v>
      </c>
      <c r="E755" s="8" t="str">
        <f aca="false">INDEX(Dim_Supplier!$B$2:$B$21,MATCH(B755,Dim_Supplier!$A$2:$A$21,0))</f>
        <v>Laurentian Metals Inc.</v>
      </c>
      <c r="F755" s="5" t="s">
        <v>148</v>
      </c>
      <c r="G755" s="5" t="s">
        <v>112</v>
      </c>
      <c r="H755" s="8" t="n">
        <f aca="false">INDEX(Lookup_Tables!$B$2:$B$5,MATCH(D755,Lookup_Tables!$A$2:$A$5,0))</f>
        <v>21</v>
      </c>
      <c r="I755" s="9" t="n">
        <f aca="false">C755+H755</f>
        <v>46148</v>
      </c>
      <c r="J755" s="5" t="n">
        <v>-2</v>
      </c>
      <c r="K755" s="9" t="n">
        <f aca="false">I755+J755</f>
        <v>46146</v>
      </c>
      <c r="L755" s="5" t="n">
        <v>1428</v>
      </c>
      <c r="M755" s="10" t="n">
        <f aca="false">INDEX(Dim_Supplier!$F$2:$F$21,MATCH(B755,Dim_Supplier!$A$2:$A$21,0))</f>
        <v>61.2</v>
      </c>
      <c r="N755" s="11" t="n">
        <v>0.0094</v>
      </c>
      <c r="O755" s="10" t="n">
        <f aca="false">M755*(1+N755)</f>
        <v>61.77528</v>
      </c>
      <c r="P755" s="10" t="n">
        <f aca="false">O755*L755</f>
        <v>88215.09984</v>
      </c>
      <c r="Q755" s="5" t="s">
        <v>113</v>
      </c>
      <c r="R755" s="5" t="n">
        <v>0</v>
      </c>
      <c r="S755" s="5" t="n">
        <v>60</v>
      </c>
      <c r="T755" s="12" t="n">
        <f aca="false">(O755-M755)/M755</f>
        <v>0.0094000000000001</v>
      </c>
      <c r="U755" s="8" t="n">
        <f aca="false">IF(AND(K755&lt;=I755,R755=0),1,0)</f>
        <v>1</v>
      </c>
      <c r="V755" s="10" t="n">
        <f aca="false">IF(Q755="No",P755,0)</f>
        <v>0</v>
      </c>
    </row>
    <row r="756" customFormat="false" ht="15" hidden="false" customHeight="false" outlineLevel="0" collapsed="false">
      <c r="A756" s="5" t="s">
        <v>890</v>
      </c>
      <c r="B756" s="5" t="s">
        <v>82</v>
      </c>
      <c r="C756" s="7" t="n">
        <v>45843</v>
      </c>
      <c r="D756" s="8" t="str">
        <f aca="false">INDEX(Dim_Supplier!$C$2:$C$21,MATCH(B756,Dim_Supplier!$A$2:$A$21,0))</f>
        <v>Logistics</v>
      </c>
      <c r="E756" s="8" t="str">
        <f aca="false">INDEX(Dim_Supplier!$B$2:$B$21,MATCH(B756,Dim_Supplier!$A$2:$A$21,0))</f>
        <v>Maple Route Logistics</v>
      </c>
      <c r="F756" s="5" t="s">
        <v>154</v>
      </c>
      <c r="G756" s="5" t="s">
        <v>129</v>
      </c>
      <c r="H756" s="8" t="n">
        <f aca="false">INDEX(Lookup_Tables!$B$2:$B$5,MATCH(D756,Lookup_Tables!$A$2:$A$5,0))</f>
        <v>5</v>
      </c>
      <c r="I756" s="9" t="n">
        <f aca="false">C756+H756</f>
        <v>45848</v>
      </c>
      <c r="J756" s="5" t="n">
        <v>-2</v>
      </c>
      <c r="K756" s="9" t="n">
        <f aca="false">I756+J756</f>
        <v>45846</v>
      </c>
      <c r="L756" s="5" t="n">
        <v>31</v>
      </c>
      <c r="M756" s="10" t="n">
        <f aca="false">INDEX(Dim_Supplier!$F$2:$F$21,MATCH(B756,Dim_Supplier!$A$2:$A$21,0))</f>
        <v>285</v>
      </c>
      <c r="N756" s="11" t="n">
        <v>0.0512</v>
      </c>
      <c r="O756" s="10" t="n">
        <f aca="false">M756*(1+N756)</f>
        <v>299.592</v>
      </c>
      <c r="P756" s="10" t="n">
        <f aca="false">O756*L756</f>
        <v>9287.352</v>
      </c>
      <c r="Q756" s="5" t="s">
        <v>113</v>
      </c>
      <c r="R756" s="5" t="n">
        <v>0</v>
      </c>
      <c r="S756" s="5" t="n">
        <v>60</v>
      </c>
      <c r="T756" s="12" t="n">
        <f aca="false">(O756-M756)/M756</f>
        <v>0.0512</v>
      </c>
      <c r="U756" s="8" t="n">
        <f aca="false">IF(AND(K756&lt;=I756,R756=0),1,0)</f>
        <v>1</v>
      </c>
      <c r="V756" s="10" t="n">
        <f aca="false">IF(Q756="No",P756,0)</f>
        <v>0</v>
      </c>
    </row>
    <row r="757" customFormat="false" ht="15" hidden="false" customHeight="false" outlineLevel="0" collapsed="false">
      <c r="A757" s="5" t="s">
        <v>891</v>
      </c>
      <c r="B757" s="5" t="s">
        <v>77</v>
      </c>
      <c r="C757" s="7" t="n">
        <v>45747</v>
      </c>
      <c r="D757" s="8" t="str">
        <f aca="false">INDEX(Dim_Supplier!$C$2:$C$21,MATCH(B757,Dim_Supplier!$A$2:$A$21,0))</f>
        <v>MRO</v>
      </c>
      <c r="E757" s="8" t="str">
        <f aca="false">INDEX(Dim_Supplier!$B$2:$B$21,MATCH(B757,Dim_Supplier!$A$2:$A$21,0))</f>
        <v>Apex Industrial Supply</v>
      </c>
      <c r="F757" s="5" t="s">
        <v>179</v>
      </c>
      <c r="G757" s="5" t="s">
        <v>125</v>
      </c>
      <c r="H757" s="8" t="n">
        <f aca="false">INDEX(Lookup_Tables!$B$2:$B$5,MATCH(D757,Lookup_Tables!$A$2:$A$5,0))</f>
        <v>10</v>
      </c>
      <c r="I757" s="9" t="n">
        <f aca="false">C757+H757</f>
        <v>45757</v>
      </c>
      <c r="J757" s="5" t="n">
        <v>1</v>
      </c>
      <c r="K757" s="9" t="n">
        <f aca="false">I757+J757</f>
        <v>45758</v>
      </c>
      <c r="L757" s="5" t="n">
        <v>67</v>
      </c>
      <c r="M757" s="10" t="n">
        <f aca="false">INDEX(Dim_Supplier!$F$2:$F$21,MATCH(B757,Dim_Supplier!$A$2:$A$21,0))</f>
        <v>24.6</v>
      </c>
      <c r="N757" s="11" t="n">
        <v>0.0527</v>
      </c>
      <c r="O757" s="10" t="n">
        <f aca="false">M757*(1+N757)</f>
        <v>25.89642</v>
      </c>
      <c r="P757" s="10" t="n">
        <f aca="false">O757*L757</f>
        <v>1735.06014</v>
      </c>
      <c r="Q757" s="5" t="s">
        <v>113</v>
      </c>
      <c r="R757" s="5" t="n">
        <v>0</v>
      </c>
      <c r="S757" s="5" t="n">
        <v>60</v>
      </c>
      <c r="T757" s="12" t="n">
        <f aca="false">(O757-M757)/M757</f>
        <v>0.0526999999999999</v>
      </c>
      <c r="U757" s="8" t="n">
        <f aca="false">IF(AND(K757&lt;=I757,R757=0),1,0)</f>
        <v>0</v>
      </c>
      <c r="V757" s="10" t="n">
        <f aca="false">IF(Q757="No",P757,0)</f>
        <v>0</v>
      </c>
    </row>
    <row r="758" customFormat="false" ht="15" hidden="false" customHeight="false" outlineLevel="0" collapsed="false">
      <c r="A758" s="5" t="s">
        <v>892</v>
      </c>
      <c r="B758" s="5" t="s">
        <v>41</v>
      </c>
      <c r="C758" s="7" t="n">
        <v>45300</v>
      </c>
      <c r="D758" s="8" t="str">
        <f aca="false">INDEX(Dim_Supplier!$C$2:$C$21,MATCH(B758,Dim_Supplier!$A$2:$A$21,0))</f>
        <v>Raw Materials</v>
      </c>
      <c r="E758" s="8" t="str">
        <f aca="false">INDEX(Dim_Supplier!$B$2:$B$21,MATCH(B758,Dim_Supplier!$A$2:$A$21,0))</f>
        <v>Ontario Steel Partners</v>
      </c>
      <c r="F758" s="5" t="s">
        <v>148</v>
      </c>
      <c r="G758" s="5" t="s">
        <v>125</v>
      </c>
      <c r="H758" s="8" t="n">
        <f aca="false">INDEX(Lookup_Tables!$B$2:$B$5,MATCH(D758,Lookup_Tables!$A$2:$A$5,0))</f>
        <v>21</v>
      </c>
      <c r="I758" s="9" t="n">
        <f aca="false">C758+H758</f>
        <v>45321</v>
      </c>
      <c r="J758" s="5" t="n">
        <v>1</v>
      </c>
      <c r="K758" s="9" t="n">
        <f aca="false">I758+J758</f>
        <v>45322</v>
      </c>
      <c r="L758" s="5" t="n">
        <v>1609</v>
      </c>
      <c r="M758" s="10" t="n">
        <f aca="false">INDEX(Dim_Supplier!$F$2:$F$21,MATCH(B758,Dim_Supplier!$A$2:$A$21,0))</f>
        <v>58</v>
      </c>
      <c r="N758" s="11" t="n">
        <v>0.005</v>
      </c>
      <c r="O758" s="10" t="n">
        <f aca="false">M758*(1+N758)</f>
        <v>58.29</v>
      </c>
      <c r="P758" s="10" t="n">
        <f aca="false">O758*L758</f>
        <v>93788.61</v>
      </c>
      <c r="Q758" s="5" t="s">
        <v>113</v>
      </c>
      <c r="R758" s="5" t="n">
        <v>0</v>
      </c>
      <c r="S758" s="5" t="n">
        <v>60</v>
      </c>
      <c r="T758" s="12" t="n">
        <f aca="false">(O758-M758)/M758</f>
        <v>0.00499999999999986</v>
      </c>
      <c r="U758" s="8" t="n">
        <f aca="false">IF(AND(K758&lt;=I758,R758=0),1,0)</f>
        <v>0</v>
      </c>
      <c r="V758" s="10" t="n">
        <f aca="false">IF(Q758="No",P758,0)</f>
        <v>0</v>
      </c>
    </row>
    <row r="759" customFormat="false" ht="15" hidden="false" customHeight="false" outlineLevel="0" collapsed="false">
      <c r="A759" s="5" t="s">
        <v>893</v>
      </c>
      <c r="B759" s="5" t="s">
        <v>41</v>
      </c>
      <c r="C759" s="7" t="n">
        <v>45701</v>
      </c>
      <c r="D759" s="8" t="str">
        <f aca="false">INDEX(Dim_Supplier!$C$2:$C$21,MATCH(B759,Dim_Supplier!$A$2:$A$21,0))</f>
        <v>Raw Materials</v>
      </c>
      <c r="E759" s="8" t="str">
        <f aca="false">INDEX(Dim_Supplier!$B$2:$B$21,MATCH(B759,Dim_Supplier!$A$2:$A$21,0))</f>
        <v>Ontario Steel Partners</v>
      </c>
      <c r="F759" s="5" t="s">
        <v>142</v>
      </c>
      <c r="G759" s="5" t="s">
        <v>125</v>
      </c>
      <c r="H759" s="8" t="n">
        <f aca="false">INDEX(Lookup_Tables!$B$2:$B$5,MATCH(D759,Lookup_Tables!$A$2:$A$5,0))</f>
        <v>21</v>
      </c>
      <c r="I759" s="9" t="n">
        <f aca="false">C759+H759</f>
        <v>45722</v>
      </c>
      <c r="J759" s="5" t="n">
        <v>-3</v>
      </c>
      <c r="K759" s="9" t="n">
        <f aca="false">I759+J759</f>
        <v>45719</v>
      </c>
      <c r="L759" s="5" t="n">
        <v>138</v>
      </c>
      <c r="M759" s="10" t="n">
        <f aca="false">INDEX(Dim_Supplier!$F$2:$F$21,MATCH(B759,Dim_Supplier!$A$2:$A$21,0))</f>
        <v>58</v>
      </c>
      <c r="N759" s="11" t="n">
        <v>0.017</v>
      </c>
      <c r="O759" s="10" t="n">
        <f aca="false">M759*(1+N759)</f>
        <v>58.986</v>
      </c>
      <c r="P759" s="10" t="n">
        <f aca="false">O759*L759</f>
        <v>8140.068</v>
      </c>
      <c r="Q759" s="5" t="s">
        <v>113</v>
      </c>
      <c r="R759" s="5" t="n">
        <v>0</v>
      </c>
      <c r="S759" s="5" t="n">
        <v>30</v>
      </c>
      <c r="T759" s="12" t="n">
        <f aca="false">(O759-M759)/M759</f>
        <v>0.017</v>
      </c>
      <c r="U759" s="8" t="n">
        <f aca="false">IF(AND(K759&lt;=I759,R759=0),1,0)</f>
        <v>1</v>
      </c>
      <c r="V759" s="10" t="n">
        <f aca="false">IF(Q759="No",P759,0)</f>
        <v>0</v>
      </c>
    </row>
    <row r="760" customFormat="false" ht="15" hidden="false" customHeight="false" outlineLevel="0" collapsed="false">
      <c r="A760" s="5" t="s">
        <v>894</v>
      </c>
      <c r="B760" s="5" t="s">
        <v>84</v>
      </c>
      <c r="C760" s="7" t="n">
        <v>45719</v>
      </c>
      <c r="D760" s="8" t="str">
        <f aca="false">INDEX(Dim_Supplier!$C$2:$C$21,MATCH(B760,Dim_Supplier!$A$2:$A$21,0))</f>
        <v>Logistics</v>
      </c>
      <c r="E760" s="8" t="str">
        <f aca="false">INDEX(Dim_Supplier!$B$2:$B$21,MATCH(B760,Dim_Supplier!$A$2:$A$21,0))</f>
        <v>Trans-Canada Carriers</v>
      </c>
      <c r="F760" s="5" t="s">
        <v>237</v>
      </c>
      <c r="G760" s="5" t="s">
        <v>129</v>
      </c>
      <c r="H760" s="8" t="n">
        <f aca="false">INDEX(Lookup_Tables!$B$2:$B$5,MATCH(D760,Lookup_Tables!$A$2:$A$5,0))</f>
        <v>5</v>
      </c>
      <c r="I760" s="9" t="n">
        <f aca="false">C760+H760</f>
        <v>45724</v>
      </c>
      <c r="J760" s="5" t="n">
        <v>-1</v>
      </c>
      <c r="K760" s="9" t="n">
        <f aca="false">I760+J760</f>
        <v>45723</v>
      </c>
      <c r="L760" s="5" t="n">
        <v>23</v>
      </c>
      <c r="M760" s="10" t="n">
        <f aca="false">INDEX(Dim_Supplier!$F$2:$F$21,MATCH(B760,Dim_Supplier!$A$2:$A$21,0))</f>
        <v>210</v>
      </c>
      <c r="N760" s="11" t="n">
        <v>0.1315</v>
      </c>
      <c r="O760" s="10" t="n">
        <f aca="false">M760*(1+N760)</f>
        <v>237.615</v>
      </c>
      <c r="P760" s="10" t="n">
        <f aca="false">O760*L760</f>
        <v>5465.145</v>
      </c>
      <c r="Q760" s="5" t="s">
        <v>113</v>
      </c>
      <c r="R760" s="5" t="n">
        <v>0</v>
      </c>
      <c r="S760" s="5" t="n">
        <v>30</v>
      </c>
      <c r="T760" s="12" t="n">
        <f aca="false">(O760-M760)/M760</f>
        <v>0.1315</v>
      </c>
      <c r="U760" s="8" t="n">
        <f aca="false">IF(AND(K760&lt;=I760,R760=0),1,0)</f>
        <v>1</v>
      </c>
      <c r="V760" s="10" t="n">
        <f aca="false">IF(Q760="No",P760,0)</f>
        <v>0</v>
      </c>
    </row>
    <row r="761" customFormat="false" ht="15" hidden="false" customHeight="false" outlineLevel="0" collapsed="false">
      <c r="A761" s="5" t="s">
        <v>895</v>
      </c>
      <c r="B761" s="5" t="s">
        <v>77</v>
      </c>
      <c r="C761" s="7" t="n">
        <v>45772</v>
      </c>
      <c r="D761" s="8" t="str">
        <f aca="false">INDEX(Dim_Supplier!$C$2:$C$21,MATCH(B761,Dim_Supplier!$A$2:$A$21,0))</f>
        <v>MRO</v>
      </c>
      <c r="E761" s="8" t="str">
        <f aca="false">INDEX(Dim_Supplier!$B$2:$B$21,MATCH(B761,Dim_Supplier!$A$2:$A$21,0))</f>
        <v>Apex Industrial Supply</v>
      </c>
      <c r="F761" s="5" t="s">
        <v>111</v>
      </c>
      <c r="G761" s="5" t="s">
        <v>125</v>
      </c>
      <c r="H761" s="8" t="n">
        <f aca="false">INDEX(Lookup_Tables!$B$2:$B$5,MATCH(D761,Lookup_Tables!$A$2:$A$5,0))</f>
        <v>10</v>
      </c>
      <c r="I761" s="9" t="n">
        <f aca="false">C761+H761</f>
        <v>45782</v>
      </c>
      <c r="J761" s="5" t="n">
        <v>-1</v>
      </c>
      <c r="K761" s="9" t="n">
        <f aca="false">I761+J761</f>
        <v>45781</v>
      </c>
      <c r="L761" s="5" t="n">
        <v>180</v>
      </c>
      <c r="M761" s="10" t="n">
        <f aca="false">INDEX(Dim_Supplier!$F$2:$F$21,MATCH(B761,Dim_Supplier!$A$2:$A$21,0))</f>
        <v>24.6</v>
      </c>
      <c r="N761" s="11" t="n">
        <v>0.064</v>
      </c>
      <c r="O761" s="10" t="n">
        <f aca="false">M761*(1+N761)</f>
        <v>26.1744</v>
      </c>
      <c r="P761" s="10" t="n">
        <f aca="false">O761*L761</f>
        <v>4711.392</v>
      </c>
      <c r="Q761" s="5" t="s">
        <v>113</v>
      </c>
      <c r="R761" s="5" t="n">
        <v>0</v>
      </c>
      <c r="S761" s="5" t="n">
        <v>60</v>
      </c>
      <c r="T761" s="12" t="n">
        <f aca="false">(O761-M761)/M761</f>
        <v>0.064</v>
      </c>
      <c r="U761" s="8" t="n">
        <f aca="false">IF(AND(K761&lt;=I761,R761=0),1,0)</f>
        <v>1</v>
      </c>
      <c r="V761" s="10" t="n">
        <f aca="false">IF(Q761="No",P761,0)</f>
        <v>0</v>
      </c>
    </row>
    <row r="762" customFormat="false" ht="15" hidden="false" customHeight="false" outlineLevel="0" collapsed="false">
      <c r="A762" s="5" t="s">
        <v>896</v>
      </c>
      <c r="B762" s="5" t="s">
        <v>73</v>
      </c>
      <c r="C762" s="7" t="n">
        <v>45426</v>
      </c>
      <c r="D762" s="8" t="str">
        <f aca="false">INDEX(Dim_Supplier!$C$2:$C$21,MATCH(B762,Dim_Supplier!$A$2:$A$21,0))</f>
        <v>MRO</v>
      </c>
      <c r="E762" s="8" t="str">
        <f aca="false">INDEX(Dim_Supplier!$B$2:$B$21,MATCH(B762,Dim_Supplier!$A$2:$A$21,0))</f>
        <v>Frontier MRO Solutions</v>
      </c>
      <c r="F762" s="5" t="s">
        <v>111</v>
      </c>
      <c r="G762" s="5" t="s">
        <v>125</v>
      </c>
      <c r="H762" s="8" t="n">
        <f aca="false">INDEX(Lookup_Tables!$B$2:$B$5,MATCH(D762,Lookup_Tables!$A$2:$A$5,0))</f>
        <v>10</v>
      </c>
      <c r="I762" s="9" t="n">
        <f aca="false">C762+H762</f>
        <v>45436</v>
      </c>
      <c r="J762" s="5" t="n">
        <v>9</v>
      </c>
      <c r="K762" s="9" t="n">
        <f aca="false">I762+J762</f>
        <v>45445</v>
      </c>
      <c r="L762" s="5" t="n">
        <v>177</v>
      </c>
      <c r="M762" s="10" t="n">
        <f aca="false">INDEX(Dim_Supplier!$F$2:$F$21,MATCH(B762,Dim_Supplier!$A$2:$A$21,0))</f>
        <v>15.9</v>
      </c>
      <c r="N762" s="11" t="n">
        <v>0.1405</v>
      </c>
      <c r="O762" s="10" t="n">
        <f aca="false">M762*(1+N762)</f>
        <v>18.13395</v>
      </c>
      <c r="P762" s="10" t="n">
        <f aca="false">O762*L762</f>
        <v>3209.70915</v>
      </c>
      <c r="Q762" s="5" t="s">
        <v>133</v>
      </c>
      <c r="R762" s="5" t="n">
        <v>0</v>
      </c>
      <c r="S762" s="5" t="n">
        <v>30</v>
      </c>
      <c r="T762" s="12" t="n">
        <f aca="false">(O762-M762)/M762</f>
        <v>0.1405</v>
      </c>
      <c r="U762" s="8" t="n">
        <f aca="false">IF(AND(K762&lt;=I762,R762=0),1,0)</f>
        <v>0</v>
      </c>
      <c r="V762" s="10" t="n">
        <f aca="false">IF(Q762="No",P762,0)</f>
        <v>3209.70915</v>
      </c>
    </row>
    <row r="763" customFormat="false" ht="15" hidden="false" customHeight="false" outlineLevel="0" collapsed="false">
      <c r="A763" s="5" t="s">
        <v>897</v>
      </c>
      <c r="B763" s="5" t="s">
        <v>88</v>
      </c>
      <c r="C763" s="7" t="n">
        <v>45457</v>
      </c>
      <c r="D763" s="8" t="str">
        <f aca="false">INDEX(Dim_Supplier!$C$2:$C$21,MATCH(B763,Dim_Supplier!$A$2:$A$21,0))</f>
        <v>Logistics</v>
      </c>
      <c r="E763" s="8" t="str">
        <f aca="false">INDEX(Dim_Supplier!$B$2:$B$21,MATCH(B763,Dim_Supplier!$A$2:$A$21,0))</f>
        <v>Summit Last-Mile Delivery</v>
      </c>
      <c r="F763" s="5" t="s">
        <v>185</v>
      </c>
      <c r="G763" s="5" t="s">
        <v>112</v>
      </c>
      <c r="H763" s="8" t="n">
        <f aca="false">INDEX(Lookup_Tables!$B$2:$B$5,MATCH(D763,Lookup_Tables!$A$2:$A$5,0))</f>
        <v>5</v>
      </c>
      <c r="I763" s="9" t="n">
        <f aca="false">C763+H763</f>
        <v>45462</v>
      </c>
      <c r="J763" s="5" t="n">
        <v>-2</v>
      </c>
      <c r="K763" s="9" t="n">
        <f aca="false">I763+J763</f>
        <v>45460</v>
      </c>
      <c r="L763" s="5" t="n">
        <v>43</v>
      </c>
      <c r="M763" s="10" t="n">
        <f aca="false">INDEX(Dim_Supplier!$F$2:$F$21,MATCH(B763,Dim_Supplier!$A$2:$A$21,0))</f>
        <v>95</v>
      </c>
      <c r="N763" s="11" t="n">
        <v>0.0726</v>
      </c>
      <c r="O763" s="10" t="n">
        <f aca="false">M763*(1+N763)</f>
        <v>101.897</v>
      </c>
      <c r="P763" s="10" t="n">
        <f aca="false">O763*L763</f>
        <v>4381.571</v>
      </c>
      <c r="Q763" s="5" t="s">
        <v>113</v>
      </c>
      <c r="R763" s="5" t="n">
        <v>0</v>
      </c>
      <c r="S763" s="5" t="n">
        <v>30</v>
      </c>
      <c r="T763" s="12" t="n">
        <f aca="false">(O763-M763)/M763</f>
        <v>0.0726000000000001</v>
      </c>
      <c r="U763" s="8" t="n">
        <f aca="false">IF(AND(K763&lt;=I763,R763=0),1,0)</f>
        <v>1</v>
      </c>
      <c r="V763" s="10" t="n">
        <f aca="false">IF(Q763="No",P763,0)</f>
        <v>0</v>
      </c>
    </row>
    <row r="764" customFormat="false" ht="15" hidden="false" customHeight="false" outlineLevel="0" collapsed="false">
      <c r="A764" s="5" t="s">
        <v>898</v>
      </c>
      <c r="B764" s="5" t="s">
        <v>66</v>
      </c>
      <c r="C764" s="7" t="n">
        <v>46104</v>
      </c>
      <c r="D764" s="8" t="str">
        <f aca="false">INDEX(Dim_Supplier!$C$2:$C$21,MATCH(B764,Dim_Supplier!$A$2:$A$21,0))</f>
        <v>Packaging</v>
      </c>
      <c r="E764" s="8" t="str">
        <f aca="false">INDEX(Dim_Supplier!$B$2:$B$21,MATCH(B764,Dim_Supplier!$A$2:$A$21,0))</f>
        <v>EverGreen Wrap Industries</v>
      </c>
      <c r="F764" s="5" t="s">
        <v>137</v>
      </c>
      <c r="G764" s="5" t="s">
        <v>125</v>
      </c>
      <c r="H764" s="8" t="n">
        <f aca="false">INDEX(Lookup_Tables!$B$2:$B$5,MATCH(D764,Lookup_Tables!$A$2:$A$5,0))</f>
        <v>14</v>
      </c>
      <c r="I764" s="9" t="n">
        <f aca="false">C764+H764</f>
        <v>46118</v>
      </c>
      <c r="J764" s="5" t="n">
        <v>-1</v>
      </c>
      <c r="K764" s="9" t="n">
        <f aca="false">I764+J764</f>
        <v>46117</v>
      </c>
      <c r="L764" s="5" t="n">
        <v>885</v>
      </c>
      <c r="M764" s="10" t="n">
        <f aca="false">INDEX(Dim_Supplier!$F$2:$F$21,MATCH(B764,Dim_Supplier!$A$2:$A$21,0))</f>
        <v>6.8</v>
      </c>
      <c r="N764" s="11" t="n">
        <v>0.0729</v>
      </c>
      <c r="O764" s="10" t="n">
        <f aca="false">M764*(1+N764)</f>
        <v>7.29572</v>
      </c>
      <c r="P764" s="10" t="n">
        <f aca="false">O764*L764</f>
        <v>6456.7122</v>
      </c>
      <c r="Q764" s="5" t="s">
        <v>133</v>
      </c>
      <c r="R764" s="5" t="n">
        <v>0</v>
      </c>
      <c r="S764" s="5" t="n">
        <v>30</v>
      </c>
      <c r="T764" s="12" t="n">
        <f aca="false">(O764-M764)/M764</f>
        <v>0.0728999999999999</v>
      </c>
      <c r="U764" s="8" t="n">
        <f aca="false">IF(AND(K764&lt;=I764,R764=0),1,0)</f>
        <v>1</v>
      </c>
      <c r="V764" s="10" t="n">
        <f aca="false">IF(Q764="No",P764,0)</f>
        <v>6456.7122</v>
      </c>
    </row>
    <row r="765" customFormat="false" ht="15" hidden="false" customHeight="false" outlineLevel="0" collapsed="false">
      <c r="A765" s="5" t="s">
        <v>899</v>
      </c>
      <c r="B765" s="5" t="s">
        <v>75</v>
      </c>
      <c r="C765" s="7" t="n">
        <v>45470</v>
      </c>
      <c r="D765" s="8" t="str">
        <f aca="false">INDEX(Dim_Supplier!$C$2:$C$21,MATCH(B765,Dim_Supplier!$A$2:$A$21,0))</f>
        <v>MRO</v>
      </c>
      <c r="E765" s="8" t="str">
        <f aca="false">INDEX(Dim_Supplier!$B$2:$B$21,MATCH(B765,Dim_Supplier!$A$2:$A$21,0))</f>
        <v>Sterling Lubricants Inc.</v>
      </c>
      <c r="F765" s="5" t="s">
        <v>132</v>
      </c>
      <c r="G765" s="5" t="s">
        <v>129</v>
      </c>
      <c r="H765" s="8" t="n">
        <f aca="false">INDEX(Lookup_Tables!$B$2:$B$5,MATCH(D765,Lookup_Tables!$A$2:$A$5,0))</f>
        <v>10</v>
      </c>
      <c r="I765" s="9" t="n">
        <f aca="false">C765+H765</f>
        <v>45480</v>
      </c>
      <c r="J765" s="5" t="n">
        <v>-2</v>
      </c>
      <c r="K765" s="9" t="n">
        <f aca="false">I765+J765</f>
        <v>45478</v>
      </c>
      <c r="L765" s="5" t="n">
        <v>34</v>
      </c>
      <c r="M765" s="10" t="n">
        <f aca="false">INDEX(Dim_Supplier!$F$2:$F$21,MATCH(B765,Dim_Supplier!$A$2:$A$21,0))</f>
        <v>27.1</v>
      </c>
      <c r="N765" s="11" t="n">
        <v>0.003</v>
      </c>
      <c r="O765" s="10" t="n">
        <f aca="false">M765*(1+N765)</f>
        <v>27.1813</v>
      </c>
      <c r="P765" s="10" t="n">
        <f aca="false">O765*L765</f>
        <v>924.1642</v>
      </c>
      <c r="Q765" s="5" t="s">
        <v>113</v>
      </c>
      <c r="R765" s="5" t="n">
        <v>0</v>
      </c>
      <c r="S765" s="5" t="n">
        <v>30</v>
      </c>
      <c r="T765" s="12" t="n">
        <f aca="false">(O765-M765)/M765</f>
        <v>0.00299999999999996</v>
      </c>
      <c r="U765" s="8" t="n">
        <f aca="false">IF(AND(K765&lt;=I765,R765=0),1,0)</f>
        <v>1</v>
      </c>
      <c r="V765" s="10" t="n">
        <f aca="false">IF(Q765="No",P765,0)</f>
        <v>0</v>
      </c>
    </row>
    <row r="766" customFormat="false" ht="15" hidden="false" customHeight="false" outlineLevel="0" collapsed="false">
      <c r="A766" s="5" t="s">
        <v>900</v>
      </c>
      <c r="B766" s="5" t="s">
        <v>54</v>
      </c>
      <c r="C766" s="7" t="n">
        <v>45640</v>
      </c>
      <c r="D766" s="8" t="str">
        <f aca="false">INDEX(Dim_Supplier!$C$2:$C$21,MATCH(B766,Dim_Supplier!$A$2:$A$21,0))</f>
        <v>Raw Materials</v>
      </c>
      <c r="E766" s="8" t="str">
        <f aca="false">INDEX(Dim_Supplier!$B$2:$B$21,MATCH(B766,Dim_Supplier!$A$2:$A$21,0))</f>
        <v>Northern Resin Solutions</v>
      </c>
      <c r="F766" s="5" t="s">
        <v>139</v>
      </c>
      <c r="G766" s="5" t="s">
        <v>129</v>
      </c>
      <c r="H766" s="8" t="n">
        <f aca="false">INDEX(Lookup_Tables!$B$2:$B$5,MATCH(D766,Lookup_Tables!$A$2:$A$5,0))</f>
        <v>21</v>
      </c>
      <c r="I766" s="9" t="n">
        <f aca="false">C766+H766</f>
        <v>45661</v>
      </c>
      <c r="J766" s="5" t="n">
        <v>-1</v>
      </c>
      <c r="K766" s="9" t="n">
        <f aca="false">I766+J766</f>
        <v>45660</v>
      </c>
      <c r="L766" s="5" t="n">
        <v>1935</v>
      </c>
      <c r="M766" s="10" t="n">
        <f aca="false">INDEX(Dim_Supplier!$F$2:$F$21,MATCH(B766,Dim_Supplier!$A$2:$A$21,0))</f>
        <v>38.9</v>
      </c>
      <c r="N766" s="11" t="n">
        <v>0.0247</v>
      </c>
      <c r="O766" s="10" t="n">
        <f aca="false">M766*(1+N766)</f>
        <v>39.86083</v>
      </c>
      <c r="P766" s="10" t="n">
        <f aca="false">O766*L766</f>
        <v>77130.70605</v>
      </c>
      <c r="Q766" s="5" t="s">
        <v>113</v>
      </c>
      <c r="R766" s="5" t="n">
        <v>0</v>
      </c>
      <c r="S766" s="5" t="n">
        <v>45</v>
      </c>
      <c r="T766" s="12" t="n">
        <f aca="false">(O766-M766)/M766</f>
        <v>0.0246999999999999</v>
      </c>
      <c r="U766" s="8" t="n">
        <f aca="false">IF(AND(K766&lt;=I766,R766=0),1,0)</f>
        <v>1</v>
      </c>
      <c r="V766" s="10" t="n">
        <f aca="false">IF(Q766="No",P766,0)</f>
        <v>0</v>
      </c>
    </row>
    <row r="767" customFormat="false" ht="15" hidden="false" customHeight="false" outlineLevel="0" collapsed="false">
      <c r="A767" s="5" t="s">
        <v>901</v>
      </c>
      <c r="B767" s="5" t="s">
        <v>75</v>
      </c>
      <c r="C767" s="7" t="n">
        <v>46015</v>
      </c>
      <c r="D767" s="8" t="str">
        <f aca="false">INDEX(Dim_Supplier!$C$2:$C$21,MATCH(B767,Dim_Supplier!$A$2:$A$21,0))</f>
        <v>MRO</v>
      </c>
      <c r="E767" s="8" t="str">
        <f aca="false">INDEX(Dim_Supplier!$B$2:$B$21,MATCH(B767,Dim_Supplier!$A$2:$A$21,0))</f>
        <v>Sterling Lubricants Inc.</v>
      </c>
      <c r="F767" s="5" t="s">
        <v>127</v>
      </c>
      <c r="G767" s="5" t="s">
        <v>125</v>
      </c>
      <c r="H767" s="8" t="n">
        <f aca="false">INDEX(Lookup_Tables!$B$2:$B$5,MATCH(D767,Lookup_Tables!$A$2:$A$5,0))</f>
        <v>10</v>
      </c>
      <c r="I767" s="9" t="n">
        <f aca="false">C767+H767</f>
        <v>46025</v>
      </c>
      <c r="J767" s="5" t="n">
        <v>-1</v>
      </c>
      <c r="K767" s="9" t="n">
        <f aca="false">I767+J767</f>
        <v>46024</v>
      </c>
      <c r="L767" s="5" t="n">
        <v>198</v>
      </c>
      <c r="M767" s="10" t="n">
        <f aca="false">INDEX(Dim_Supplier!$F$2:$F$21,MATCH(B767,Dim_Supplier!$A$2:$A$21,0))</f>
        <v>27.1</v>
      </c>
      <c r="N767" s="11" t="n">
        <v>-0.0289</v>
      </c>
      <c r="O767" s="10" t="n">
        <f aca="false">M767*(1+N767)</f>
        <v>26.31681</v>
      </c>
      <c r="P767" s="10" t="n">
        <f aca="false">O767*L767</f>
        <v>5210.72838</v>
      </c>
      <c r="Q767" s="5" t="s">
        <v>113</v>
      </c>
      <c r="R767" s="5" t="n">
        <v>0</v>
      </c>
      <c r="S767" s="5" t="n">
        <v>45</v>
      </c>
      <c r="T767" s="12" t="n">
        <f aca="false">(O767-M767)/M767</f>
        <v>-0.0289</v>
      </c>
      <c r="U767" s="8" t="n">
        <f aca="false">IF(AND(K767&lt;=I767,R767=0),1,0)</f>
        <v>1</v>
      </c>
      <c r="V767" s="10" t="n">
        <f aca="false">IF(Q767="No",P767,0)</f>
        <v>0</v>
      </c>
    </row>
    <row r="768" customFormat="false" ht="15" hidden="false" customHeight="false" outlineLevel="0" collapsed="false">
      <c r="A768" s="5" t="s">
        <v>902</v>
      </c>
      <c r="B768" s="5" t="s">
        <v>79</v>
      </c>
      <c r="C768" s="7" t="n">
        <v>45396</v>
      </c>
      <c r="D768" s="8" t="str">
        <f aca="false">INDEX(Dim_Supplier!$C$2:$C$21,MATCH(B768,Dim_Supplier!$A$2:$A$21,0))</f>
        <v>Logistics</v>
      </c>
      <c r="E768" s="8" t="str">
        <f aca="false">INDEX(Dim_Supplier!$B$2:$B$21,MATCH(B768,Dim_Supplier!$A$2:$A$21,0))</f>
        <v>Niagara Freight Solutions</v>
      </c>
      <c r="F768" s="5" t="s">
        <v>185</v>
      </c>
      <c r="G768" s="5" t="s">
        <v>129</v>
      </c>
      <c r="H768" s="8" t="n">
        <f aca="false">INDEX(Lookup_Tables!$B$2:$B$5,MATCH(D768,Lookup_Tables!$A$2:$A$5,0))</f>
        <v>5</v>
      </c>
      <c r="I768" s="9" t="n">
        <f aca="false">C768+H768</f>
        <v>45401</v>
      </c>
      <c r="J768" s="5" t="n">
        <v>-3</v>
      </c>
      <c r="K768" s="9" t="n">
        <f aca="false">I768+J768</f>
        <v>45398</v>
      </c>
      <c r="L768" s="5" t="n">
        <v>8</v>
      </c>
      <c r="M768" s="10" t="n">
        <f aca="false">INDEX(Dim_Supplier!$F$2:$F$21,MATCH(B768,Dim_Supplier!$A$2:$A$21,0))</f>
        <v>340</v>
      </c>
      <c r="N768" s="11" t="n">
        <v>0.0094</v>
      </c>
      <c r="O768" s="10" t="n">
        <f aca="false">M768*(1+N768)</f>
        <v>343.196</v>
      </c>
      <c r="P768" s="10" t="n">
        <f aca="false">O768*L768</f>
        <v>2745.568</v>
      </c>
      <c r="Q768" s="5" t="s">
        <v>113</v>
      </c>
      <c r="R768" s="5" t="n">
        <v>0</v>
      </c>
      <c r="S768" s="5" t="n">
        <v>30</v>
      </c>
      <c r="T768" s="12" t="n">
        <f aca="false">(O768-M768)/M768</f>
        <v>0.00940000000000008</v>
      </c>
      <c r="U768" s="8" t="n">
        <f aca="false">IF(AND(K768&lt;=I768,R768=0),1,0)</f>
        <v>1</v>
      </c>
      <c r="V768" s="10" t="n">
        <f aca="false">IF(Q768="No",P768,0)</f>
        <v>0</v>
      </c>
    </row>
    <row r="769" customFormat="false" ht="15" hidden="false" customHeight="false" outlineLevel="0" collapsed="false">
      <c r="A769" s="5" t="s">
        <v>903</v>
      </c>
      <c r="B769" s="5" t="s">
        <v>57</v>
      </c>
      <c r="C769" s="7" t="n">
        <v>45744</v>
      </c>
      <c r="D769" s="8" t="str">
        <f aca="false">INDEX(Dim_Supplier!$C$2:$C$21,MATCH(B769,Dim_Supplier!$A$2:$A$21,0))</f>
        <v>Packaging</v>
      </c>
      <c r="E769" s="8" t="str">
        <f aca="false">INDEX(Dim_Supplier!$B$2:$B$21,MATCH(B769,Dim_Supplier!$A$2:$A$21,0))</f>
        <v>Great Lakes Packaging Co.</v>
      </c>
      <c r="F769" s="5" t="s">
        <v>122</v>
      </c>
      <c r="G769" s="5" t="s">
        <v>125</v>
      </c>
      <c r="H769" s="8" t="n">
        <f aca="false">INDEX(Lookup_Tables!$B$2:$B$5,MATCH(D769,Lookup_Tables!$A$2:$A$5,0))</f>
        <v>14</v>
      </c>
      <c r="I769" s="9" t="n">
        <f aca="false">C769+H769</f>
        <v>45758</v>
      </c>
      <c r="J769" s="5" t="n">
        <v>-3</v>
      </c>
      <c r="K769" s="9" t="n">
        <f aca="false">I769+J769</f>
        <v>45755</v>
      </c>
      <c r="L769" s="5" t="n">
        <v>3479</v>
      </c>
      <c r="M769" s="10" t="n">
        <f aca="false">INDEX(Dim_Supplier!$F$2:$F$21,MATCH(B769,Dim_Supplier!$A$2:$A$21,0))</f>
        <v>4.35</v>
      </c>
      <c r="N769" s="11" t="n">
        <v>0.0009</v>
      </c>
      <c r="O769" s="10" t="n">
        <f aca="false">M769*(1+N769)</f>
        <v>4.353915</v>
      </c>
      <c r="P769" s="10" t="n">
        <f aca="false">O769*L769</f>
        <v>15147.270285</v>
      </c>
      <c r="Q769" s="5" t="s">
        <v>113</v>
      </c>
      <c r="R769" s="5" t="n">
        <v>0</v>
      </c>
      <c r="S769" s="5" t="n">
        <v>60</v>
      </c>
      <c r="T769" s="12" t="n">
        <f aca="false">(O769-M769)/M769</f>
        <v>0.000899999999999822</v>
      </c>
      <c r="U769" s="8" t="n">
        <f aca="false">IF(AND(K769&lt;=I769,R769=0),1,0)</f>
        <v>1</v>
      </c>
      <c r="V769" s="10" t="n">
        <f aca="false">IF(Q769="No",P769,0)</f>
        <v>0</v>
      </c>
    </row>
    <row r="770" customFormat="false" ht="15" hidden="false" customHeight="false" outlineLevel="0" collapsed="false">
      <c r="A770" s="5" t="s">
        <v>904</v>
      </c>
      <c r="B770" s="5" t="s">
        <v>62</v>
      </c>
      <c r="C770" s="7" t="n">
        <v>45717</v>
      </c>
      <c r="D770" s="8" t="str">
        <f aca="false">INDEX(Dim_Supplier!$C$2:$C$21,MATCH(B770,Dim_Supplier!$A$2:$A$21,0))</f>
        <v>Packaging</v>
      </c>
      <c r="E770" s="8" t="str">
        <f aca="false">INDEX(Dim_Supplier!$B$2:$B$21,MATCH(B770,Dim_Supplier!$A$2:$A$21,0))</f>
        <v>Trillium Packaging Solutions</v>
      </c>
      <c r="F770" s="5" t="s">
        <v>117</v>
      </c>
      <c r="G770" s="5" t="s">
        <v>112</v>
      </c>
      <c r="H770" s="8" t="n">
        <f aca="false">INDEX(Lookup_Tables!$B$2:$B$5,MATCH(D770,Lookup_Tables!$A$2:$A$5,0))</f>
        <v>14</v>
      </c>
      <c r="I770" s="9" t="n">
        <f aca="false">C770+H770</f>
        <v>45731</v>
      </c>
      <c r="J770" s="5" t="n">
        <v>-2</v>
      </c>
      <c r="K770" s="9" t="n">
        <f aca="false">I770+J770</f>
        <v>45729</v>
      </c>
      <c r="L770" s="5" t="n">
        <v>2849</v>
      </c>
      <c r="M770" s="10" t="n">
        <f aca="false">INDEX(Dim_Supplier!$F$2:$F$21,MATCH(B770,Dim_Supplier!$A$2:$A$21,0))</f>
        <v>5.6</v>
      </c>
      <c r="N770" s="11" t="n">
        <v>0.0005</v>
      </c>
      <c r="O770" s="10" t="n">
        <f aca="false">M770*(1+N770)</f>
        <v>5.6028</v>
      </c>
      <c r="P770" s="10" t="n">
        <f aca="false">O770*L770</f>
        <v>15962.3772</v>
      </c>
      <c r="Q770" s="5" t="s">
        <v>113</v>
      </c>
      <c r="R770" s="5" t="n">
        <v>0</v>
      </c>
      <c r="S770" s="5" t="n">
        <v>30</v>
      </c>
      <c r="T770" s="12" t="n">
        <f aca="false">(O770-M770)/M770</f>
        <v>0.000499999999999945</v>
      </c>
      <c r="U770" s="8" t="n">
        <f aca="false">IF(AND(K770&lt;=I770,R770=0),1,0)</f>
        <v>1</v>
      </c>
      <c r="V770" s="10" t="n">
        <f aca="false">IF(Q770="No",P770,0)</f>
        <v>0</v>
      </c>
    </row>
    <row r="771" customFormat="false" ht="15" hidden="false" customHeight="false" outlineLevel="0" collapsed="false">
      <c r="A771" s="5" t="s">
        <v>905</v>
      </c>
      <c r="B771" s="5" t="s">
        <v>79</v>
      </c>
      <c r="C771" s="7" t="n">
        <v>45661</v>
      </c>
      <c r="D771" s="8" t="str">
        <f aca="false">INDEX(Dim_Supplier!$C$2:$C$21,MATCH(B771,Dim_Supplier!$A$2:$A$21,0))</f>
        <v>Logistics</v>
      </c>
      <c r="E771" s="8" t="str">
        <f aca="false">INDEX(Dim_Supplier!$B$2:$B$21,MATCH(B771,Dim_Supplier!$A$2:$A$21,0))</f>
        <v>Niagara Freight Solutions</v>
      </c>
      <c r="F771" s="5" t="s">
        <v>154</v>
      </c>
      <c r="G771" s="5" t="s">
        <v>112</v>
      </c>
      <c r="H771" s="8" t="n">
        <f aca="false">INDEX(Lookup_Tables!$B$2:$B$5,MATCH(D771,Lookup_Tables!$A$2:$A$5,0))</f>
        <v>5</v>
      </c>
      <c r="I771" s="9" t="n">
        <f aca="false">C771+H771</f>
        <v>45666</v>
      </c>
      <c r="J771" s="5" t="n">
        <v>-2</v>
      </c>
      <c r="K771" s="9" t="n">
        <f aca="false">I771+J771</f>
        <v>45664</v>
      </c>
      <c r="L771" s="5" t="n">
        <v>15</v>
      </c>
      <c r="M771" s="10" t="n">
        <f aca="false">INDEX(Dim_Supplier!$F$2:$F$21,MATCH(B771,Dim_Supplier!$A$2:$A$21,0))</f>
        <v>340</v>
      </c>
      <c r="N771" s="11" t="n">
        <v>-0.0146</v>
      </c>
      <c r="O771" s="10" t="n">
        <f aca="false">M771*(1+N771)</f>
        <v>335.036</v>
      </c>
      <c r="P771" s="10" t="n">
        <f aca="false">O771*L771</f>
        <v>5025.54</v>
      </c>
      <c r="Q771" s="5" t="s">
        <v>113</v>
      </c>
      <c r="R771" s="5" t="n">
        <v>0</v>
      </c>
      <c r="S771" s="5" t="n">
        <v>60</v>
      </c>
      <c r="T771" s="12" t="n">
        <f aca="false">(O771-M771)/M771</f>
        <v>-0.0146</v>
      </c>
      <c r="U771" s="8" t="n">
        <f aca="false">IF(AND(K771&lt;=I771,R771=0),1,0)</f>
        <v>1</v>
      </c>
      <c r="V771" s="10" t="n">
        <f aca="false">IF(Q771="No",P771,0)</f>
        <v>0</v>
      </c>
    </row>
    <row r="772" customFormat="false" ht="15" hidden="false" customHeight="false" outlineLevel="0" collapsed="false">
      <c r="A772" s="5" t="s">
        <v>906</v>
      </c>
      <c r="B772" s="5" t="s">
        <v>86</v>
      </c>
      <c r="C772" s="7" t="n">
        <v>46164</v>
      </c>
      <c r="D772" s="8" t="str">
        <f aca="false">INDEX(Dim_Supplier!$C$2:$C$21,MATCH(B772,Dim_Supplier!$A$2:$A$21,0))</f>
        <v>Logistics</v>
      </c>
      <c r="E772" s="8" t="str">
        <f aca="false">INDEX(Dim_Supplier!$B$2:$B$21,MATCH(B772,Dim_Supplier!$A$2:$A$21,0))</f>
        <v>Blue Water Customs Brokerage</v>
      </c>
      <c r="F772" s="5" t="s">
        <v>185</v>
      </c>
      <c r="G772" s="5" t="s">
        <v>120</v>
      </c>
      <c r="H772" s="8" t="n">
        <f aca="false">INDEX(Lookup_Tables!$B$2:$B$5,MATCH(D772,Lookup_Tables!$A$2:$A$5,0))</f>
        <v>5</v>
      </c>
      <c r="I772" s="9" t="n">
        <f aca="false">C772+H772</f>
        <v>46169</v>
      </c>
      <c r="J772" s="5" t="n">
        <v>0</v>
      </c>
      <c r="K772" s="9" t="n">
        <f aca="false">I772+J772</f>
        <v>46169</v>
      </c>
      <c r="L772" s="5" t="n">
        <v>50</v>
      </c>
      <c r="M772" s="10" t="n">
        <f aca="false">INDEX(Dim_Supplier!$F$2:$F$21,MATCH(B772,Dim_Supplier!$A$2:$A$21,0))</f>
        <v>175</v>
      </c>
      <c r="N772" s="11" t="n">
        <v>0.0025</v>
      </c>
      <c r="O772" s="10" t="n">
        <f aca="false">M772*(1+N772)</f>
        <v>175.4375</v>
      </c>
      <c r="P772" s="10" t="n">
        <f aca="false">O772*L772</f>
        <v>8771.875</v>
      </c>
      <c r="Q772" s="5" t="s">
        <v>113</v>
      </c>
      <c r="R772" s="5" t="n">
        <v>0</v>
      </c>
      <c r="S772" s="5" t="n">
        <v>60</v>
      </c>
      <c r="T772" s="12" t="n">
        <f aca="false">(O772-M772)/M772</f>
        <v>0.0025</v>
      </c>
      <c r="U772" s="8" t="n">
        <f aca="false">IF(AND(K772&lt;=I772,R772=0),1,0)</f>
        <v>1</v>
      </c>
      <c r="V772" s="10" t="n">
        <f aca="false">IF(Q772="No",P772,0)</f>
        <v>0</v>
      </c>
    </row>
    <row r="773" customFormat="false" ht="15" hidden="false" customHeight="false" outlineLevel="0" collapsed="false">
      <c r="A773" s="5" t="s">
        <v>907</v>
      </c>
      <c r="B773" s="5" t="s">
        <v>41</v>
      </c>
      <c r="C773" s="7" t="n">
        <v>45614</v>
      </c>
      <c r="D773" s="8" t="str">
        <f aca="false">INDEX(Dim_Supplier!$C$2:$C$21,MATCH(B773,Dim_Supplier!$A$2:$A$21,0))</f>
        <v>Raw Materials</v>
      </c>
      <c r="E773" s="8" t="str">
        <f aca="false">INDEX(Dim_Supplier!$B$2:$B$21,MATCH(B773,Dim_Supplier!$A$2:$A$21,0))</f>
        <v>Ontario Steel Partners</v>
      </c>
      <c r="F773" s="5" t="s">
        <v>142</v>
      </c>
      <c r="G773" s="5" t="s">
        <v>112</v>
      </c>
      <c r="H773" s="8" t="n">
        <f aca="false">INDEX(Lookup_Tables!$B$2:$B$5,MATCH(D773,Lookup_Tables!$A$2:$A$5,0))</f>
        <v>21</v>
      </c>
      <c r="I773" s="9" t="n">
        <f aca="false">C773+H773</f>
        <v>45635</v>
      </c>
      <c r="J773" s="5" t="n">
        <v>-4</v>
      </c>
      <c r="K773" s="9" t="n">
        <f aca="false">I773+J773</f>
        <v>45631</v>
      </c>
      <c r="L773" s="5" t="n">
        <v>175</v>
      </c>
      <c r="M773" s="10" t="n">
        <f aca="false">INDEX(Dim_Supplier!$F$2:$F$21,MATCH(B773,Dim_Supplier!$A$2:$A$21,0))</f>
        <v>58</v>
      </c>
      <c r="N773" s="11" t="n">
        <v>0.018</v>
      </c>
      <c r="O773" s="10" t="n">
        <f aca="false">M773*(1+N773)</f>
        <v>59.044</v>
      </c>
      <c r="P773" s="10" t="n">
        <f aca="false">O773*L773</f>
        <v>10332.7</v>
      </c>
      <c r="Q773" s="5" t="s">
        <v>113</v>
      </c>
      <c r="R773" s="5" t="n">
        <v>0</v>
      </c>
      <c r="S773" s="5" t="n">
        <v>60</v>
      </c>
      <c r="T773" s="12" t="n">
        <f aca="false">(O773-M773)/M773</f>
        <v>0.0180000000000001</v>
      </c>
      <c r="U773" s="8" t="n">
        <f aca="false">IF(AND(K773&lt;=I773,R773=0),1,0)</f>
        <v>1</v>
      </c>
      <c r="V773" s="10" t="n">
        <f aca="false">IF(Q773="No",P773,0)</f>
        <v>0</v>
      </c>
    </row>
    <row r="774" customFormat="false" ht="15" hidden="false" customHeight="false" outlineLevel="0" collapsed="false">
      <c r="A774" s="5" t="s">
        <v>908</v>
      </c>
      <c r="B774" s="5" t="s">
        <v>41</v>
      </c>
      <c r="C774" s="7" t="n">
        <v>45938</v>
      </c>
      <c r="D774" s="8" t="str">
        <f aca="false">INDEX(Dim_Supplier!$C$2:$C$21,MATCH(B774,Dim_Supplier!$A$2:$A$21,0))</f>
        <v>Raw Materials</v>
      </c>
      <c r="E774" s="8" t="str">
        <f aca="false">INDEX(Dim_Supplier!$B$2:$B$21,MATCH(B774,Dim_Supplier!$A$2:$A$21,0))</f>
        <v>Ontario Steel Partners</v>
      </c>
      <c r="F774" s="5" t="s">
        <v>144</v>
      </c>
      <c r="G774" s="5" t="s">
        <v>120</v>
      </c>
      <c r="H774" s="8" t="n">
        <f aca="false">INDEX(Lookup_Tables!$B$2:$B$5,MATCH(D774,Lookup_Tables!$A$2:$A$5,0))</f>
        <v>21</v>
      </c>
      <c r="I774" s="9" t="n">
        <f aca="false">C774+H774</f>
        <v>45959</v>
      </c>
      <c r="J774" s="5" t="n">
        <v>-4</v>
      </c>
      <c r="K774" s="9" t="n">
        <f aca="false">I774+J774</f>
        <v>45955</v>
      </c>
      <c r="L774" s="5" t="n">
        <v>1535</v>
      </c>
      <c r="M774" s="10" t="n">
        <f aca="false">INDEX(Dim_Supplier!$F$2:$F$21,MATCH(B774,Dim_Supplier!$A$2:$A$21,0))</f>
        <v>58</v>
      </c>
      <c r="N774" s="11" t="n">
        <v>0.0302</v>
      </c>
      <c r="O774" s="10" t="n">
        <f aca="false">M774*(1+N774)</f>
        <v>59.7516</v>
      </c>
      <c r="P774" s="10" t="n">
        <f aca="false">O774*L774</f>
        <v>91718.706</v>
      </c>
      <c r="Q774" s="5" t="s">
        <v>113</v>
      </c>
      <c r="R774" s="5" t="n">
        <v>0</v>
      </c>
      <c r="S774" s="5" t="n">
        <v>45</v>
      </c>
      <c r="T774" s="12" t="n">
        <f aca="false">(O774-M774)/M774</f>
        <v>0.0302000000000001</v>
      </c>
      <c r="U774" s="8" t="n">
        <f aca="false">IF(AND(K774&lt;=I774,R774=0),1,0)</f>
        <v>1</v>
      </c>
      <c r="V774" s="10" t="n">
        <f aca="false">IF(Q774="No",P774,0)</f>
        <v>0</v>
      </c>
    </row>
    <row r="775" customFormat="false" ht="15" hidden="false" customHeight="false" outlineLevel="0" collapsed="false">
      <c r="A775" s="5" t="s">
        <v>909</v>
      </c>
      <c r="B775" s="5" t="s">
        <v>86</v>
      </c>
      <c r="C775" s="7" t="n">
        <v>45300</v>
      </c>
      <c r="D775" s="8" t="str">
        <f aca="false">INDEX(Dim_Supplier!$C$2:$C$21,MATCH(B775,Dim_Supplier!$A$2:$A$21,0))</f>
        <v>Logistics</v>
      </c>
      <c r="E775" s="8" t="str">
        <f aca="false">INDEX(Dim_Supplier!$B$2:$B$21,MATCH(B775,Dim_Supplier!$A$2:$A$21,0))</f>
        <v>Blue Water Customs Brokerage</v>
      </c>
      <c r="F775" s="5" t="s">
        <v>146</v>
      </c>
      <c r="G775" s="5" t="s">
        <v>112</v>
      </c>
      <c r="H775" s="8" t="n">
        <f aca="false">INDEX(Lookup_Tables!$B$2:$B$5,MATCH(D775,Lookup_Tables!$A$2:$A$5,0))</f>
        <v>5</v>
      </c>
      <c r="I775" s="9" t="n">
        <f aca="false">C775+H775</f>
        <v>45305</v>
      </c>
      <c r="J775" s="5" t="n">
        <v>-3</v>
      </c>
      <c r="K775" s="9" t="n">
        <f aca="false">I775+J775</f>
        <v>45302</v>
      </c>
      <c r="L775" s="5" t="n">
        <v>14</v>
      </c>
      <c r="M775" s="10" t="n">
        <f aca="false">INDEX(Dim_Supplier!$F$2:$F$21,MATCH(B775,Dim_Supplier!$A$2:$A$21,0))</f>
        <v>175</v>
      </c>
      <c r="N775" s="11" t="n">
        <v>-0.0107</v>
      </c>
      <c r="O775" s="10" t="n">
        <f aca="false">M775*(1+N775)</f>
        <v>173.1275</v>
      </c>
      <c r="P775" s="10" t="n">
        <f aca="false">O775*L775</f>
        <v>2423.785</v>
      </c>
      <c r="Q775" s="5" t="s">
        <v>113</v>
      </c>
      <c r="R775" s="5" t="n">
        <v>0</v>
      </c>
      <c r="S775" s="5" t="n">
        <v>45</v>
      </c>
      <c r="T775" s="12" t="n">
        <f aca="false">(O775-M775)/M775</f>
        <v>-0.0107</v>
      </c>
      <c r="U775" s="8" t="n">
        <f aca="false">IF(AND(K775&lt;=I775,R775=0),1,0)</f>
        <v>1</v>
      </c>
      <c r="V775" s="10" t="n">
        <f aca="false">IF(Q775="No",P775,0)</f>
        <v>0</v>
      </c>
    </row>
    <row r="776" customFormat="false" ht="15" hidden="false" customHeight="false" outlineLevel="0" collapsed="false">
      <c r="A776" s="5" t="s">
        <v>910</v>
      </c>
      <c r="B776" s="5" t="s">
        <v>62</v>
      </c>
      <c r="C776" s="7" t="n">
        <v>45645</v>
      </c>
      <c r="D776" s="8" t="str">
        <f aca="false">INDEX(Dim_Supplier!$C$2:$C$21,MATCH(B776,Dim_Supplier!$A$2:$A$21,0))</f>
        <v>Packaging</v>
      </c>
      <c r="E776" s="8" t="str">
        <f aca="false">INDEX(Dim_Supplier!$B$2:$B$21,MATCH(B776,Dim_Supplier!$A$2:$A$21,0))</f>
        <v>Trillium Packaging Solutions</v>
      </c>
      <c r="F776" s="5" t="s">
        <v>137</v>
      </c>
      <c r="G776" s="5" t="s">
        <v>112</v>
      </c>
      <c r="H776" s="8" t="n">
        <f aca="false">INDEX(Lookup_Tables!$B$2:$B$5,MATCH(D776,Lookup_Tables!$A$2:$A$5,0))</f>
        <v>14</v>
      </c>
      <c r="I776" s="9" t="n">
        <f aca="false">C776+H776</f>
        <v>45659</v>
      </c>
      <c r="J776" s="5" t="n">
        <v>-2</v>
      </c>
      <c r="K776" s="9" t="n">
        <f aca="false">I776+J776</f>
        <v>45657</v>
      </c>
      <c r="L776" s="5" t="n">
        <v>4902</v>
      </c>
      <c r="M776" s="10" t="n">
        <f aca="false">INDEX(Dim_Supplier!$F$2:$F$21,MATCH(B776,Dim_Supplier!$A$2:$A$21,0))</f>
        <v>5.6</v>
      </c>
      <c r="N776" s="11" t="n">
        <v>0.0143</v>
      </c>
      <c r="O776" s="10" t="n">
        <f aca="false">M776*(1+N776)</f>
        <v>5.68008</v>
      </c>
      <c r="P776" s="10" t="n">
        <f aca="false">O776*L776</f>
        <v>27843.75216</v>
      </c>
      <c r="Q776" s="5" t="s">
        <v>113</v>
      </c>
      <c r="R776" s="5" t="n">
        <v>0</v>
      </c>
      <c r="S776" s="5" t="n">
        <v>45</v>
      </c>
      <c r="T776" s="12" t="n">
        <f aca="false">(O776-M776)/M776</f>
        <v>0.0142999999999999</v>
      </c>
      <c r="U776" s="8" t="n">
        <f aca="false">IF(AND(K776&lt;=I776,R776=0),1,0)</f>
        <v>1</v>
      </c>
      <c r="V776" s="10" t="n">
        <f aca="false">IF(Q776="No",P776,0)</f>
        <v>0</v>
      </c>
    </row>
    <row r="777" customFormat="false" ht="15" hidden="false" customHeight="false" outlineLevel="0" collapsed="false">
      <c r="A777" s="5" t="s">
        <v>911</v>
      </c>
      <c r="B777" s="5" t="s">
        <v>46</v>
      </c>
      <c r="C777" s="7" t="n">
        <v>45845</v>
      </c>
      <c r="D777" s="8" t="str">
        <f aca="false">INDEX(Dim_Supplier!$C$2:$C$21,MATCH(B777,Dim_Supplier!$A$2:$A$21,0))</f>
        <v>Raw Materials</v>
      </c>
      <c r="E777" s="8" t="str">
        <f aca="false">INDEX(Dim_Supplier!$B$2:$B$21,MATCH(B777,Dim_Supplier!$A$2:$A$21,0))</f>
        <v>Niagara Alloy Supply</v>
      </c>
      <c r="F777" s="5" t="s">
        <v>139</v>
      </c>
      <c r="G777" s="5" t="s">
        <v>112</v>
      </c>
      <c r="H777" s="8" t="n">
        <f aca="false">INDEX(Lookup_Tables!$B$2:$B$5,MATCH(D777,Lookup_Tables!$A$2:$A$5,0))</f>
        <v>21</v>
      </c>
      <c r="I777" s="9" t="n">
        <f aca="false">C777+H777</f>
        <v>45866</v>
      </c>
      <c r="J777" s="5" t="n">
        <v>1</v>
      </c>
      <c r="K777" s="9" t="n">
        <f aca="false">I777+J777</f>
        <v>45867</v>
      </c>
      <c r="L777" s="5" t="n">
        <v>1167</v>
      </c>
      <c r="M777" s="10" t="n">
        <f aca="false">INDEX(Dim_Supplier!$F$2:$F$21,MATCH(B777,Dim_Supplier!$A$2:$A$21,0))</f>
        <v>46.5</v>
      </c>
      <c r="N777" s="11" t="n">
        <v>0.044</v>
      </c>
      <c r="O777" s="10" t="n">
        <f aca="false">M777*(1+N777)</f>
        <v>48.546</v>
      </c>
      <c r="P777" s="10" t="n">
        <f aca="false">O777*L777</f>
        <v>56653.182</v>
      </c>
      <c r="Q777" s="5" t="s">
        <v>113</v>
      </c>
      <c r="R777" s="5" t="n">
        <v>0</v>
      </c>
      <c r="S777" s="5" t="n">
        <v>30</v>
      </c>
      <c r="T777" s="12" t="n">
        <f aca="false">(O777-M777)/M777</f>
        <v>0.044</v>
      </c>
      <c r="U777" s="8" t="n">
        <f aca="false">IF(AND(K777&lt;=I777,R777=0),1,0)</f>
        <v>0</v>
      </c>
      <c r="V777" s="10" t="n">
        <f aca="false">IF(Q777="No",P777,0)</f>
        <v>0</v>
      </c>
    </row>
    <row r="778" customFormat="false" ht="15" hidden="false" customHeight="false" outlineLevel="0" collapsed="false">
      <c r="A778" s="5" t="s">
        <v>912</v>
      </c>
      <c r="B778" s="5" t="s">
        <v>84</v>
      </c>
      <c r="C778" s="7" t="n">
        <v>45844</v>
      </c>
      <c r="D778" s="8" t="str">
        <f aca="false">INDEX(Dim_Supplier!$C$2:$C$21,MATCH(B778,Dim_Supplier!$A$2:$A$21,0))</f>
        <v>Logistics</v>
      </c>
      <c r="E778" s="8" t="str">
        <f aca="false">INDEX(Dim_Supplier!$B$2:$B$21,MATCH(B778,Dim_Supplier!$A$2:$A$21,0))</f>
        <v>Trans-Canada Carriers</v>
      </c>
      <c r="F778" s="5" t="s">
        <v>185</v>
      </c>
      <c r="G778" s="5" t="s">
        <v>120</v>
      </c>
      <c r="H778" s="8" t="n">
        <f aca="false">INDEX(Lookup_Tables!$B$2:$B$5,MATCH(D778,Lookup_Tables!$A$2:$A$5,0))</f>
        <v>5</v>
      </c>
      <c r="I778" s="9" t="n">
        <f aca="false">C778+H778</f>
        <v>45849</v>
      </c>
      <c r="J778" s="5" t="n">
        <v>4</v>
      </c>
      <c r="K778" s="9" t="n">
        <f aca="false">I778+J778</f>
        <v>45853</v>
      </c>
      <c r="L778" s="5" t="n">
        <v>47</v>
      </c>
      <c r="M778" s="10" t="n">
        <f aca="false">INDEX(Dim_Supplier!$F$2:$F$21,MATCH(B778,Dim_Supplier!$A$2:$A$21,0))</f>
        <v>210</v>
      </c>
      <c r="N778" s="11" t="n">
        <v>0.1645</v>
      </c>
      <c r="O778" s="10" t="n">
        <f aca="false">M778*(1+N778)</f>
        <v>244.545</v>
      </c>
      <c r="P778" s="10" t="n">
        <f aca="false">O778*L778</f>
        <v>11493.615</v>
      </c>
      <c r="Q778" s="5" t="s">
        <v>113</v>
      </c>
      <c r="R778" s="5" t="n">
        <v>0</v>
      </c>
      <c r="S778" s="5" t="n">
        <v>45</v>
      </c>
      <c r="T778" s="12" t="n">
        <f aca="false">(O778-M778)/M778</f>
        <v>0.1645</v>
      </c>
      <c r="U778" s="8" t="n">
        <f aca="false">IF(AND(K778&lt;=I778,R778=0),1,0)</f>
        <v>0</v>
      </c>
      <c r="V778" s="10" t="n">
        <f aca="false">IF(Q778="No",P778,0)</f>
        <v>0</v>
      </c>
    </row>
    <row r="779" customFormat="false" ht="15" hidden="false" customHeight="false" outlineLevel="0" collapsed="false">
      <c r="A779" s="5" t="s">
        <v>913</v>
      </c>
      <c r="B779" s="5" t="s">
        <v>82</v>
      </c>
      <c r="C779" s="7" t="n">
        <v>45557</v>
      </c>
      <c r="D779" s="8" t="str">
        <f aca="false">INDEX(Dim_Supplier!$C$2:$C$21,MATCH(B779,Dim_Supplier!$A$2:$A$21,0))</f>
        <v>Logistics</v>
      </c>
      <c r="E779" s="8" t="str">
        <f aca="false">INDEX(Dim_Supplier!$B$2:$B$21,MATCH(B779,Dim_Supplier!$A$2:$A$21,0))</f>
        <v>Maple Route Logistics</v>
      </c>
      <c r="F779" s="5" t="s">
        <v>185</v>
      </c>
      <c r="G779" s="5" t="s">
        <v>120</v>
      </c>
      <c r="H779" s="8" t="n">
        <f aca="false">INDEX(Lookup_Tables!$B$2:$B$5,MATCH(D779,Lookup_Tables!$A$2:$A$5,0))</f>
        <v>5</v>
      </c>
      <c r="I779" s="9" t="n">
        <f aca="false">C779+H779</f>
        <v>45562</v>
      </c>
      <c r="J779" s="5" t="n">
        <v>1</v>
      </c>
      <c r="K779" s="9" t="n">
        <f aca="false">I779+J779</f>
        <v>45563</v>
      </c>
      <c r="L779" s="5" t="n">
        <v>8</v>
      </c>
      <c r="M779" s="10" t="n">
        <f aca="false">INDEX(Dim_Supplier!$F$2:$F$21,MATCH(B779,Dim_Supplier!$A$2:$A$21,0))</f>
        <v>285</v>
      </c>
      <c r="N779" s="11" t="n">
        <v>0.0536</v>
      </c>
      <c r="O779" s="10" t="n">
        <f aca="false">M779*(1+N779)</f>
        <v>300.276</v>
      </c>
      <c r="P779" s="10" t="n">
        <f aca="false">O779*L779</f>
        <v>2402.208</v>
      </c>
      <c r="Q779" s="5" t="s">
        <v>113</v>
      </c>
      <c r="R779" s="5" t="n">
        <v>0</v>
      </c>
      <c r="S779" s="5" t="n">
        <v>30</v>
      </c>
      <c r="T779" s="12" t="n">
        <f aca="false">(O779-M779)/M779</f>
        <v>0.0536</v>
      </c>
      <c r="U779" s="8" t="n">
        <f aca="false">IF(AND(K779&lt;=I779,R779=0),1,0)</f>
        <v>0</v>
      </c>
      <c r="V779" s="10" t="n">
        <f aca="false">IF(Q779="No",P779,0)</f>
        <v>0</v>
      </c>
    </row>
    <row r="780" customFormat="false" ht="15" hidden="false" customHeight="false" outlineLevel="0" collapsed="false">
      <c r="A780" s="5" t="s">
        <v>914</v>
      </c>
      <c r="B780" s="5" t="s">
        <v>57</v>
      </c>
      <c r="C780" s="7" t="n">
        <v>45533</v>
      </c>
      <c r="D780" s="8" t="str">
        <f aca="false">INDEX(Dim_Supplier!$C$2:$C$21,MATCH(B780,Dim_Supplier!$A$2:$A$21,0))</f>
        <v>Packaging</v>
      </c>
      <c r="E780" s="8" t="str">
        <f aca="false">INDEX(Dim_Supplier!$B$2:$B$21,MATCH(B780,Dim_Supplier!$A$2:$A$21,0))</f>
        <v>Great Lakes Packaging Co.</v>
      </c>
      <c r="F780" s="5" t="s">
        <v>122</v>
      </c>
      <c r="G780" s="5" t="s">
        <v>112</v>
      </c>
      <c r="H780" s="8" t="n">
        <f aca="false">INDEX(Lookup_Tables!$B$2:$B$5,MATCH(D780,Lookup_Tables!$A$2:$A$5,0))</f>
        <v>14</v>
      </c>
      <c r="I780" s="9" t="n">
        <f aca="false">C780+H780</f>
        <v>45547</v>
      </c>
      <c r="J780" s="5" t="n">
        <v>-4</v>
      </c>
      <c r="K780" s="9" t="n">
        <f aca="false">I780+J780</f>
        <v>45543</v>
      </c>
      <c r="L780" s="5" t="n">
        <v>1646</v>
      </c>
      <c r="M780" s="10" t="n">
        <f aca="false">INDEX(Dim_Supplier!$F$2:$F$21,MATCH(B780,Dim_Supplier!$A$2:$A$21,0))</f>
        <v>4.35</v>
      </c>
      <c r="N780" s="11" t="n">
        <v>0.0232</v>
      </c>
      <c r="O780" s="10" t="n">
        <f aca="false">M780*(1+N780)</f>
        <v>4.45092</v>
      </c>
      <c r="P780" s="10" t="n">
        <f aca="false">O780*L780</f>
        <v>7326.21432</v>
      </c>
      <c r="Q780" s="5" t="s">
        <v>113</v>
      </c>
      <c r="R780" s="5" t="n">
        <v>0</v>
      </c>
      <c r="S780" s="5" t="n">
        <v>30</v>
      </c>
      <c r="T780" s="12" t="n">
        <f aca="false">(O780-M780)/M780</f>
        <v>0.0232000000000001</v>
      </c>
      <c r="U780" s="8" t="n">
        <f aca="false">IF(AND(K780&lt;=I780,R780=0),1,0)</f>
        <v>1</v>
      </c>
      <c r="V780" s="10" t="n">
        <f aca="false">IF(Q780="No",P780,0)</f>
        <v>0</v>
      </c>
    </row>
    <row r="781" customFormat="false" ht="15" hidden="false" customHeight="false" outlineLevel="0" collapsed="false">
      <c r="A781" s="5" t="s">
        <v>915</v>
      </c>
      <c r="B781" s="5" t="s">
        <v>57</v>
      </c>
      <c r="C781" s="7" t="n">
        <v>45888</v>
      </c>
      <c r="D781" s="8" t="str">
        <f aca="false">INDEX(Dim_Supplier!$C$2:$C$21,MATCH(B781,Dim_Supplier!$A$2:$A$21,0))</f>
        <v>Packaging</v>
      </c>
      <c r="E781" s="8" t="str">
        <f aca="false">INDEX(Dim_Supplier!$B$2:$B$21,MATCH(B781,Dim_Supplier!$A$2:$A$21,0))</f>
        <v>Great Lakes Packaging Co.</v>
      </c>
      <c r="F781" s="5" t="s">
        <v>158</v>
      </c>
      <c r="G781" s="5" t="s">
        <v>120</v>
      </c>
      <c r="H781" s="8" t="n">
        <f aca="false">INDEX(Lookup_Tables!$B$2:$B$5,MATCH(D781,Lookup_Tables!$A$2:$A$5,0))</f>
        <v>14</v>
      </c>
      <c r="I781" s="9" t="n">
        <f aca="false">C781+H781</f>
        <v>45902</v>
      </c>
      <c r="J781" s="5" t="n">
        <v>-4</v>
      </c>
      <c r="K781" s="9" t="n">
        <f aca="false">I781+J781</f>
        <v>45898</v>
      </c>
      <c r="L781" s="5" t="n">
        <v>3987</v>
      </c>
      <c r="M781" s="10" t="n">
        <f aca="false">INDEX(Dim_Supplier!$F$2:$F$21,MATCH(B781,Dim_Supplier!$A$2:$A$21,0))</f>
        <v>4.35</v>
      </c>
      <c r="N781" s="11" t="n">
        <v>0.0132</v>
      </c>
      <c r="O781" s="10" t="n">
        <f aca="false">M781*(1+N781)</f>
        <v>4.40742</v>
      </c>
      <c r="P781" s="10" t="n">
        <f aca="false">O781*L781</f>
        <v>17572.38354</v>
      </c>
      <c r="Q781" s="5" t="s">
        <v>113</v>
      </c>
      <c r="R781" s="5" t="n">
        <v>0</v>
      </c>
      <c r="S781" s="5" t="n">
        <v>30</v>
      </c>
      <c r="T781" s="12" t="n">
        <f aca="false">(O781-M781)/M781</f>
        <v>0.0132000000000001</v>
      </c>
      <c r="U781" s="8" t="n">
        <f aca="false">IF(AND(K781&lt;=I781,R781=0),1,0)</f>
        <v>1</v>
      </c>
      <c r="V781" s="10" t="n">
        <f aca="false">IF(Q781="No",P781,0)</f>
        <v>0</v>
      </c>
    </row>
    <row r="782" customFormat="false" ht="15" hidden="false" customHeight="false" outlineLevel="0" collapsed="false">
      <c r="A782" s="5" t="s">
        <v>916</v>
      </c>
      <c r="B782" s="5" t="s">
        <v>84</v>
      </c>
      <c r="C782" s="7" t="n">
        <v>45779</v>
      </c>
      <c r="D782" s="8" t="str">
        <f aca="false">INDEX(Dim_Supplier!$C$2:$C$21,MATCH(B782,Dim_Supplier!$A$2:$A$21,0))</f>
        <v>Logistics</v>
      </c>
      <c r="E782" s="8" t="str">
        <f aca="false">INDEX(Dim_Supplier!$B$2:$B$21,MATCH(B782,Dim_Supplier!$A$2:$A$21,0))</f>
        <v>Trans-Canada Carriers</v>
      </c>
      <c r="F782" s="5" t="s">
        <v>154</v>
      </c>
      <c r="G782" s="5" t="s">
        <v>125</v>
      </c>
      <c r="H782" s="8" t="n">
        <f aca="false">INDEX(Lookup_Tables!$B$2:$B$5,MATCH(D782,Lookup_Tables!$A$2:$A$5,0))</f>
        <v>5</v>
      </c>
      <c r="I782" s="9" t="n">
        <f aca="false">C782+H782</f>
        <v>45784</v>
      </c>
      <c r="J782" s="5" t="n">
        <v>7</v>
      </c>
      <c r="K782" s="9" t="n">
        <f aca="false">I782+J782</f>
        <v>45791</v>
      </c>
      <c r="L782" s="5" t="n">
        <v>26</v>
      </c>
      <c r="M782" s="10" t="n">
        <f aca="false">INDEX(Dim_Supplier!$F$2:$F$21,MATCH(B782,Dim_Supplier!$A$2:$A$21,0))</f>
        <v>210</v>
      </c>
      <c r="N782" s="11" t="n">
        <v>0.1442</v>
      </c>
      <c r="O782" s="10" t="n">
        <f aca="false">M782*(1+N782)</f>
        <v>240.282</v>
      </c>
      <c r="P782" s="10" t="n">
        <f aca="false">O782*L782</f>
        <v>6247.332</v>
      </c>
      <c r="Q782" s="5" t="s">
        <v>133</v>
      </c>
      <c r="R782" s="5" t="n">
        <v>0</v>
      </c>
      <c r="S782" s="5" t="n">
        <v>30</v>
      </c>
      <c r="T782" s="12" t="n">
        <f aca="false">(O782-M782)/M782</f>
        <v>0.1442</v>
      </c>
      <c r="U782" s="8" t="n">
        <f aca="false">IF(AND(K782&lt;=I782,R782=0),1,0)</f>
        <v>0</v>
      </c>
      <c r="V782" s="10" t="n">
        <f aca="false">IF(Q782="No",P782,0)</f>
        <v>6247.332</v>
      </c>
    </row>
    <row r="783" customFormat="false" ht="15" hidden="false" customHeight="false" outlineLevel="0" collapsed="false">
      <c r="A783" s="5" t="s">
        <v>917</v>
      </c>
      <c r="B783" s="5" t="s">
        <v>54</v>
      </c>
      <c r="C783" s="7" t="n">
        <v>45802</v>
      </c>
      <c r="D783" s="8" t="str">
        <f aca="false">INDEX(Dim_Supplier!$C$2:$C$21,MATCH(B783,Dim_Supplier!$A$2:$A$21,0))</f>
        <v>Raw Materials</v>
      </c>
      <c r="E783" s="8" t="str">
        <f aca="false">INDEX(Dim_Supplier!$B$2:$B$21,MATCH(B783,Dim_Supplier!$A$2:$A$21,0))</f>
        <v>Northern Resin Solutions</v>
      </c>
      <c r="F783" s="5" t="s">
        <v>142</v>
      </c>
      <c r="G783" s="5" t="s">
        <v>125</v>
      </c>
      <c r="H783" s="8" t="n">
        <f aca="false">INDEX(Lookup_Tables!$B$2:$B$5,MATCH(D783,Lookup_Tables!$A$2:$A$5,0))</f>
        <v>21</v>
      </c>
      <c r="I783" s="9" t="n">
        <f aca="false">C783+H783</f>
        <v>45823</v>
      </c>
      <c r="J783" s="5" t="n">
        <v>-3</v>
      </c>
      <c r="K783" s="9" t="n">
        <f aca="false">I783+J783</f>
        <v>45820</v>
      </c>
      <c r="L783" s="5" t="n">
        <v>1598</v>
      </c>
      <c r="M783" s="10" t="n">
        <f aca="false">INDEX(Dim_Supplier!$F$2:$F$21,MATCH(B783,Dim_Supplier!$A$2:$A$21,0))</f>
        <v>38.9</v>
      </c>
      <c r="N783" s="11" t="n">
        <v>0.0049</v>
      </c>
      <c r="O783" s="10" t="n">
        <f aca="false">M783*(1+N783)</f>
        <v>39.09061</v>
      </c>
      <c r="P783" s="10" t="n">
        <f aca="false">O783*L783</f>
        <v>62466.79478</v>
      </c>
      <c r="Q783" s="5" t="s">
        <v>133</v>
      </c>
      <c r="R783" s="5" t="n">
        <v>0</v>
      </c>
      <c r="S783" s="5" t="n">
        <v>30</v>
      </c>
      <c r="T783" s="12" t="n">
        <f aca="false">(O783-M783)/M783</f>
        <v>0.00489999999999999</v>
      </c>
      <c r="U783" s="8" t="n">
        <f aca="false">IF(AND(K783&lt;=I783,R783=0),1,0)</f>
        <v>1</v>
      </c>
      <c r="V783" s="10" t="n">
        <f aca="false">IF(Q783="No",P783,0)</f>
        <v>62466.79478</v>
      </c>
    </row>
    <row r="784" customFormat="false" ht="15" hidden="false" customHeight="false" outlineLevel="0" collapsed="false">
      <c r="A784" s="5" t="s">
        <v>918</v>
      </c>
      <c r="B784" s="5" t="s">
        <v>46</v>
      </c>
      <c r="C784" s="7" t="n">
        <v>46020</v>
      </c>
      <c r="D784" s="8" t="str">
        <f aca="false">INDEX(Dim_Supplier!$C$2:$C$21,MATCH(B784,Dim_Supplier!$A$2:$A$21,0))</f>
        <v>Raw Materials</v>
      </c>
      <c r="E784" s="8" t="str">
        <f aca="false">INDEX(Dim_Supplier!$B$2:$B$21,MATCH(B784,Dim_Supplier!$A$2:$A$21,0))</f>
        <v>Niagara Alloy Supply</v>
      </c>
      <c r="F784" s="5" t="s">
        <v>142</v>
      </c>
      <c r="G784" s="5" t="s">
        <v>112</v>
      </c>
      <c r="H784" s="8" t="n">
        <f aca="false">INDEX(Lookup_Tables!$B$2:$B$5,MATCH(D784,Lookup_Tables!$A$2:$A$5,0))</f>
        <v>21</v>
      </c>
      <c r="I784" s="9" t="n">
        <f aca="false">C784+H784</f>
        <v>46041</v>
      </c>
      <c r="J784" s="5" t="n">
        <v>1</v>
      </c>
      <c r="K784" s="9" t="n">
        <f aca="false">I784+J784</f>
        <v>46042</v>
      </c>
      <c r="L784" s="5" t="n">
        <v>1183</v>
      </c>
      <c r="M784" s="10" t="n">
        <f aca="false">INDEX(Dim_Supplier!$F$2:$F$21,MATCH(B784,Dim_Supplier!$A$2:$A$21,0))</f>
        <v>46.5</v>
      </c>
      <c r="N784" s="11" t="n">
        <v>0.0252</v>
      </c>
      <c r="O784" s="10" t="n">
        <f aca="false">M784*(1+N784)</f>
        <v>47.6718</v>
      </c>
      <c r="P784" s="10" t="n">
        <f aca="false">O784*L784</f>
        <v>56395.7394</v>
      </c>
      <c r="Q784" s="5" t="s">
        <v>113</v>
      </c>
      <c r="R784" s="5" t="n">
        <v>0</v>
      </c>
      <c r="S784" s="5" t="n">
        <v>30</v>
      </c>
      <c r="T784" s="12" t="n">
        <f aca="false">(O784-M784)/M784</f>
        <v>0.0251999999999999</v>
      </c>
      <c r="U784" s="8" t="n">
        <f aca="false">IF(AND(K784&lt;=I784,R784=0),1,0)</f>
        <v>0</v>
      </c>
      <c r="V784" s="10" t="n">
        <f aca="false">IF(Q784="No",P784,0)</f>
        <v>0</v>
      </c>
    </row>
    <row r="785" customFormat="false" ht="15" hidden="false" customHeight="false" outlineLevel="0" collapsed="false">
      <c r="A785" s="5" t="s">
        <v>919</v>
      </c>
      <c r="B785" s="5" t="s">
        <v>77</v>
      </c>
      <c r="C785" s="7" t="n">
        <v>45864</v>
      </c>
      <c r="D785" s="8" t="str">
        <f aca="false">INDEX(Dim_Supplier!$C$2:$C$21,MATCH(B785,Dim_Supplier!$A$2:$A$21,0))</f>
        <v>MRO</v>
      </c>
      <c r="E785" s="8" t="str">
        <f aca="false">INDEX(Dim_Supplier!$B$2:$B$21,MATCH(B785,Dim_Supplier!$A$2:$A$21,0))</f>
        <v>Apex Industrial Supply</v>
      </c>
      <c r="F785" s="5" t="s">
        <v>111</v>
      </c>
      <c r="G785" s="5" t="s">
        <v>129</v>
      </c>
      <c r="H785" s="8" t="n">
        <f aca="false">INDEX(Lookup_Tables!$B$2:$B$5,MATCH(D785,Lookup_Tables!$A$2:$A$5,0))</f>
        <v>10</v>
      </c>
      <c r="I785" s="9" t="n">
        <f aca="false">C785+H785</f>
        <v>45874</v>
      </c>
      <c r="J785" s="5" t="n">
        <v>-3</v>
      </c>
      <c r="K785" s="9" t="n">
        <f aca="false">I785+J785</f>
        <v>45871</v>
      </c>
      <c r="L785" s="5" t="n">
        <v>35</v>
      </c>
      <c r="M785" s="10" t="n">
        <f aca="false">INDEX(Dim_Supplier!$F$2:$F$21,MATCH(B785,Dim_Supplier!$A$2:$A$21,0))</f>
        <v>24.6</v>
      </c>
      <c r="N785" s="11" t="n">
        <v>0.0378</v>
      </c>
      <c r="O785" s="10" t="n">
        <f aca="false">M785*(1+N785)</f>
        <v>25.52988</v>
      </c>
      <c r="P785" s="10" t="n">
        <f aca="false">O785*L785</f>
        <v>893.5458</v>
      </c>
      <c r="Q785" s="5" t="s">
        <v>113</v>
      </c>
      <c r="R785" s="5" t="n">
        <v>0</v>
      </c>
      <c r="S785" s="5" t="n">
        <v>45</v>
      </c>
      <c r="T785" s="12" t="n">
        <f aca="false">(O785-M785)/M785</f>
        <v>0.0378</v>
      </c>
      <c r="U785" s="8" t="n">
        <f aca="false">IF(AND(K785&lt;=I785,R785=0),1,0)</f>
        <v>1</v>
      </c>
      <c r="V785" s="10" t="n">
        <f aca="false">IF(Q785="No",P785,0)</f>
        <v>0</v>
      </c>
    </row>
    <row r="786" customFormat="false" ht="15" hidden="false" customHeight="false" outlineLevel="0" collapsed="false">
      <c r="A786" s="5" t="s">
        <v>920</v>
      </c>
      <c r="B786" s="5" t="s">
        <v>46</v>
      </c>
      <c r="C786" s="7" t="n">
        <v>45604</v>
      </c>
      <c r="D786" s="8" t="str">
        <f aca="false">INDEX(Dim_Supplier!$C$2:$C$21,MATCH(B786,Dim_Supplier!$A$2:$A$21,0))</f>
        <v>Raw Materials</v>
      </c>
      <c r="E786" s="8" t="str">
        <f aca="false">INDEX(Dim_Supplier!$B$2:$B$21,MATCH(B786,Dim_Supplier!$A$2:$A$21,0))</f>
        <v>Niagara Alloy Supply</v>
      </c>
      <c r="F786" s="5" t="s">
        <v>139</v>
      </c>
      <c r="G786" s="5" t="s">
        <v>120</v>
      </c>
      <c r="H786" s="8" t="n">
        <f aca="false">INDEX(Lookup_Tables!$B$2:$B$5,MATCH(D786,Lookup_Tables!$A$2:$A$5,0))</f>
        <v>21</v>
      </c>
      <c r="I786" s="9" t="n">
        <f aca="false">C786+H786</f>
        <v>45625</v>
      </c>
      <c r="J786" s="5" t="n">
        <v>-1</v>
      </c>
      <c r="K786" s="9" t="n">
        <f aca="false">I786+J786</f>
        <v>45624</v>
      </c>
      <c r="L786" s="5" t="n">
        <v>392</v>
      </c>
      <c r="M786" s="10" t="n">
        <f aca="false">INDEX(Dim_Supplier!$F$2:$F$21,MATCH(B786,Dim_Supplier!$A$2:$A$21,0))</f>
        <v>46.5</v>
      </c>
      <c r="N786" s="11" t="n">
        <v>0.0346</v>
      </c>
      <c r="O786" s="10" t="n">
        <f aca="false">M786*(1+N786)</f>
        <v>48.1089</v>
      </c>
      <c r="P786" s="10" t="n">
        <f aca="false">O786*L786</f>
        <v>18858.6888</v>
      </c>
      <c r="Q786" s="5" t="s">
        <v>113</v>
      </c>
      <c r="R786" s="5" t="n">
        <v>0</v>
      </c>
      <c r="S786" s="5" t="n">
        <v>30</v>
      </c>
      <c r="T786" s="12" t="n">
        <f aca="false">(O786-M786)/M786</f>
        <v>0.0346</v>
      </c>
      <c r="U786" s="8" t="n">
        <f aca="false">IF(AND(K786&lt;=I786,R786=0),1,0)</f>
        <v>1</v>
      </c>
      <c r="V786" s="10" t="n">
        <f aca="false">IF(Q786="No",P786,0)</f>
        <v>0</v>
      </c>
    </row>
    <row r="787" customFormat="false" ht="15" hidden="false" customHeight="false" outlineLevel="0" collapsed="false">
      <c r="A787" s="5" t="s">
        <v>921</v>
      </c>
      <c r="B787" s="5" t="s">
        <v>84</v>
      </c>
      <c r="C787" s="7" t="n">
        <v>46202</v>
      </c>
      <c r="D787" s="8" t="str">
        <f aca="false">INDEX(Dim_Supplier!$C$2:$C$21,MATCH(B787,Dim_Supplier!$A$2:$A$21,0))</f>
        <v>Logistics</v>
      </c>
      <c r="E787" s="8" t="str">
        <f aca="false">INDEX(Dim_Supplier!$B$2:$B$21,MATCH(B787,Dim_Supplier!$A$2:$A$21,0))</f>
        <v>Trans-Canada Carriers</v>
      </c>
      <c r="F787" s="5" t="s">
        <v>146</v>
      </c>
      <c r="G787" s="5" t="s">
        <v>112</v>
      </c>
      <c r="H787" s="8" t="n">
        <f aca="false">INDEX(Lookup_Tables!$B$2:$B$5,MATCH(D787,Lookup_Tables!$A$2:$A$5,0))</f>
        <v>5</v>
      </c>
      <c r="I787" s="9" t="n">
        <f aca="false">C787+H787</f>
        <v>46207</v>
      </c>
      <c r="J787" s="5" t="n">
        <v>5</v>
      </c>
      <c r="K787" s="9" t="n">
        <f aca="false">I787+J787</f>
        <v>46212</v>
      </c>
      <c r="L787" s="5" t="n">
        <v>1</v>
      </c>
      <c r="M787" s="10" t="n">
        <f aca="false">INDEX(Dim_Supplier!$F$2:$F$21,MATCH(B787,Dim_Supplier!$A$2:$A$21,0))</f>
        <v>210</v>
      </c>
      <c r="N787" s="11" t="n">
        <v>0.16</v>
      </c>
      <c r="O787" s="10" t="n">
        <f aca="false">M787*(1+N787)</f>
        <v>243.6</v>
      </c>
      <c r="P787" s="10" t="n">
        <f aca="false">O787*L787</f>
        <v>243.6</v>
      </c>
      <c r="Q787" s="5" t="s">
        <v>113</v>
      </c>
      <c r="R787" s="5" t="n">
        <v>0</v>
      </c>
      <c r="S787" s="5" t="n">
        <v>60</v>
      </c>
      <c r="T787" s="12" t="n">
        <f aca="false">(O787-M787)/M787</f>
        <v>0.16</v>
      </c>
      <c r="U787" s="8" t="n">
        <f aca="false">IF(AND(K787&lt;=I787,R787=0),1,0)</f>
        <v>0</v>
      </c>
      <c r="V787" s="10" t="n">
        <f aca="false">IF(Q787="No",P787,0)</f>
        <v>0</v>
      </c>
    </row>
    <row r="788" customFormat="false" ht="15" hidden="false" customHeight="false" outlineLevel="0" collapsed="false">
      <c r="A788" s="5" t="s">
        <v>922</v>
      </c>
      <c r="B788" s="5" t="s">
        <v>62</v>
      </c>
      <c r="C788" s="7" t="n">
        <v>45878</v>
      </c>
      <c r="D788" s="8" t="str">
        <f aca="false">INDEX(Dim_Supplier!$C$2:$C$21,MATCH(B788,Dim_Supplier!$A$2:$A$21,0))</f>
        <v>Packaging</v>
      </c>
      <c r="E788" s="8" t="str">
        <f aca="false">INDEX(Dim_Supplier!$B$2:$B$21,MATCH(B788,Dim_Supplier!$A$2:$A$21,0))</f>
        <v>Trillium Packaging Solutions</v>
      </c>
      <c r="F788" s="5" t="s">
        <v>119</v>
      </c>
      <c r="G788" s="5" t="s">
        <v>125</v>
      </c>
      <c r="H788" s="8" t="n">
        <f aca="false">INDEX(Lookup_Tables!$B$2:$B$5,MATCH(D788,Lookup_Tables!$A$2:$A$5,0))</f>
        <v>14</v>
      </c>
      <c r="I788" s="9" t="n">
        <f aca="false">C788+H788</f>
        <v>45892</v>
      </c>
      <c r="J788" s="5" t="n">
        <v>0</v>
      </c>
      <c r="K788" s="9" t="n">
        <f aca="false">I788+J788</f>
        <v>45892</v>
      </c>
      <c r="L788" s="5" t="n">
        <v>4393</v>
      </c>
      <c r="M788" s="10" t="n">
        <f aca="false">INDEX(Dim_Supplier!$F$2:$F$21,MATCH(B788,Dim_Supplier!$A$2:$A$21,0))</f>
        <v>5.6</v>
      </c>
      <c r="N788" s="11" t="n">
        <v>-0.0004</v>
      </c>
      <c r="O788" s="10" t="n">
        <f aca="false">M788*(1+N788)</f>
        <v>5.59776</v>
      </c>
      <c r="P788" s="10" t="n">
        <f aca="false">O788*L788</f>
        <v>24590.95968</v>
      </c>
      <c r="Q788" s="5" t="s">
        <v>113</v>
      </c>
      <c r="R788" s="5" t="n">
        <v>0</v>
      </c>
      <c r="S788" s="5" t="n">
        <v>30</v>
      </c>
      <c r="T788" s="12" t="n">
        <f aca="false">(O788-M788)/M788</f>
        <v>-0.000399999999999924</v>
      </c>
      <c r="U788" s="8" t="n">
        <f aca="false">IF(AND(K788&lt;=I788,R788=0),1,0)</f>
        <v>1</v>
      </c>
      <c r="V788" s="10" t="n">
        <f aca="false">IF(Q788="No",P788,0)</f>
        <v>0</v>
      </c>
    </row>
    <row r="789" customFormat="false" ht="15" hidden="false" customHeight="false" outlineLevel="0" collapsed="false">
      <c r="A789" s="5" t="s">
        <v>923</v>
      </c>
      <c r="B789" s="5" t="s">
        <v>46</v>
      </c>
      <c r="C789" s="7" t="n">
        <v>45943</v>
      </c>
      <c r="D789" s="8" t="str">
        <f aca="false">INDEX(Dim_Supplier!$C$2:$C$21,MATCH(B789,Dim_Supplier!$A$2:$A$21,0))</f>
        <v>Raw Materials</v>
      </c>
      <c r="E789" s="8" t="str">
        <f aca="false">INDEX(Dim_Supplier!$B$2:$B$21,MATCH(B789,Dim_Supplier!$A$2:$A$21,0))</f>
        <v>Niagara Alloy Supply</v>
      </c>
      <c r="F789" s="5" t="s">
        <v>142</v>
      </c>
      <c r="G789" s="5" t="s">
        <v>125</v>
      </c>
      <c r="H789" s="8" t="n">
        <f aca="false">INDEX(Lookup_Tables!$B$2:$B$5,MATCH(D789,Lookup_Tables!$A$2:$A$5,0))</f>
        <v>21</v>
      </c>
      <c r="I789" s="9" t="n">
        <f aca="false">C789+H789</f>
        <v>45964</v>
      </c>
      <c r="J789" s="5" t="n">
        <v>-2</v>
      </c>
      <c r="K789" s="9" t="n">
        <f aca="false">I789+J789</f>
        <v>45962</v>
      </c>
      <c r="L789" s="5" t="n">
        <v>1590</v>
      </c>
      <c r="M789" s="10" t="n">
        <f aca="false">INDEX(Dim_Supplier!$F$2:$F$21,MATCH(B789,Dim_Supplier!$A$2:$A$21,0))</f>
        <v>46.5</v>
      </c>
      <c r="N789" s="11" t="n">
        <v>0.0201</v>
      </c>
      <c r="O789" s="10" t="n">
        <f aca="false">M789*(1+N789)</f>
        <v>47.43465</v>
      </c>
      <c r="P789" s="10" t="n">
        <f aca="false">O789*L789</f>
        <v>75421.0935</v>
      </c>
      <c r="Q789" s="5" t="s">
        <v>113</v>
      </c>
      <c r="R789" s="5" t="n">
        <v>0</v>
      </c>
      <c r="S789" s="5" t="n">
        <v>45</v>
      </c>
      <c r="T789" s="12" t="n">
        <f aca="false">(O789-M789)/M789</f>
        <v>0.0201</v>
      </c>
      <c r="U789" s="8" t="n">
        <f aca="false">IF(AND(K789&lt;=I789,R789=0),1,0)</f>
        <v>1</v>
      </c>
      <c r="V789" s="10" t="n">
        <f aca="false">IF(Q789="No",P789,0)</f>
        <v>0</v>
      </c>
    </row>
    <row r="790" customFormat="false" ht="15" hidden="false" customHeight="false" outlineLevel="0" collapsed="false">
      <c r="A790" s="5" t="s">
        <v>924</v>
      </c>
      <c r="B790" s="5" t="s">
        <v>60</v>
      </c>
      <c r="C790" s="7" t="n">
        <v>45530</v>
      </c>
      <c r="D790" s="8" t="str">
        <f aca="false">INDEX(Dim_Supplier!$C$2:$C$21,MATCH(B790,Dim_Supplier!$A$2:$A$21,0))</f>
        <v>Packaging</v>
      </c>
      <c r="E790" s="8" t="str">
        <f aca="false">INDEX(Dim_Supplier!$B$2:$B$21,MATCH(B790,Dim_Supplier!$A$2:$A$21,0))</f>
        <v>Maple Leaf Box &amp; Crate</v>
      </c>
      <c r="F790" s="5" t="s">
        <v>137</v>
      </c>
      <c r="G790" s="5" t="s">
        <v>120</v>
      </c>
      <c r="H790" s="8" t="n">
        <f aca="false">INDEX(Lookup_Tables!$B$2:$B$5,MATCH(D790,Lookup_Tables!$A$2:$A$5,0))</f>
        <v>14</v>
      </c>
      <c r="I790" s="9" t="n">
        <f aca="false">C790+H790</f>
        <v>45544</v>
      </c>
      <c r="J790" s="5" t="n">
        <v>-4</v>
      </c>
      <c r="K790" s="9" t="n">
        <f aca="false">I790+J790</f>
        <v>45540</v>
      </c>
      <c r="L790" s="5" t="n">
        <v>4129</v>
      </c>
      <c r="M790" s="10" t="n">
        <f aca="false">INDEX(Dim_Supplier!$F$2:$F$21,MATCH(B790,Dim_Supplier!$A$2:$A$21,0))</f>
        <v>3.1</v>
      </c>
      <c r="N790" s="11" t="n">
        <v>0.0272</v>
      </c>
      <c r="O790" s="10" t="n">
        <f aca="false">M790*(1+N790)</f>
        <v>3.18432</v>
      </c>
      <c r="P790" s="10" t="n">
        <f aca="false">O790*L790</f>
        <v>13148.05728</v>
      </c>
      <c r="Q790" s="5" t="s">
        <v>113</v>
      </c>
      <c r="R790" s="5" t="n">
        <v>0</v>
      </c>
      <c r="S790" s="5" t="n">
        <v>60</v>
      </c>
      <c r="T790" s="12" t="n">
        <f aca="false">(O790-M790)/M790</f>
        <v>0.0271999999999998</v>
      </c>
      <c r="U790" s="8" t="n">
        <f aca="false">IF(AND(K790&lt;=I790,R790=0),1,0)</f>
        <v>1</v>
      </c>
      <c r="V790" s="10" t="n">
        <f aca="false">IF(Q790="No",P790,0)</f>
        <v>0</v>
      </c>
    </row>
    <row r="791" customFormat="false" ht="15" hidden="false" customHeight="false" outlineLevel="0" collapsed="false">
      <c r="A791" s="5" t="s">
        <v>925</v>
      </c>
      <c r="B791" s="5" t="s">
        <v>75</v>
      </c>
      <c r="C791" s="7" t="n">
        <v>45877</v>
      </c>
      <c r="D791" s="8" t="str">
        <f aca="false">INDEX(Dim_Supplier!$C$2:$C$21,MATCH(B791,Dim_Supplier!$A$2:$A$21,0))</f>
        <v>MRO</v>
      </c>
      <c r="E791" s="8" t="str">
        <f aca="false">INDEX(Dim_Supplier!$B$2:$B$21,MATCH(B791,Dim_Supplier!$A$2:$A$21,0))</f>
        <v>Sterling Lubricants Inc.</v>
      </c>
      <c r="F791" s="5" t="s">
        <v>111</v>
      </c>
      <c r="G791" s="5" t="s">
        <v>129</v>
      </c>
      <c r="H791" s="8" t="n">
        <f aca="false">INDEX(Lookup_Tables!$B$2:$B$5,MATCH(D791,Lookup_Tables!$A$2:$A$5,0))</f>
        <v>10</v>
      </c>
      <c r="I791" s="9" t="n">
        <f aca="false">C791+H791</f>
        <v>45887</v>
      </c>
      <c r="J791" s="5" t="n">
        <v>-4</v>
      </c>
      <c r="K791" s="9" t="n">
        <f aca="false">I791+J791</f>
        <v>45883</v>
      </c>
      <c r="L791" s="5" t="n">
        <v>163</v>
      </c>
      <c r="M791" s="10" t="n">
        <f aca="false">INDEX(Dim_Supplier!$F$2:$F$21,MATCH(B791,Dim_Supplier!$A$2:$A$21,0))</f>
        <v>27.1</v>
      </c>
      <c r="N791" s="11" t="n">
        <v>0.0134</v>
      </c>
      <c r="O791" s="10" t="n">
        <f aca="false">M791*(1+N791)</f>
        <v>27.46314</v>
      </c>
      <c r="P791" s="10" t="n">
        <f aca="false">O791*L791</f>
        <v>4476.49182</v>
      </c>
      <c r="Q791" s="5" t="s">
        <v>113</v>
      </c>
      <c r="R791" s="5" t="n">
        <v>0</v>
      </c>
      <c r="S791" s="5" t="n">
        <v>60</v>
      </c>
      <c r="T791" s="12" t="n">
        <f aca="false">(O791-M791)/M791</f>
        <v>0.0134</v>
      </c>
      <c r="U791" s="8" t="n">
        <f aca="false">IF(AND(K791&lt;=I791,R791=0),1,0)</f>
        <v>1</v>
      </c>
      <c r="V791" s="10" t="n">
        <f aca="false">IF(Q791="No",P791,0)</f>
        <v>0</v>
      </c>
    </row>
    <row r="792" customFormat="false" ht="15" hidden="false" customHeight="false" outlineLevel="0" collapsed="false">
      <c r="A792" s="5" t="s">
        <v>926</v>
      </c>
      <c r="B792" s="5" t="s">
        <v>68</v>
      </c>
      <c r="C792" s="7" t="n">
        <v>46060</v>
      </c>
      <c r="D792" s="8" t="str">
        <f aca="false">INDEX(Dim_Supplier!$C$2:$C$21,MATCH(B792,Dim_Supplier!$A$2:$A$21,0))</f>
        <v>MRO</v>
      </c>
      <c r="E792" s="8" t="str">
        <f aca="false">INDEX(Dim_Supplier!$B$2:$B$21,MATCH(B792,Dim_Supplier!$A$2:$A$21,0))</f>
        <v>Precision Tool &amp; Supply</v>
      </c>
      <c r="F792" s="5" t="s">
        <v>179</v>
      </c>
      <c r="G792" s="5" t="s">
        <v>129</v>
      </c>
      <c r="H792" s="8" t="n">
        <f aca="false">INDEX(Lookup_Tables!$B$2:$B$5,MATCH(D792,Lookup_Tables!$A$2:$A$5,0))</f>
        <v>10</v>
      </c>
      <c r="I792" s="9" t="n">
        <f aca="false">C792+H792</f>
        <v>46070</v>
      </c>
      <c r="J792" s="5" t="n">
        <v>0</v>
      </c>
      <c r="K792" s="9" t="n">
        <f aca="false">I792+J792</f>
        <v>46070</v>
      </c>
      <c r="L792" s="5" t="n">
        <v>51</v>
      </c>
      <c r="M792" s="10" t="n">
        <f aca="false">INDEX(Dim_Supplier!$F$2:$F$21,MATCH(B792,Dim_Supplier!$A$2:$A$21,0))</f>
        <v>22.4</v>
      </c>
      <c r="N792" s="11" t="n">
        <v>0.0422</v>
      </c>
      <c r="O792" s="10" t="n">
        <f aca="false">M792*(1+N792)</f>
        <v>23.34528</v>
      </c>
      <c r="P792" s="10" t="n">
        <f aca="false">O792*L792</f>
        <v>1190.60928</v>
      </c>
      <c r="Q792" s="5" t="s">
        <v>133</v>
      </c>
      <c r="R792" s="5" t="n">
        <v>0</v>
      </c>
      <c r="S792" s="5" t="n">
        <v>30</v>
      </c>
      <c r="T792" s="12" t="n">
        <f aca="false">(O792-M792)/M792</f>
        <v>0.0422</v>
      </c>
      <c r="U792" s="8" t="n">
        <f aca="false">IF(AND(K792&lt;=I792,R792=0),1,0)</f>
        <v>1</v>
      </c>
      <c r="V792" s="10" t="n">
        <f aca="false">IF(Q792="No",P792,0)</f>
        <v>1190.60928</v>
      </c>
    </row>
    <row r="793" customFormat="false" ht="15" hidden="false" customHeight="false" outlineLevel="0" collapsed="false">
      <c r="A793" s="5" t="s">
        <v>927</v>
      </c>
      <c r="B793" s="5" t="s">
        <v>82</v>
      </c>
      <c r="C793" s="7" t="n">
        <v>46151</v>
      </c>
      <c r="D793" s="8" t="str">
        <f aca="false">INDEX(Dim_Supplier!$C$2:$C$21,MATCH(B793,Dim_Supplier!$A$2:$A$21,0))</f>
        <v>Logistics</v>
      </c>
      <c r="E793" s="8" t="str">
        <f aca="false">INDEX(Dim_Supplier!$B$2:$B$21,MATCH(B793,Dim_Supplier!$A$2:$A$21,0))</f>
        <v>Maple Route Logistics</v>
      </c>
      <c r="F793" s="5" t="s">
        <v>185</v>
      </c>
      <c r="G793" s="5" t="s">
        <v>125</v>
      </c>
      <c r="H793" s="8" t="n">
        <f aca="false">INDEX(Lookup_Tables!$B$2:$B$5,MATCH(D793,Lookup_Tables!$A$2:$A$5,0))</f>
        <v>5</v>
      </c>
      <c r="I793" s="9" t="n">
        <f aca="false">C793+H793</f>
        <v>46156</v>
      </c>
      <c r="J793" s="5" t="n">
        <v>1</v>
      </c>
      <c r="K793" s="9" t="n">
        <f aca="false">I793+J793</f>
        <v>46157</v>
      </c>
      <c r="L793" s="5" t="n">
        <v>21</v>
      </c>
      <c r="M793" s="10" t="n">
        <f aca="false">INDEX(Dim_Supplier!$F$2:$F$21,MATCH(B793,Dim_Supplier!$A$2:$A$21,0))</f>
        <v>285</v>
      </c>
      <c r="N793" s="11" t="n">
        <v>0.0425</v>
      </c>
      <c r="O793" s="10" t="n">
        <f aca="false">M793*(1+N793)</f>
        <v>297.1125</v>
      </c>
      <c r="P793" s="10" t="n">
        <f aca="false">O793*L793</f>
        <v>6239.3625</v>
      </c>
      <c r="Q793" s="5" t="s">
        <v>113</v>
      </c>
      <c r="R793" s="5" t="n">
        <v>0</v>
      </c>
      <c r="S793" s="5" t="n">
        <v>60</v>
      </c>
      <c r="T793" s="12" t="n">
        <f aca="false">(O793-M793)/M793</f>
        <v>0.0425</v>
      </c>
      <c r="U793" s="8" t="n">
        <f aca="false">IF(AND(K793&lt;=I793,R793=0),1,0)</f>
        <v>0</v>
      </c>
      <c r="V793" s="10" t="n">
        <f aca="false">IF(Q793="No",P793,0)</f>
        <v>0</v>
      </c>
    </row>
    <row r="794" customFormat="false" ht="15" hidden="false" customHeight="false" outlineLevel="0" collapsed="false">
      <c r="A794" s="5" t="s">
        <v>928</v>
      </c>
      <c r="B794" s="5" t="s">
        <v>41</v>
      </c>
      <c r="C794" s="7" t="n">
        <v>45739</v>
      </c>
      <c r="D794" s="8" t="str">
        <f aca="false">INDEX(Dim_Supplier!$C$2:$C$21,MATCH(B794,Dim_Supplier!$A$2:$A$21,0))</f>
        <v>Raw Materials</v>
      </c>
      <c r="E794" s="8" t="str">
        <f aca="false">INDEX(Dim_Supplier!$B$2:$B$21,MATCH(B794,Dim_Supplier!$A$2:$A$21,0))</f>
        <v>Ontario Steel Partners</v>
      </c>
      <c r="F794" s="5" t="s">
        <v>115</v>
      </c>
      <c r="G794" s="5" t="s">
        <v>125</v>
      </c>
      <c r="H794" s="8" t="n">
        <f aca="false">INDEX(Lookup_Tables!$B$2:$B$5,MATCH(D794,Lookup_Tables!$A$2:$A$5,0))</f>
        <v>21</v>
      </c>
      <c r="I794" s="9" t="n">
        <f aca="false">C794+H794</f>
        <v>45760</v>
      </c>
      <c r="J794" s="5" t="n">
        <v>-1</v>
      </c>
      <c r="K794" s="9" t="n">
        <f aca="false">I794+J794</f>
        <v>45759</v>
      </c>
      <c r="L794" s="5" t="n">
        <v>882</v>
      </c>
      <c r="M794" s="10" t="n">
        <f aca="false">INDEX(Dim_Supplier!$F$2:$F$21,MATCH(B794,Dim_Supplier!$A$2:$A$21,0))</f>
        <v>58</v>
      </c>
      <c r="N794" s="11" t="n">
        <v>0.0137</v>
      </c>
      <c r="O794" s="10" t="n">
        <f aca="false">M794*(1+N794)</f>
        <v>58.7946</v>
      </c>
      <c r="P794" s="10" t="n">
        <f aca="false">O794*L794</f>
        <v>51856.8372</v>
      </c>
      <c r="Q794" s="5" t="s">
        <v>113</v>
      </c>
      <c r="R794" s="5" t="n">
        <v>0</v>
      </c>
      <c r="S794" s="5" t="n">
        <v>30</v>
      </c>
      <c r="T794" s="12" t="n">
        <f aca="false">(O794-M794)/M794</f>
        <v>0.0137</v>
      </c>
      <c r="U794" s="8" t="n">
        <f aca="false">IF(AND(K794&lt;=I794,R794=0),1,0)</f>
        <v>1</v>
      </c>
      <c r="V794" s="10" t="n">
        <f aca="false">IF(Q794="No",P794,0)</f>
        <v>0</v>
      </c>
    </row>
    <row r="795" customFormat="false" ht="15" hidden="false" customHeight="false" outlineLevel="0" collapsed="false">
      <c r="A795" s="5" t="s">
        <v>929</v>
      </c>
      <c r="B795" s="5" t="s">
        <v>49</v>
      </c>
      <c r="C795" s="7" t="n">
        <v>45439</v>
      </c>
      <c r="D795" s="8" t="str">
        <f aca="false">INDEX(Dim_Supplier!$C$2:$C$21,MATCH(B795,Dim_Supplier!$A$2:$A$21,0))</f>
        <v>Raw Materials</v>
      </c>
      <c r="E795" s="8" t="str">
        <f aca="false">INDEX(Dim_Supplier!$B$2:$B$21,MATCH(B795,Dim_Supplier!$A$2:$A$21,0))</f>
        <v>Great Lakes Polymer Co.</v>
      </c>
      <c r="F795" s="5" t="s">
        <v>115</v>
      </c>
      <c r="G795" s="5" t="s">
        <v>120</v>
      </c>
      <c r="H795" s="8" t="n">
        <f aca="false">INDEX(Lookup_Tables!$B$2:$B$5,MATCH(D795,Lookup_Tables!$A$2:$A$5,0))</f>
        <v>21</v>
      </c>
      <c r="I795" s="9" t="n">
        <f aca="false">C795+H795</f>
        <v>45460</v>
      </c>
      <c r="J795" s="5" t="n">
        <v>4</v>
      </c>
      <c r="K795" s="9" t="n">
        <f aca="false">I795+J795</f>
        <v>45464</v>
      </c>
      <c r="L795" s="5" t="n">
        <v>934</v>
      </c>
      <c r="M795" s="10" t="n">
        <f aca="false">INDEX(Dim_Supplier!$F$2:$F$21,MATCH(B795,Dim_Supplier!$A$2:$A$21,0))</f>
        <v>32.75</v>
      </c>
      <c r="N795" s="11" t="n">
        <v>0.1085</v>
      </c>
      <c r="O795" s="10" t="n">
        <f aca="false">M795*(1+N795)</f>
        <v>36.303375</v>
      </c>
      <c r="P795" s="10" t="n">
        <f aca="false">O795*L795</f>
        <v>33907.35225</v>
      </c>
      <c r="Q795" s="5" t="s">
        <v>133</v>
      </c>
      <c r="R795" s="5" t="n">
        <v>42</v>
      </c>
      <c r="S795" s="5" t="n">
        <v>30</v>
      </c>
      <c r="T795" s="12" t="n">
        <f aca="false">(O795-M795)/M795</f>
        <v>0.1085</v>
      </c>
      <c r="U795" s="8" t="n">
        <f aca="false">IF(AND(K795&lt;=I795,R795=0),1,0)</f>
        <v>0</v>
      </c>
      <c r="V795" s="10" t="n">
        <f aca="false">IF(Q795="No",P795,0)</f>
        <v>33907.35225</v>
      </c>
    </row>
    <row r="796" customFormat="false" ht="15" hidden="false" customHeight="false" outlineLevel="0" collapsed="false">
      <c r="A796" s="5" t="s">
        <v>930</v>
      </c>
      <c r="B796" s="5" t="s">
        <v>75</v>
      </c>
      <c r="C796" s="7" t="n">
        <v>45597</v>
      </c>
      <c r="D796" s="8" t="str">
        <f aca="false">INDEX(Dim_Supplier!$C$2:$C$21,MATCH(B796,Dim_Supplier!$A$2:$A$21,0))</f>
        <v>MRO</v>
      </c>
      <c r="E796" s="8" t="str">
        <f aca="false">INDEX(Dim_Supplier!$B$2:$B$21,MATCH(B796,Dim_Supplier!$A$2:$A$21,0))</f>
        <v>Sterling Lubricants Inc.</v>
      </c>
      <c r="F796" s="5" t="s">
        <v>179</v>
      </c>
      <c r="G796" s="5" t="s">
        <v>129</v>
      </c>
      <c r="H796" s="8" t="n">
        <f aca="false">INDEX(Lookup_Tables!$B$2:$B$5,MATCH(D796,Lookup_Tables!$A$2:$A$5,0))</f>
        <v>10</v>
      </c>
      <c r="I796" s="9" t="n">
        <f aca="false">C796+H796</f>
        <v>45607</v>
      </c>
      <c r="J796" s="5" t="n">
        <v>-4</v>
      </c>
      <c r="K796" s="9" t="n">
        <f aca="false">I796+J796</f>
        <v>45603</v>
      </c>
      <c r="L796" s="5" t="n">
        <v>87</v>
      </c>
      <c r="M796" s="10" t="n">
        <f aca="false">INDEX(Dim_Supplier!$F$2:$F$21,MATCH(B796,Dim_Supplier!$A$2:$A$21,0))</f>
        <v>27.1</v>
      </c>
      <c r="N796" s="11" t="n">
        <v>0.0387</v>
      </c>
      <c r="O796" s="10" t="n">
        <f aca="false">M796*(1+N796)</f>
        <v>28.14877</v>
      </c>
      <c r="P796" s="10" t="n">
        <f aca="false">O796*L796</f>
        <v>2448.94299</v>
      </c>
      <c r="Q796" s="5" t="s">
        <v>113</v>
      </c>
      <c r="R796" s="5" t="n">
        <v>0</v>
      </c>
      <c r="S796" s="5" t="n">
        <v>60</v>
      </c>
      <c r="T796" s="12" t="n">
        <f aca="false">(O796-M796)/M796</f>
        <v>0.0386999999999999</v>
      </c>
      <c r="U796" s="8" t="n">
        <f aca="false">IF(AND(K796&lt;=I796,R796=0),1,0)</f>
        <v>1</v>
      </c>
      <c r="V796" s="10" t="n">
        <f aca="false">IF(Q796="No",P796,0)</f>
        <v>0</v>
      </c>
    </row>
    <row r="797" customFormat="false" ht="15" hidden="false" customHeight="false" outlineLevel="0" collapsed="false">
      <c r="A797" s="5" t="s">
        <v>931</v>
      </c>
      <c r="B797" s="5" t="s">
        <v>41</v>
      </c>
      <c r="C797" s="7" t="n">
        <v>45537</v>
      </c>
      <c r="D797" s="8" t="str">
        <f aca="false">INDEX(Dim_Supplier!$C$2:$C$21,MATCH(B797,Dim_Supplier!$A$2:$A$21,0))</f>
        <v>Raw Materials</v>
      </c>
      <c r="E797" s="8" t="str">
        <f aca="false">INDEX(Dim_Supplier!$B$2:$B$21,MATCH(B797,Dim_Supplier!$A$2:$A$21,0))</f>
        <v>Ontario Steel Partners</v>
      </c>
      <c r="F797" s="5" t="s">
        <v>144</v>
      </c>
      <c r="G797" s="5" t="s">
        <v>112</v>
      </c>
      <c r="H797" s="8" t="n">
        <f aca="false">INDEX(Lookup_Tables!$B$2:$B$5,MATCH(D797,Lookup_Tables!$A$2:$A$5,0))</f>
        <v>21</v>
      </c>
      <c r="I797" s="9" t="n">
        <f aca="false">C797+H797</f>
        <v>45558</v>
      </c>
      <c r="J797" s="5" t="n">
        <v>-4</v>
      </c>
      <c r="K797" s="9" t="n">
        <f aca="false">I797+J797</f>
        <v>45554</v>
      </c>
      <c r="L797" s="5" t="n">
        <v>888</v>
      </c>
      <c r="M797" s="10" t="n">
        <f aca="false">INDEX(Dim_Supplier!$F$2:$F$21,MATCH(B797,Dim_Supplier!$A$2:$A$21,0))</f>
        <v>58</v>
      </c>
      <c r="N797" s="11" t="n">
        <v>0.0115</v>
      </c>
      <c r="O797" s="10" t="n">
        <f aca="false">M797*(1+N797)</f>
        <v>58.667</v>
      </c>
      <c r="P797" s="10" t="n">
        <f aca="false">O797*L797</f>
        <v>52096.296</v>
      </c>
      <c r="Q797" s="5" t="s">
        <v>113</v>
      </c>
      <c r="R797" s="5" t="n">
        <v>0</v>
      </c>
      <c r="S797" s="5" t="n">
        <v>30</v>
      </c>
      <c r="T797" s="12" t="n">
        <f aca="false">(O797-M797)/M797</f>
        <v>0.0115</v>
      </c>
      <c r="U797" s="8" t="n">
        <f aca="false">IF(AND(K797&lt;=I797,R797=0),1,0)</f>
        <v>1</v>
      </c>
      <c r="V797" s="10" t="n">
        <f aca="false">IF(Q797="No",P797,0)</f>
        <v>0</v>
      </c>
    </row>
    <row r="798" customFormat="false" ht="15" hidden="false" customHeight="false" outlineLevel="0" collapsed="false">
      <c r="A798" s="5" t="s">
        <v>932</v>
      </c>
      <c r="B798" s="5" t="s">
        <v>68</v>
      </c>
      <c r="C798" s="7" t="n">
        <v>45359</v>
      </c>
      <c r="D798" s="8" t="str">
        <f aca="false">INDEX(Dim_Supplier!$C$2:$C$21,MATCH(B798,Dim_Supplier!$A$2:$A$21,0))</f>
        <v>MRO</v>
      </c>
      <c r="E798" s="8" t="str">
        <f aca="false">INDEX(Dim_Supplier!$B$2:$B$21,MATCH(B798,Dim_Supplier!$A$2:$A$21,0))</f>
        <v>Precision Tool &amp; Supply</v>
      </c>
      <c r="F798" s="5" t="s">
        <v>179</v>
      </c>
      <c r="G798" s="5" t="s">
        <v>129</v>
      </c>
      <c r="H798" s="8" t="n">
        <f aca="false">INDEX(Lookup_Tables!$B$2:$B$5,MATCH(D798,Lookup_Tables!$A$2:$A$5,0))</f>
        <v>10</v>
      </c>
      <c r="I798" s="9" t="n">
        <f aca="false">C798+H798</f>
        <v>45369</v>
      </c>
      <c r="J798" s="5" t="n">
        <v>-4</v>
      </c>
      <c r="K798" s="9" t="n">
        <f aca="false">I798+J798</f>
        <v>45365</v>
      </c>
      <c r="L798" s="5" t="n">
        <v>9</v>
      </c>
      <c r="M798" s="10" t="n">
        <f aca="false">INDEX(Dim_Supplier!$F$2:$F$21,MATCH(B798,Dim_Supplier!$A$2:$A$21,0))</f>
        <v>22.4</v>
      </c>
      <c r="N798" s="11" t="n">
        <v>0.018</v>
      </c>
      <c r="O798" s="10" t="n">
        <f aca="false">M798*(1+N798)</f>
        <v>22.8032</v>
      </c>
      <c r="P798" s="10" t="n">
        <f aca="false">O798*L798</f>
        <v>205.2288</v>
      </c>
      <c r="Q798" s="5" t="s">
        <v>113</v>
      </c>
      <c r="R798" s="5" t="n">
        <v>0</v>
      </c>
      <c r="S798" s="5" t="n">
        <v>45</v>
      </c>
      <c r="T798" s="12" t="n">
        <f aca="false">(O798-M798)/M798</f>
        <v>0.0180000000000001</v>
      </c>
      <c r="U798" s="8" t="n">
        <f aca="false">IF(AND(K798&lt;=I798,R798=0),1,0)</f>
        <v>1</v>
      </c>
      <c r="V798" s="10" t="n">
        <f aca="false">IF(Q798="No",P798,0)</f>
        <v>0</v>
      </c>
    </row>
    <row r="799" customFormat="false" ht="15" hidden="false" customHeight="false" outlineLevel="0" collapsed="false">
      <c r="A799" s="5" t="s">
        <v>933</v>
      </c>
      <c r="B799" s="5" t="s">
        <v>52</v>
      </c>
      <c r="C799" s="7" t="n">
        <v>45860</v>
      </c>
      <c r="D799" s="8" t="str">
        <f aca="false">INDEX(Dim_Supplier!$C$2:$C$21,MATCH(B799,Dim_Supplier!$A$2:$A$21,0))</f>
        <v>Raw Materials</v>
      </c>
      <c r="E799" s="8" t="str">
        <f aca="false">INDEX(Dim_Supplier!$B$2:$B$21,MATCH(B799,Dim_Supplier!$A$2:$A$21,0))</f>
        <v>Laurentian Metals Inc.</v>
      </c>
      <c r="F799" s="5" t="s">
        <v>115</v>
      </c>
      <c r="G799" s="5" t="s">
        <v>120</v>
      </c>
      <c r="H799" s="8" t="n">
        <f aca="false">INDEX(Lookup_Tables!$B$2:$B$5,MATCH(D799,Lookup_Tables!$A$2:$A$5,0))</f>
        <v>21</v>
      </c>
      <c r="I799" s="9" t="n">
        <f aca="false">C799+H799</f>
        <v>45881</v>
      </c>
      <c r="J799" s="5" t="n">
        <v>-4</v>
      </c>
      <c r="K799" s="9" t="n">
        <f aca="false">I799+J799</f>
        <v>45877</v>
      </c>
      <c r="L799" s="5" t="n">
        <v>1833</v>
      </c>
      <c r="M799" s="10" t="n">
        <f aca="false">INDEX(Dim_Supplier!$F$2:$F$21,MATCH(B799,Dim_Supplier!$A$2:$A$21,0))</f>
        <v>61.2</v>
      </c>
      <c r="N799" s="11" t="n">
        <v>0.011</v>
      </c>
      <c r="O799" s="10" t="n">
        <f aca="false">M799*(1+N799)</f>
        <v>61.8732</v>
      </c>
      <c r="P799" s="10" t="n">
        <f aca="false">O799*L799</f>
        <v>113413.5756</v>
      </c>
      <c r="Q799" s="5" t="s">
        <v>113</v>
      </c>
      <c r="R799" s="5" t="n">
        <v>0</v>
      </c>
      <c r="S799" s="5" t="n">
        <v>60</v>
      </c>
      <c r="T799" s="12" t="n">
        <f aca="false">(O799-M799)/M799</f>
        <v>0.0109999999999999</v>
      </c>
      <c r="U799" s="8" t="n">
        <f aca="false">IF(AND(K799&lt;=I799,R799=0),1,0)</f>
        <v>1</v>
      </c>
      <c r="V799" s="10" t="n">
        <f aca="false">IF(Q799="No",P799,0)</f>
        <v>0</v>
      </c>
    </row>
    <row r="800" customFormat="false" ht="15" hidden="false" customHeight="false" outlineLevel="0" collapsed="false">
      <c r="A800" s="5" t="s">
        <v>934</v>
      </c>
      <c r="B800" s="5" t="s">
        <v>60</v>
      </c>
      <c r="C800" s="7" t="n">
        <v>45464</v>
      </c>
      <c r="D800" s="8" t="str">
        <f aca="false">INDEX(Dim_Supplier!$C$2:$C$21,MATCH(B800,Dim_Supplier!$A$2:$A$21,0))</f>
        <v>Packaging</v>
      </c>
      <c r="E800" s="8" t="str">
        <f aca="false">INDEX(Dim_Supplier!$B$2:$B$21,MATCH(B800,Dim_Supplier!$A$2:$A$21,0))</f>
        <v>Maple Leaf Box &amp; Crate</v>
      </c>
      <c r="F800" s="5" t="s">
        <v>158</v>
      </c>
      <c r="G800" s="5" t="s">
        <v>125</v>
      </c>
      <c r="H800" s="8" t="n">
        <f aca="false">INDEX(Lookup_Tables!$B$2:$B$5,MATCH(D800,Lookup_Tables!$A$2:$A$5,0))</f>
        <v>14</v>
      </c>
      <c r="I800" s="9" t="n">
        <f aca="false">C800+H800</f>
        <v>45478</v>
      </c>
      <c r="J800" s="5" t="n">
        <v>1</v>
      </c>
      <c r="K800" s="9" t="n">
        <f aca="false">I800+J800</f>
        <v>45479</v>
      </c>
      <c r="L800" s="5" t="n">
        <v>842</v>
      </c>
      <c r="M800" s="10" t="n">
        <f aca="false">INDEX(Dim_Supplier!$F$2:$F$21,MATCH(B800,Dim_Supplier!$A$2:$A$21,0))</f>
        <v>3.1</v>
      </c>
      <c r="N800" s="11" t="n">
        <v>0.0339</v>
      </c>
      <c r="O800" s="10" t="n">
        <f aca="false">M800*(1+N800)</f>
        <v>3.20509</v>
      </c>
      <c r="P800" s="10" t="n">
        <f aca="false">O800*L800</f>
        <v>2698.68578</v>
      </c>
      <c r="Q800" s="5" t="s">
        <v>113</v>
      </c>
      <c r="R800" s="5" t="n">
        <v>0</v>
      </c>
      <c r="S800" s="5" t="n">
        <v>60</v>
      </c>
      <c r="T800" s="12" t="n">
        <f aca="false">(O800-M800)/M800</f>
        <v>0.0339</v>
      </c>
      <c r="U800" s="8" t="n">
        <f aca="false">IF(AND(K800&lt;=I800,R800=0),1,0)</f>
        <v>0</v>
      </c>
      <c r="V800" s="10" t="n">
        <f aca="false">IF(Q800="No",P800,0)</f>
        <v>0</v>
      </c>
    </row>
    <row r="801" customFormat="false" ht="15" hidden="false" customHeight="false" outlineLevel="0" collapsed="false">
      <c r="A801" s="5" t="s">
        <v>935</v>
      </c>
      <c r="B801" s="5" t="s">
        <v>54</v>
      </c>
      <c r="C801" s="7" t="n">
        <v>45463</v>
      </c>
      <c r="D801" s="8" t="str">
        <f aca="false">INDEX(Dim_Supplier!$C$2:$C$21,MATCH(B801,Dim_Supplier!$A$2:$A$21,0))</f>
        <v>Raw Materials</v>
      </c>
      <c r="E801" s="8" t="str">
        <f aca="false">INDEX(Dim_Supplier!$B$2:$B$21,MATCH(B801,Dim_Supplier!$A$2:$A$21,0))</f>
        <v>Northern Resin Solutions</v>
      </c>
      <c r="F801" s="5" t="s">
        <v>148</v>
      </c>
      <c r="G801" s="5" t="s">
        <v>129</v>
      </c>
      <c r="H801" s="8" t="n">
        <f aca="false">INDEX(Lookup_Tables!$B$2:$B$5,MATCH(D801,Lookup_Tables!$A$2:$A$5,0))</f>
        <v>21</v>
      </c>
      <c r="I801" s="9" t="n">
        <f aca="false">C801+H801</f>
        <v>45484</v>
      </c>
      <c r="J801" s="5" t="n">
        <v>1</v>
      </c>
      <c r="K801" s="9" t="n">
        <f aca="false">I801+J801</f>
        <v>45485</v>
      </c>
      <c r="L801" s="5" t="n">
        <v>1324</v>
      </c>
      <c r="M801" s="10" t="n">
        <f aca="false">INDEX(Dim_Supplier!$F$2:$F$21,MATCH(B801,Dim_Supplier!$A$2:$A$21,0))</f>
        <v>38.9</v>
      </c>
      <c r="N801" s="11" t="n">
        <v>0.0407</v>
      </c>
      <c r="O801" s="10" t="n">
        <f aca="false">M801*(1+N801)</f>
        <v>40.48323</v>
      </c>
      <c r="P801" s="10" t="n">
        <f aca="false">O801*L801</f>
        <v>53599.79652</v>
      </c>
      <c r="Q801" s="5" t="s">
        <v>113</v>
      </c>
      <c r="R801" s="5" t="n">
        <v>0</v>
      </c>
      <c r="S801" s="5" t="n">
        <v>60</v>
      </c>
      <c r="T801" s="12" t="n">
        <f aca="false">(O801-M801)/M801</f>
        <v>0.0407</v>
      </c>
      <c r="U801" s="8" t="n">
        <f aca="false">IF(AND(K801&lt;=I801,R801=0),1,0)</f>
        <v>0</v>
      </c>
      <c r="V801" s="10" t="n">
        <f aca="false">IF(Q801="No",P801,0)</f>
        <v>0</v>
      </c>
    </row>
    <row r="802" customFormat="false" ht="15" hidden="false" customHeight="false" outlineLevel="0" collapsed="false">
      <c r="A802" s="5" t="s">
        <v>936</v>
      </c>
      <c r="B802" s="5" t="s">
        <v>82</v>
      </c>
      <c r="C802" s="7" t="n">
        <v>45509</v>
      </c>
      <c r="D802" s="8" t="str">
        <f aca="false">INDEX(Dim_Supplier!$C$2:$C$21,MATCH(B802,Dim_Supplier!$A$2:$A$21,0))</f>
        <v>Logistics</v>
      </c>
      <c r="E802" s="8" t="str">
        <f aca="false">INDEX(Dim_Supplier!$B$2:$B$21,MATCH(B802,Dim_Supplier!$A$2:$A$21,0))</f>
        <v>Maple Route Logistics</v>
      </c>
      <c r="F802" s="5" t="s">
        <v>185</v>
      </c>
      <c r="G802" s="5" t="s">
        <v>120</v>
      </c>
      <c r="H802" s="8" t="n">
        <f aca="false">INDEX(Lookup_Tables!$B$2:$B$5,MATCH(D802,Lookup_Tables!$A$2:$A$5,0))</f>
        <v>5</v>
      </c>
      <c r="I802" s="9" t="n">
        <f aca="false">C802+H802</f>
        <v>45514</v>
      </c>
      <c r="J802" s="5" t="n">
        <v>2</v>
      </c>
      <c r="K802" s="9" t="n">
        <f aca="false">I802+J802</f>
        <v>45516</v>
      </c>
      <c r="L802" s="5" t="n">
        <v>37</v>
      </c>
      <c r="M802" s="10" t="n">
        <f aca="false">INDEX(Dim_Supplier!$F$2:$F$21,MATCH(B802,Dim_Supplier!$A$2:$A$21,0))</f>
        <v>285</v>
      </c>
      <c r="N802" s="11" t="n">
        <v>0.0392</v>
      </c>
      <c r="O802" s="10" t="n">
        <f aca="false">M802*(1+N802)</f>
        <v>296.172</v>
      </c>
      <c r="P802" s="10" t="n">
        <f aca="false">O802*L802</f>
        <v>10958.364</v>
      </c>
      <c r="Q802" s="5" t="s">
        <v>113</v>
      </c>
      <c r="R802" s="5" t="n">
        <v>0</v>
      </c>
      <c r="S802" s="5" t="n">
        <v>45</v>
      </c>
      <c r="T802" s="12" t="n">
        <f aca="false">(O802-M802)/M802</f>
        <v>0.0391999999999999</v>
      </c>
      <c r="U802" s="8" t="n">
        <f aca="false">IF(AND(K802&lt;=I802,R802=0),1,0)</f>
        <v>0</v>
      </c>
      <c r="V802" s="10" t="n">
        <f aca="false">IF(Q802="No",P802,0)</f>
        <v>0</v>
      </c>
    </row>
    <row r="803" customFormat="false" ht="15" hidden="false" customHeight="false" outlineLevel="0" collapsed="false">
      <c r="A803" s="5" t="s">
        <v>937</v>
      </c>
      <c r="B803" s="5" t="s">
        <v>82</v>
      </c>
      <c r="C803" s="7" t="n">
        <v>46034</v>
      </c>
      <c r="D803" s="8" t="str">
        <f aca="false">INDEX(Dim_Supplier!$C$2:$C$21,MATCH(B803,Dim_Supplier!$A$2:$A$21,0))</f>
        <v>Logistics</v>
      </c>
      <c r="E803" s="8" t="str">
        <f aca="false">INDEX(Dim_Supplier!$B$2:$B$21,MATCH(B803,Dim_Supplier!$A$2:$A$21,0))</f>
        <v>Maple Route Logistics</v>
      </c>
      <c r="F803" s="5" t="s">
        <v>185</v>
      </c>
      <c r="G803" s="5" t="s">
        <v>120</v>
      </c>
      <c r="H803" s="8" t="n">
        <f aca="false">INDEX(Lookup_Tables!$B$2:$B$5,MATCH(D803,Lookup_Tables!$A$2:$A$5,0))</f>
        <v>5</v>
      </c>
      <c r="I803" s="9" t="n">
        <f aca="false">C803+H803</f>
        <v>46039</v>
      </c>
      <c r="J803" s="5" t="n">
        <v>0</v>
      </c>
      <c r="K803" s="9" t="n">
        <f aca="false">I803+J803</f>
        <v>46039</v>
      </c>
      <c r="L803" s="5" t="n">
        <v>33</v>
      </c>
      <c r="M803" s="10" t="n">
        <f aca="false">INDEX(Dim_Supplier!$F$2:$F$21,MATCH(B803,Dim_Supplier!$A$2:$A$21,0))</f>
        <v>285</v>
      </c>
      <c r="N803" s="11" t="n">
        <v>0.0205</v>
      </c>
      <c r="O803" s="10" t="n">
        <f aca="false">M803*(1+N803)</f>
        <v>290.8425</v>
      </c>
      <c r="P803" s="10" t="n">
        <f aca="false">O803*L803</f>
        <v>9597.8025</v>
      </c>
      <c r="Q803" s="5" t="s">
        <v>133</v>
      </c>
      <c r="R803" s="5" t="n">
        <v>0</v>
      </c>
      <c r="S803" s="5" t="n">
        <v>45</v>
      </c>
      <c r="T803" s="12" t="n">
        <f aca="false">(O803-M803)/M803</f>
        <v>0.0204999999999999</v>
      </c>
      <c r="U803" s="8" t="n">
        <f aca="false">IF(AND(K803&lt;=I803,R803=0),1,0)</f>
        <v>1</v>
      </c>
      <c r="V803" s="10" t="n">
        <f aca="false">IF(Q803="No",P803,0)</f>
        <v>9597.8025</v>
      </c>
    </row>
    <row r="804" customFormat="false" ht="15" hidden="false" customHeight="false" outlineLevel="0" collapsed="false">
      <c r="A804" s="5" t="s">
        <v>938</v>
      </c>
      <c r="B804" s="5" t="s">
        <v>57</v>
      </c>
      <c r="C804" s="7" t="n">
        <v>45559</v>
      </c>
      <c r="D804" s="8" t="str">
        <f aca="false">INDEX(Dim_Supplier!$C$2:$C$21,MATCH(B804,Dim_Supplier!$A$2:$A$21,0))</f>
        <v>Packaging</v>
      </c>
      <c r="E804" s="8" t="str">
        <f aca="false">INDEX(Dim_Supplier!$B$2:$B$21,MATCH(B804,Dim_Supplier!$A$2:$A$21,0))</f>
        <v>Great Lakes Packaging Co.</v>
      </c>
      <c r="F804" s="5" t="s">
        <v>137</v>
      </c>
      <c r="G804" s="5" t="s">
        <v>120</v>
      </c>
      <c r="H804" s="8" t="n">
        <f aca="false">INDEX(Lookup_Tables!$B$2:$B$5,MATCH(D804,Lookup_Tables!$A$2:$A$5,0))</f>
        <v>14</v>
      </c>
      <c r="I804" s="9" t="n">
        <f aca="false">C804+H804</f>
        <v>45573</v>
      </c>
      <c r="J804" s="5" t="n">
        <v>-3</v>
      </c>
      <c r="K804" s="9" t="n">
        <f aca="false">I804+J804</f>
        <v>45570</v>
      </c>
      <c r="L804" s="5" t="n">
        <v>3298</v>
      </c>
      <c r="M804" s="10" t="n">
        <f aca="false">INDEX(Dim_Supplier!$F$2:$F$21,MATCH(B804,Dim_Supplier!$A$2:$A$21,0))</f>
        <v>4.35</v>
      </c>
      <c r="N804" s="11" t="n">
        <v>0.0671</v>
      </c>
      <c r="O804" s="10" t="n">
        <f aca="false">M804*(1+N804)</f>
        <v>4.641885</v>
      </c>
      <c r="P804" s="10" t="n">
        <f aca="false">O804*L804</f>
        <v>15308.93673</v>
      </c>
      <c r="Q804" s="5" t="s">
        <v>113</v>
      </c>
      <c r="R804" s="5" t="n">
        <v>0</v>
      </c>
      <c r="S804" s="5" t="n">
        <v>30</v>
      </c>
      <c r="T804" s="12" t="n">
        <f aca="false">(O804-M804)/M804</f>
        <v>0.0670999999999999</v>
      </c>
      <c r="U804" s="8" t="n">
        <f aca="false">IF(AND(K804&lt;=I804,R804=0),1,0)</f>
        <v>1</v>
      </c>
      <c r="V804" s="10" t="n">
        <f aca="false">IF(Q804="No",P804,0)</f>
        <v>0</v>
      </c>
    </row>
    <row r="805" customFormat="false" ht="15" hidden="false" customHeight="false" outlineLevel="0" collapsed="false">
      <c r="A805" s="5" t="s">
        <v>939</v>
      </c>
      <c r="B805" s="5" t="s">
        <v>86</v>
      </c>
      <c r="C805" s="7" t="n">
        <v>45428</v>
      </c>
      <c r="D805" s="8" t="str">
        <f aca="false">INDEX(Dim_Supplier!$C$2:$C$21,MATCH(B805,Dim_Supplier!$A$2:$A$21,0))</f>
        <v>Logistics</v>
      </c>
      <c r="E805" s="8" t="str">
        <f aca="false">INDEX(Dim_Supplier!$B$2:$B$21,MATCH(B805,Dim_Supplier!$A$2:$A$21,0))</f>
        <v>Blue Water Customs Brokerage</v>
      </c>
      <c r="F805" s="5" t="s">
        <v>124</v>
      </c>
      <c r="G805" s="5" t="s">
        <v>125</v>
      </c>
      <c r="H805" s="8" t="n">
        <f aca="false">INDEX(Lookup_Tables!$B$2:$B$5,MATCH(D805,Lookup_Tables!$A$2:$A$5,0))</f>
        <v>5</v>
      </c>
      <c r="I805" s="9" t="n">
        <f aca="false">C805+H805</f>
        <v>45433</v>
      </c>
      <c r="J805" s="5" t="n">
        <v>-2</v>
      </c>
      <c r="K805" s="9" t="n">
        <f aca="false">I805+J805</f>
        <v>45431</v>
      </c>
      <c r="L805" s="5" t="n">
        <v>12</v>
      </c>
      <c r="M805" s="10" t="n">
        <f aca="false">INDEX(Dim_Supplier!$F$2:$F$21,MATCH(B805,Dim_Supplier!$A$2:$A$21,0))</f>
        <v>175</v>
      </c>
      <c r="N805" s="11" t="n">
        <v>0.0101</v>
      </c>
      <c r="O805" s="10" t="n">
        <f aca="false">M805*(1+N805)</f>
        <v>176.7675</v>
      </c>
      <c r="P805" s="10" t="n">
        <f aca="false">O805*L805</f>
        <v>2121.21</v>
      </c>
      <c r="Q805" s="5" t="s">
        <v>113</v>
      </c>
      <c r="R805" s="5" t="n">
        <v>0</v>
      </c>
      <c r="S805" s="5" t="n">
        <v>45</v>
      </c>
      <c r="T805" s="12" t="n">
        <f aca="false">(O805-M805)/M805</f>
        <v>0.0101000000000001</v>
      </c>
      <c r="U805" s="8" t="n">
        <f aca="false">IF(AND(K805&lt;=I805,R805=0),1,0)</f>
        <v>1</v>
      </c>
      <c r="V805" s="10" t="n">
        <f aca="false">IF(Q805="No",P805,0)</f>
        <v>0</v>
      </c>
    </row>
    <row r="806" customFormat="false" ht="15" hidden="false" customHeight="false" outlineLevel="0" collapsed="false">
      <c r="A806" s="5" t="s">
        <v>940</v>
      </c>
      <c r="B806" s="5" t="s">
        <v>79</v>
      </c>
      <c r="C806" s="7" t="n">
        <v>45843</v>
      </c>
      <c r="D806" s="8" t="str">
        <f aca="false">INDEX(Dim_Supplier!$C$2:$C$21,MATCH(B806,Dim_Supplier!$A$2:$A$21,0))</f>
        <v>Logistics</v>
      </c>
      <c r="E806" s="8" t="str">
        <f aca="false">INDEX(Dim_Supplier!$B$2:$B$21,MATCH(B806,Dim_Supplier!$A$2:$A$21,0))</f>
        <v>Niagara Freight Solutions</v>
      </c>
      <c r="F806" s="5" t="s">
        <v>124</v>
      </c>
      <c r="G806" s="5" t="s">
        <v>129</v>
      </c>
      <c r="H806" s="8" t="n">
        <f aca="false">INDEX(Lookup_Tables!$B$2:$B$5,MATCH(D806,Lookup_Tables!$A$2:$A$5,0))</f>
        <v>5</v>
      </c>
      <c r="I806" s="9" t="n">
        <f aca="false">C806+H806</f>
        <v>45848</v>
      </c>
      <c r="J806" s="5" t="n">
        <v>-4</v>
      </c>
      <c r="K806" s="9" t="n">
        <f aca="false">I806+J806</f>
        <v>45844</v>
      </c>
      <c r="L806" s="5" t="n">
        <v>43</v>
      </c>
      <c r="M806" s="10" t="n">
        <f aca="false">INDEX(Dim_Supplier!$F$2:$F$21,MATCH(B806,Dim_Supplier!$A$2:$A$21,0))</f>
        <v>340</v>
      </c>
      <c r="N806" s="11" t="n">
        <v>-0.0002</v>
      </c>
      <c r="O806" s="10" t="n">
        <f aca="false">M806*(1+N806)</f>
        <v>339.932</v>
      </c>
      <c r="P806" s="10" t="n">
        <f aca="false">O806*L806</f>
        <v>14617.076</v>
      </c>
      <c r="Q806" s="5" t="s">
        <v>113</v>
      </c>
      <c r="R806" s="5" t="n">
        <v>0</v>
      </c>
      <c r="S806" s="5" t="n">
        <v>60</v>
      </c>
      <c r="T806" s="12" t="n">
        <f aca="false">(O806-M806)/M806</f>
        <v>-0.000199999999999952</v>
      </c>
      <c r="U806" s="8" t="n">
        <f aca="false">IF(AND(K806&lt;=I806,R806=0),1,0)</f>
        <v>1</v>
      </c>
      <c r="V806" s="10" t="n">
        <f aca="false">IF(Q806="No",P806,0)</f>
        <v>0</v>
      </c>
    </row>
    <row r="807" customFormat="false" ht="15" hidden="false" customHeight="false" outlineLevel="0" collapsed="false">
      <c r="A807" s="5" t="s">
        <v>941</v>
      </c>
      <c r="B807" s="5" t="s">
        <v>60</v>
      </c>
      <c r="C807" s="7" t="n">
        <v>45907</v>
      </c>
      <c r="D807" s="8" t="str">
        <f aca="false">INDEX(Dim_Supplier!$C$2:$C$21,MATCH(B807,Dim_Supplier!$A$2:$A$21,0))</f>
        <v>Packaging</v>
      </c>
      <c r="E807" s="8" t="str">
        <f aca="false">INDEX(Dim_Supplier!$B$2:$B$21,MATCH(B807,Dim_Supplier!$A$2:$A$21,0))</f>
        <v>Maple Leaf Box &amp; Crate</v>
      </c>
      <c r="F807" s="5" t="s">
        <v>119</v>
      </c>
      <c r="G807" s="5" t="s">
        <v>125</v>
      </c>
      <c r="H807" s="8" t="n">
        <f aca="false">INDEX(Lookup_Tables!$B$2:$B$5,MATCH(D807,Lookup_Tables!$A$2:$A$5,0))</f>
        <v>14</v>
      </c>
      <c r="I807" s="9" t="n">
        <f aca="false">C807+H807</f>
        <v>45921</v>
      </c>
      <c r="J807" s="5" t="n">
        <v>1</v>
      </c>
      <c r="K807" s="9" t="n">
        <f aca="false">I807+J807</f>
        <v>45922</v>
      </c>
      <c r="L807" s="5" t="n">
        <v>569</v>
      </c>
      <c r="M807" s="10" t="n">
        <f aca="false">INDEX(Dim_Supplier!$F$2:$F$21,MATCH(B807,Dim_Supplier!$A$2:$A$21,0))</f>
        <v>3.1</v>
      </c>
      <c r="N807" s="11" t="n">
        <v>0.0707</v>
      </c>
      <c r="O807" s="10" t="n">
        <f aca="false">M807*(1+N807)</f>
        <v>3.31917</v>
      </c>
      <c r="P807" s="10" t="n">
        <f aca="false">O807*L807</f>
        <v>1888.60773</v>
      </c>
      <c r="Q807" s="5" t="s">
        <v>113</v>
      </c>
      <c r="R807" s="5" t="n">
        <v>0</v>
      </c>
      <c r="S807" s="5" t="n">
        <v>30</v>
      </c>
      <c r="T807" s="12" t="n">
        <f aca="false">(O807-M807)/M807</f>
        <v>0.0707</v>
      </c>
      <c r="U807" s="8" t="n">
        <f aca="false">IF(AND(K807&lt;=I807,R807=0),1,0)</f>
        <v>0</v>
      </c>
      <c r="V807" s="10" t="n">
        <f aca="false">IF(Q807="No",P807,0)</f>
        <v>0</v>
      </c>
    </row>
    <row r="808" customFormat="false" ht="15" hidden="false" customHeight="false" outlineLevel="0" collapsed="false">
      <c r="A808" s="5" t="s">
        <v>942</v>
      </c>
      <c r="B808" s="5" t="s">
        <v>41</v>
      </c>
      <c r="C808" s="7" t="n">
        <v>46052</v>
      </c>
      <c r="D808" s="8" t="str">
        <f aca="false">INDEX(Dim_Supplier!$C$2:$C$21,MATCH(B808,Dim_Supplier!$A$2:$A$21,0))</f>
        <v>Raw Materials</v>
      </c>
      <c r="E808" s="8" t="str">
        <f aca="false">INDEX(Dim_Supplier!$B$2:$B$21,MATCH(B808,Dim_Supplier!$A$2:$A$21,0))</f>
        <v>Ontario Steel Partners</v>
      </c>
      <c r="F808" s="5" t="s">
        <v>148</v>
      </c>
      <c r="G808" s="5" t="s">
        <v>120</v>
      </c>
      <c r="H808" s="8" t="n">
        <f aca="false">INDEX(Lookup_Tables!$B$2:$B$5,MATCH(D808,Lookup_Tables!$A$2:$A$5,0))</f>
        <v>21</v>
      </c>
      <c r="I808" s="9" t="n">
        <f aca="false">C808+H808</f>
        <v>46073</v>
      </c>
      <c r="J808" s="5" t="n">
        <v>-4</v>
      </c>
      <c r="K808" s="9" t="n">
        <f aca="false">I808+J808</f>
        <v>46069</v>
      </c>
      <c r="L808" s="5" t="n">
        <v>492</v>
      </c>
      <c r="M808" s="10" t="n">
        <f aca="false">INDEX(Dim_Supplier!$F$2:$F$21,MATCH(B808,Dim_Supplier!$A$2:$A$21,0))</f>
        <v>58</v>
      </c>
      <c r="N808" s="11" t="n">
        <v>-0.0185</v>
      </c>
      <c r="O808" s="10" t="n">
        <f aca="false">M808*(1+N808)</f>
        <v>56.927</v>
      </c>
      <c r="P808" s="10" t="n">
        <f aca="false">O808*L808</f>
        <v>28008.084</v>
      </c>
      <c r="Q808" s="5" t="s">
        <v>113</v>
      </c>
      <c r="R808" s="5" t="n">
        <v>0</v>
      </c>
      <c r="S808" s="5" t="n">
        <v>30</v>
      </c>
      <c r="T808" s="12" t="n">
        <f aca="false">(O808-M808)/M808</f>
        <v>-0.0185</v>
      </c>
      <c r="U808" s="8" t="n">
        <f aca="false">IF(AND(K808&lt;=I808,R808=0),1,0)</f>
        <v>1</v>
      </c>
      <c r="V808" s="10" t="n">
        <f aca="false">IF(Q808="No",P808,0)</f>
        <v>0</v>
      </c>
    </row>
    <row r="809" customFormat="false" ht="15" hidden="false" customHeight="false" outlineLevel="0" collapsed="false">
      <c r="A809" s="5" t="s">
        <v>943</v>
      </c>
      <c r="B809" s="5" t="s">
        <v>75</v>
      </c>
      <c r="C809" s="7" t="n">
        <v>45531</v>
      </c>
      <c r="D809" s="8" t="str">
        <f aca="false">INDEX(Dim_Supplier!$C$2:$C$21,MATCH(B809,Dim_Supplier!$A$2:$A$21,0))</f>
        <v>MRO</v>
      </c>
      <c r="E809" s="8" t="str">
        <f aca="false">INDEX(Dim_Supplier!$B$2:$B$21,MATCH(B809,Dim_Supplier!$A$2:$A$21,0))</f>
        <v>Sterling Lubricants Inc.</v>
      </c>
      <c r="F809" s="5" t="s">
        <v>179</v>
      </c>
      <c r="G809" s="5" t="s">
        <v>120</v>
      </c>
      <c r="H809" s="8" t="n">
        <f aca="false">INDEX(Lookup_Tables!$B$2:$B$5,MATCH(D809,Lookup_Tables!$A$2:$A$5,0))</f>
        <v>10</v>
      </c>
      <c r="I809" s="9" t="n">
        <f aca="false">C809+H809</f>
        <v>45541</v>
      </c>
      <c r="J809" s="5" t="n">
        <v>-1</v>
      </c>
      <c r="K809" s="9" t="n">
        <f aca="false">I809+J809</f>
        <v>45540</v>
      </c>
      <c r="L809" s="5" t="n">
        <v>185</v>
      </c>
      <c r="M809" s="10" t="n">
        <f aca="false">INDEX(Dim_Supplier!$F$2:$F$21,MATCH(B809,Dim_Supplier!$A$2:$A$21,0))</f>
        <v>27.1</v>
      </c>
      <c r="N809" s="11" t="n">
        <v>0.0253</v>
      </c>
      <c r="O809" s="10" t="n">
        <f aca="false">M809*(1+N809)</f>
        <v>27.78563</v>
      </c>
      <c r="P809" s="10" t="n">
        <f aca="false">O809*L809</f>
        <v>5140.34155</v>
      </c>
      <c r="Q809" s="5" t="s">
        <v>113</v>
      </c>
      <c r="R809" s="5" t="n">
        <v>0</v>
      </c>
      <c r="S809" s="5" t="n">
        <v>30</v>
      </c>
      <c r="T809" s="12" t="n">
        <f aca="false">(O809-M809)/M809</f>
        <v>0.0253000000000001</v>
      </c>
      <c r="U809" s="8" t="n">
        <f aca="false">IF(AND(K809&lt;=I809,R809=0),1,0)</f>
        <v>1</v>
      </c>
      <c r="V809" s="10" t="n">
        <f aca="false">IF(Q809="No",P809,0)</f>
        <v>0</v>
      </c>
    </row>
    <row r="810" customFormat="false" ht="15" hidden="false" customHeight="false" outlineLevel="0" collapsed="false">
      <c r="A810" s="5" t="s">
        <v>944</v>
      </c>
      <c r="B810" s="5" t="s">
        <v>79</v>
      </c>
      <c r="C810" s="7" t="n">
        <v>45697</v>
      </c>
      <c r="D810" s="8" t="str">
        <f aca="false">INDEX(Dim_Supplier!$C$2:$C$21,MATCH(B810,Dim_Supplier!$A$2:$A$21,0))</f>
        <v>Logistics</v>
      </c>
      <c r="E810" s="8" t="str">
        <f aca="false">INDEX(Dim_Supplier!$B$2:$B$21,MATCH(B810,Dim_Supplier!$A$2:$A$21,0))</f>
        <v>Niagara Freight Solutions</v>
      </c>
      <c r="F810" s="5" t="s">
        <v>124</v>
      </c>
      <c r="G810" s="5" t="s">
        <v>120</v>
      </c>
      <c r="H810" s="8" t="n">
        <f aca="false">INDEX(Lookup_Tables!$B$2:$B$5,MATCH(D810,Lookup_Tables!$A$2:$A$5,0))</f>
        <v>5</v>
      </c>
      <c r="I810" s="9" t="n">
        <f aca="false">C810+H810</f>
        <v>45702</v>
      </c>
      <c r="J810" s="5" t="n">
        <v>-4</v>
      </c>
      <c r="K810" s="9" t="n">
        <f aca="false">I810+J810</f>
        <v>45698</v>
      </c>
      <c r="L810" s="5" t="n">
        <v>36</v>
      </c>
      <c r="M810" s="10" t="n">
        <f aca="false">INDEX(Dim_Supplier!$F$2:$F$21,MATCH(B810,Dim_Supplier!$A$2:$A$21,0))</f>
        <v>340</v>
      </c>
      <c r="N810" s="11" t="n">
        <v>0.0002</v>
      </c>
      <c r="O810" s="10" t="n">
        <f aca="false">M810*(1+N810)</f>
        <v>340.068</v>
      </c>
      <c r="P810" s="10" t="n">
        <f aca="false">O810*L810</f>
        <v>12242.448</v>
      </c>
      <c r="Q810" s="5" t="s">
        <v>113</v>
      </c>
      <c r="R810" s="5" t="n">
        <v>0</v>
      </c>
      <c r="S810" s="5" t="n">
        <v>45</v>
      </c>
      <c r="T810" s="12" t="n">
        <f aca="false">(O810-M810)/M810</f>
        <v>0.000199999999999952</v>
      </c>
      <c r="U810" s="8" t="n">
        <f aca="false">IF(AND(K810&lt;=I810,R810=0),1,0)</f>
        <v>1</v>
      </c>
      <c r="V810" s="10" t="n">
        <f aca="false">IF(Q810="No",P810,0)</f>
        <v>0</v>
      </c>
    </row>
    <row r="811" customFormat="false" ht="15" hidden="false" customHeight="false" outlineLevel="0" collapsed="false">
      <c r="A811" s="5" t="s">
        <v>945</v>
      </c>
      <c r="B811" s="5" t="s">
        <v>71</v>
      </c>
      <c r="C811" s="7" t="n">
        <v>45471</v>
      </c>
      <c r="D811" s="8" t="str">
        <f aca="false">INDEX(Dim_Supplier!$C$2:$C$21,MATCH(B811,Dim_Supplier!$A$2:$A$21,0))</f>
        <v>MRO</v>
      </c>
      <c r="E811" s="8" t="str">
        <f aca="false">INDEX(Dim_Supplier!$B$2:$B$21,MATCH(B811,Dim_Supplier!$A$2:$A$21,0))</f>
        <v>CanSafe Equipment Ltd.</v>
      </c>
      <c r="F811" s="5" t="s">
        <v>127</v>
      </c>
      <c r="G811" s="5" t="s">
        <v>112</v>
      </c>
      <c r="H811" s="8" t="n">
        <f aca="false">INDEX(Lookup_Tables!$B$2:$B$5,MATCH(D811,Lookup_Tables!$A$2:$A$5,0))</f>
        <v>10</v>
      </c>
      <c r="I811" s="9" t="n">
        <f aca="false">C811+H811</f>
        <v>45481</v>
      </c>
      <c r="J811" s="5" t="n">
        <v>-1</v>
      </c>
      <c r="K811" s="9" t="n">
        <f aca="false">I811+J811</f>
        <v>45480</v>
      </c>
      <c r="L811" s="5" t="n">
        <v>150</v>
      </c>
      <c r="M811" s="10" t="n">
        <f aca="false">INDEX(Dim_Supplier!$F$2:$F$21,MATCH(B811,Dim_Supplier!$A$2:$A$21,0))</f>
        <v>18.75</v>
      </c>
      <c r="N811" s="11" t="n">
        <v>0.0196</v>
      </c>
      <c r="O811" s="10" t="n">
        <f aca="false">M811*(1+N811)</f>
        <v>19.1175</v>
      </c>
      <c r="P811" s="10" t="n">
        <f aca="false">O811*L811</f>
        <v>2867.625</v>
      </c>
      <c r="Q811" s="5" t="s">
        <v>113</v>
      </c>
      <c r="R811" s="5" t="n">
        <v>0</v>
      </c>
      <c r="S811" s="5" t="n">
        <v>45</v>
      </c>
      <c r="T811" s="12" t="n">
        <f aca="false">(O811-M811)/M811</f>
        <v>0.0196</v>
      </c>
      <c r="U811" s="8" t="n">
        <f aca="false">IF(AND(K811&lt;=I811,R811=0),1,0)</f>
        <v>1</v>
      </c>
      <c r="V811" s="10" t="n">
        <f aca="false">IF(Q811="No",P811,0)</f>
        <v>0</v>
      </c>
    </row>
    <row r="812" customFormat="false" ht="15" hidden="false" customHeight="false" outlineLevel="0" collapsed="false">
      <c r="A812" s="5" t="s">
        <v>946</v>
      </c>
      <c r="B812" s="5" t="s">
        <v>54</v>
      </c>
      <c r="C812" s="7" t="n">
        <v>46160</v>
      </c>
      <c r="D812" s="8" t="str">
        <f aca="false">INDEX(Dim_Supplier!$C$2:$C$21,MATCH(B812,Dim_Supplier!$A$2:$A$21,0))</f>
        <v>Raw Materials</v>
      </c>
      <c r="E812" s="8" t="str">
        <f aca="false">INDEX(Dim_Supplier!$B$2:$B$21,MATCH(B812,Dim_Supplier!$A$2:$A$21,0))</f>
        <v>Northern Resin Solutions</v>
      </c>
      <c r="F812" s="5" t="s">
        <v>148</v>
      </c>
      <c r="G812" s="5" t="s">
        <v>120</v>
      </c>
      <c r="H812" s="8" t="n">
        <f aca="false">INDEX(Lookup_Tables!$B$2:$B$5,MATCH(D812,Lookup_Tables!$A$2:$A$5,0))</f>
        <v>21</v>
      </c>
      <c r="I812" s="9" t="n">
        <f aca="false">C812+H812</f>
        <v>46181</v>
      </c>
      <c r="J812" s="5" t="n">
        <v>-3</v>
      </c>
      <c r="K812" s="9" t="n">
        <f aca="false">I812+J812</f>
        <v>46178</v>
      </c>
      <c r="L812" s="5" t="n">
        <v>104</v>
      </c>
      <c r="M812" s="10" t="n">
        <f aca="false">INDEX(Dim_Supplier!$F$2:$F$21,MATCH(B812,Dim_Supplier!$A$2:$A$21,0))</f>
        <v>38.9</v>
      </c>
      <c r="N812" s="11" t="n">
        <v>0.0124</v>
      </c>
      <c r="O812" s="10" t="n">
        <f aca="false">M812*(1+N812)</f>
        <v>39.38236</v>
      </c>
      <c r="P812" s="10" t="n">
        <f aca="false">O812*L812</f>
        <v>4095.76544</v>
      </c>
      <c r="Q812" s="5" t="s">
        <v>133</v>
      </c>
      <c r="R812" s="5" t="n">
        <v>0</v>
      </c>
      <c r="S812" s="5" t="n">
        <v>60</v>
      </c>
      <c r="T812" s="12" t="n">
        <f aca="false">(O812-M812)/M812</f>
        <v>0.0124</v>
      </c>
      <c r="U812" s="8" t="n">
        <f aca="false">IF(AND(K812&lt;=I812,R812=0),1,0)</f>
        <v>1</v>
      </c>
      <c r="V812" s="10" t="n">
        <f aca="false">IF(Q812="No",P812,0)</f>
        <v>4095.76544</v>
      </c>
    </row>
    <row r="813" customFormat="false" ht="15" hidden="false" customHeight="false" outlineLevel="0" collapsed="false">
      <c r="A813" s="5" t="s">
        <v>947</v>
      </c>
      <c r="B813" s="5" t="s">
        <v>41</v>
      </c>
      <c r="C813" s="7" t="n">
        <v>45622</v>
      </c>
      <c r="D813" s="8" t="str">
        <f aca="false">INDEX(Dim_Supplier!$C$2:$C$21,MATCH(B813,Dim_Supplier!$A$2:$A$21,0))</f>
        <v>Raw Materials</v>
      </c>
      <c r="E813" s="8" t="str">
        <f aca="false">INDEX(Dim_Supplier!$B$2:$B$21,MATCH(B813,Dim_Supplier!$A$2:$A$21,0))</f>
        <v>Ontario Steel Partners</v>
      </c>
      <c r="F813" s="5" t="s">
        <v>142</v>
      </c>
      <c r="G813" s="5" t="s">
        <v>125</v>
      </c>
      <c r="H813" s="8" t="n">
        <f aca="false">INDEX(Lookup_Tables!$B$2:$B$5,MATCH(D813,Lookup_Tables!$A$2:$A$5,0))</f>
        <v>21</v>
      </c>
      <c r="I813" s="9" t="n">
        <f aca="false">C813+H813</f>
        <v>45643</v>
      </c>
      <c r="J813" s="5" t="n">
        <v>-3</v>
      </c>
      <c r="K813" s="9" t="n">
        <f aca="false">I813+J813</f>
        <v>45640</v>
      </c>
      <c r="L813" s="5" t="n">
        <v>1055</v>
      </c>
      <c r="M813" s="10" t="n">
        <f aca="false">INDEX(Dim_Supplier!$F$2:$F$21,MATCH(B813,Dim_Supplier!$A$2:$A$21,0))</f>
        <v>58</v>
      </c>
      <c r="N813" s="11" t="n">
        <v>0.0399</v>
      </c>
      <c r="O813" s="10" t="n">
        <f aca="false">M813*(1+N813)</f>
        <v>60.3142</v>
      </c>
      <c r="P813" s="10" t="n">
        <f aca="false">O813*L813</f>
        <v>63631.481</v>
      </c>
      <c r="Q813" s="5" t="s">
        <v>113</v>
      </c>
      <c r="R813" s="5" t="n">
        <v>0</v>
      </c>
      <c r="S813" s="5" t="n">
        <v>30</v>
      </c>
      <c r="T813" s="12" t="n">
        <f aca="false">(O813-M813)/M813</f>
        <v>0.0399</v>
      </c>
      <c r="U813" s="8" t="n">
        <f aca="false">IF(AND(K813&lt;=I813,R813=0),1,0)</f>
        <v>1</v>
      </c>
      <c r="V813" s="10" t="n">
        <f aca="false">IF(Q813="No",P813,0)</f>
        <v>0</v>
      </c>
    </row>
    <row r="814" customFormat="false" ht="15" hidden="false" customHeight="false" outlineLevel="0" collapsed="false">
      <c r="A814" s="5" t="s">
        <v>948</v>
      </c>
      <c r="B814" s="5" t="s">
        <v>77</v>
      </c>
      <c r="C814" s="7" t="n">
        <v>45340</v>
      </c>
      <c r="D814" s="8" t="str">
        <f aca="false">INDEX(Dim_Supplier!$C$2:$C$21,MATCH(B814,Dim_Supplier!$A$2:$A$21,0))</f>
        <v>MRO</v>
      </c>
      <c r="E814" s="8" t="str">
        <f aca="false">INDEX(Dim_Supplier!$B$2:$B$21,MATCH(B814,Dim_Supplier!$A$2:$A$21,0))</f>
        <v>Apex Industrial Supply</v>
      </c>
      <c r="F814" s="5" t="s">
        <v>111</v>
      </c>
      <c r="G814" s="5" t="s">
        <v>125</v>
      </c>
      <c r="H814" s="8" t="n">
        <f aca="false">INDEX(Lookup_Tables!$B$2:$B$5,MATCH(D814,Lookup_Tables!$A$2:$A$5,0))</f>
        <v>10</v>
      </c>
      <c r="I814" s="9" t="n">
        <f aca="false">C814+H814</f>
        <v>45350</v>
      </c>
      <c r="J814" s="5" t="n">
        <v>-3</v>
      </c>
      <c r="K814" s="9" t="n">
        <f aca="false">I814+J814</f>
        <v>45347</v>
      </c>
      <c r="L814" s="5" t="n">
        <v>105</v>
      </c>
      <c r="M814" s="10" t="n">
        <f aca="false">INDEX(Dim_Supplier!$F$2:$F$21,MATCH(B814,Dim_Supplier!$A$2:$A$21,0))</f>
        <v>24.6</v>
      </c>
      <c r="N814" s="11" t="n">
        <v>0.0465</v>
      </c>
      <c r="O814" s="10" t="n">
        <f aca="false">M814*(1+N814)</f>
        <v>25.7439</v>
      </c>
      <c r="P814" s="10" t="n">
        <f aca="false">O814*L814</f>
        <v>2703.1095</v>
      </c>
      <c r="Q814" s="5" t="s">
        <v>113</v>
      </c>
      <c r="R814" s="5" t="n">
        <v>0</v>
      </c>
      <c r="S814" s="5" t="n">
        <v>45</v>
      </c>
      <c r="T814" s="12" t="n">
        <f aca="false">(O814-M814)/M814</f>
        <v>0.0464999999999999</v>
      </c>
      <c r="U814" s="8" t="n">
        <f aca="false">IF(AND(K814&lt;=I814,R814=0),1,0)</f>
        <v>1</v>
      </c>
      <c r="V814" s="10" t="n">
        <f aca="false">IF(Q814="No",P814,0)</f>
        <v>0</v>
      </c>
    </row>
    <row r="815" customFormat="false" ht="15" hidden="false" customHeight="false" outlineLevel="0" collapsed="false">
      <c r="A815" s="5" t="s">
        <v>949</v>
      </c>
      <c r="B815" s="5" t="s">
        <v>41</v>
      </c>
      <c r="C815" s="7" t="n">
        <v>46047</v>
      </c>
      <c r="D815" s="8" t="str">
        <f aca="false">INDEX(Dim_Supplier!$C$2:$C$21,MATCH(B815,Dim_Supplier!$A$2:$A$21,0))</f>
        <v>Raw Materials</v>
      </c>
      <c r="E815" s="8" t="str">
        <f aca="false">INDEX(Dim_Supplier!$B$2:$B$21,MATCH(B815,Dim_Supplier!$A$2:$A$21,0))</f>
        <v>Ontario Steel Partners</v>
      </c>
      <c r="F815" s="5" t="s">
        <v>115</v>
      </c>
      <c r="G815" s="5" t="s">
        <v>125</v>
      </c>
      <c r="H815" s="8" t="n">
        <f aca="false">INDEX(Lookup_Tables!$B$2:$B$5,MATCH(D815,Lookup_Tables!$A$2:$A$5,0))</f>
        <v>21</v>
      </c>
      <c r="I815" s="9" t="n">
        <f aca="false">C815+H815</f>
        <v>46068</v>
      </c>
      <c r="J815" s="5" t="n">
        <v>1</v>
      </c>
      <c r="K815" s="9" t="n">
        <f aca="false">I815+J815</f>
        <v>46069</v>
      </c>
      <c r="L815" s="5" t="n">
        <v>503</v>
      </c>
      <c r="M815" s="10" t="n">
        <f aca="false">INDEX(Dim_Supplier!$F$2:$F$21,MATCH(B815,Dim_Supplier!$A$2:$A$21,0))</f>
        <v>58</v>
      </c>
      <c r="N815" s="11" t="n">
        <v>-0.0017</v>
      </c>
      <c r="O815" s="10" t="n">
        <f aca="false">M815*(1+N815)</f>
        <v>57.9014</v>
      </c>
      <c r="P815" s="10" t="n">
        <f aca="false">O815*L815</f>
        <v>29124.4042</v>
      </c>
      <c r="Q815" s="5" t="s">
        <v>113</v>
      </c>
      <c r="R815" s="5" t="n">
        <v>0</v>
      </c>
      <c r="S815" s="5" t="n">
        <v>45</v>
      </c>
      <c r="T815" s="12" t="n">
        <f aca="false">(O815-M815)/M815</f>
        <v>-0.00170000000000008</v>
      </c>
      <c r="U815" s="8" t="n">
        <f aca="false">IF(AND(K815&lt;=I815,R815=0),1,0)</f>
        <v>0</v>
      </c>
      <c r="V815" s="10" t="n">
        <f aca="false">IF(Q815="No",P815,0)</f>
        <v>0</v>
      </c>
    </row>
    <row r="816" customFormat="false" ht="15" hidden="false" customHeight="false" outlineLevel="0" collapsed="false">
      <c r="A816" s="5" t="s">
        <v>950</v>
      </c>
      <c r="B816" s="5" t="s">
        <v>46</v>
      </c>
      <c r="C816" s="7" t="n">
        <v>45783</v>
      </c>
      <c r="D816" s="8" t="str">
        <f aca="false">INDEX(Dim_Supplier!$C$2:$C$21,MATCH(B816,Dim_Supplier!$A$2:$A$21,0))</f>
        <v>Raw Materials</v>
      </c>
      <c r="E816" s="8" t="str">
        <f aca="false">INDEX(Dim_Supplier!$B$2:$B$21,MATCH(B816,Dim_Supplier!$A$2:$A$21,0))</f>
        <v>Niagara Alloy Supply</v>
      </c>
      <c r="F816" s="5" t="s">
        <v>142</v>
      </c>
      <c r="G816" s="5" t="s">
        <v>129</v>
      </c>
      <c r="H816" s="8" t="n">
        <f aca="false">INDEX(Lookup_Tables!$B$2:$B$5,MATCH(D816,Lookup_Tables!$A$2:$A$5,0))</f>
        <v>21</v>
      </c>
      <c r="I816" s="9" t="n">
        <f aca="false">C816+H816</f>
        <v>45804</v>
      </c>
      <c r="J816" s="5" t="n">
        <v>-3</v>
      </c>
      <c r="K816" s="9" t="n">
        <f aca="false">I816+J816</f>
        <v>45801</v>
      </c>
      <c r="L816" s="5" t="n">
        <v>784</v>
      </c>
      <c r="M816" s="10" t="n">
        <f aca="false">INDEX(Dim_Supplier!$F$2:$F$21,MATCH(B816,Dim_Supplier!$A$2:$A$21,0))</f>
        <v>46.5</v>
      </c>
      <c r="N816" s="11" t="n">
        <v>0.0146</v>
      </c>
      <c r="O816" s="10" t="n">
        <f aca="false">M816*(1+N816)</f>
        <v>47.1789</v>
      </c>
      <c r="P816" s="10" t="n">
        <f aca="false">O816*L816</f>
        <v>36988.2576</v>
      </c>
      <c r="Q816" s="5" t="s">
        <v>113</v>
      </c>
      <c r="R816" s="5" t="n">
        <v>0</v>
      </c>
      <c r="S816" s="5" t="n">
        <v>30</v>
      </c>
      <c r="T816" s="12" t="n">
        <f aca="false">(O816-M816)/M816</f>
        <v>0.0146</v>
      </c>
      <c r="U816" s="8" t="n">
        <f aca="false">IF(AND(K816&lt;=I816,R816=0),1,0)</f>
        <v>1</v>
      </c>
      <c r="V816" s="10" t="n">
        <f aca="false">IF(Q816="No",P816,0)</f>
        <v>0</v>
      </c>
    </row>
    <row r="817" customFormat="false" ht="15" hidden="false" customHeight="false" outlineLevel="0" collapsed="false">
      <c r="A817" s="5" t="s">
        <v>951</v>
      </c>
      <c r="B817" s="5" t="s">
        <v>88</v>
      </c>
      <c r="C817" s="7" t="n">
        <v>46144</v>
      </c>
      <c r="D817" s="8" t="str">
        <f aca="false">INDEX(Dim_Supplier!$C$2:$C$21,MATCH(B817,Dim_Supplier!$A$2:$A$21,0))</f>
        <v>Logistics</v>
      </c>
      <c r="E817" s="8" t="str">
        <f aca="false">INDEX(Dim_Supplier!$B$2:$B$21,MATCH(B817,Dim_Supplier!$A$2:$A$21,0))</f>
        <v>Summit Last-Mile Delivery</v>
      </c>
      <c r="F817" s="5" t="s">
        <v>124</v>
      </c>
      <c r="G817" s="5" t="s">
        <v>120</v>
      </c>
      <c r="H817" s="8" t="n">
        <f aca="false">INDEX(Lookup_Tables!$B$2:$B$5,MATCH(D817,Lookup_Tables!$A$2:$A$5,0))</f>
        <v>5</v>
      </c>
      <c r="I817" s="9" t="n">
        <f aca="false">C817+H817</f>
        <v>46149</v>
      </c>
      <c r="J817" s="5" t="n">
        <v>-2</v>
      </c>
      <c r="K817" s="9" t="n">
        <f aca="false">I817+J817</f>
        <v>46147</v>
      </c>
      <c r="L817" s="5" t="n">
        <v>5</v>
      </c>
      <c r="M817" s="10" t="n">
        <f aca="false">INDEX(Dim_Supplier!$F$2:$F$21,MATCH(B817,Dim_Supplier!$A$2:$A$21,0))</f>
        <v>95</v>
      </c>
      <c r="N817" s="11" t="n">
        <v>0.0382</v>
      </c>
      <c r="O817" s="10" t="n">
        <f aca="false">M817*(1+N817)</f>
        <v>98.629</v>
      </c>
      <c r="P817" s="10" t="n">
        <f aca="false">O817*L817</f>
        <v>493.145</v>
      </c>
      <c r="Q817" s="5" t="s">
        <v>113</v>
      </c>
      <c r="R817" s="5" t="n">
        <v>0</v>
      </c>
      <c r="S817" s="5" t="n">
        <v>45</v>
      </c>
      <c r="T817" s="12" t="n">
        <f aca="false">(O817-M817)/M817</f>
        <v>0.0382000000000001</v>
      </c>
      <c r="U817" s="8" t="n">
        <f aca="false">IF(AND(K817&lt;=I817,R817=0),1,0)</f>
        <v>1</v>
      </c>
      <c r="V817" s="10" t="n">
        <f aca="false">IF(Q817="No",P817,0)</f>
        <v>0</v>
      </c>
    </row>
    <row r="818" customFormat="false" ht="15" hidden="false" customHeight="false" outlineLevel="0" collapsed="false">
      <c r="A818" s="5" t="s">
        <v>952</v>
      </c>
      <c r="B818" s="5" t="s">
        <v>71</v>
      </c>
      <c r="C818" s="7" t="n">
        <v>45884</v>
      </c>
      <c r="D818" s="8" t="str">
        <f aca="false">INDEX(Dim_Supplier!$C$2:$C$21,MATCH(B818,Dim_Supplier!$A$2:$A$21,0))</f>
        <v>MRO</v>
      </c>
      <c r="E818" s="8" t="str">
        <f aca="false">INDEX(Dim_Supplier!$B$2:$B$21,MATCH(B818,Dim_Supplier!$A$2:$A$21,0))</f>
        <v>CanSafe Equipment Ltd.</v>
      </c>
      <c r="F818" s="5" t="s">
        <v>127</v>
      </c>
      <c r="G818" s="5" t="s">
        <v>129</v>
      </c>
      <c r="H818" s="8" t="n">
        <f aca="false">INDEX(Lookup_Tables!$B$2:$B$5,MATCH(D818,Lookup_Tables!$A$2:$A$5,0))</f>
        <v>10</v>
      </c>
      <c r="I818" s="9" t="n">
        <f aca="false">C818+H818</f>
        <v>45894</v>
      </c>
      <c r="J818" s="5" t="n">
        <v>3</v>
      </c>
      <c r="K818" s="9" t="n">
        <f aca="false">I818+J818</f>
        <v>45897</v>
      </c>
      <c r="L818" s="5" t="n">
        <v>101</v>
      </c>
      <c r="M818" s="10" t="n">
        <f aca="false">INDEX(Dim_Supplier!$F$2:$F$21,MATCH(B818,Dim_Supplier!$A$2:$A$21,0))</f>
        <v>18.75</v>
      </c>
      <c r="N818" s="11" t="n">
        <v>0.0229</v>
      </c>
      <c r="O818" s="10" t="n">
        <f aca="false">M818*(1+N818)</f>
        <v>19.179375</v>
      </c>
      <c r="P818" s="10" t="n">
        <f aca="false">O818*L818</f>
        <v>1937.116875</v>
      </c>
      <c r="Q818" s="5" t="s">
        <v>113</v>
      </c>
      <c r="R818" s="5" t="n">
        <v>0</v>
      </c>
      <c r="S818" s="5" t="n">
        <v>30</v>
      </c>
      <c r="T818" s="12" t="n">
        <f aca="false">(O818-M818)/M818</f>
        <v>0.0229</v>
      </c>
      <c r="U818" s="8" t="n">
        <f aca="false">IF(AND(K818&lt;=I818,R818=0),1,0)</f>
        <v>0</v>
      </c>
      <c r="V818" s="10" t="n">
        <f aca="false">IF(Q818="No",P818,0)</f>
        <v>0</v>
      </c>
    </row>
    <row r="819" customFormat="false" ht="15" hidden="false" customHeight="false" outlineLevel="0" collapsed="false">
      <c r="A819" s="5" t="s">
        <v>953</v>
      </c>
      <c r="B819" s="5" t="s">
        <v>46</v>
      </c>
      <c r="C819" s="7" t="n">
        <v>46113</v>
      </c>
      <c r="D819" s="8" t="str">
        <f aca="false">INDEX(Dim_Supplier!$C$2:$C$21,MATCH(B819,Dim_Supplier!$A$2:$A$21,0))</f>
        <v>Raw Materials</v>
      </c>
      <c r="E819" s="8" t="str">
        <f aca="false">INDEX(Dim_Supplier!$B$2:$B$21,MATCH(B819,Dim_Supplier!$A$2:$A$21,0))</f>
        <v>Niagara Alloy Supply</v>
      </c>
      <c r="F819" s="5" t="s">
        <v>142</v>
      </c>
      <c r="G819" s="5" t="s">
        <v>129</v>
      </c>
      <c r="H819" s="8" t="n">
        <f aca="false">INDEX(Lookup_Tables!$B$2:$B$5,MATCH(D819,Lookup_Tables!$A$2:$A$5,0))</f>
        <v>21</v>
      </c>
      <c r="I819" s="9" t="n">
        <f aca="false">C819+H819</f>
        <v>46134</v>
      </c>
      <c r="J819" s="5" t="n">
        <v>-2</v>
      </c>
      <c r="K819" s="9" t="n">
        <f aca="false">I819+J819</f>
        <v>46132</v>
      </c>
      <c r="L819" s="5" t="n">
        <v>234</v>
      </c>
      <c r="M819" s="10" t="n">
        <f aca="false">INDEX(Dim_Supplier!$F$2:$F$21,MATCH(B819,Dim_Supplier!$A$2:$A$21,0))</f>
        <v>46.5</v>
      </c>
      <c r="N819" s="11" t="n">
        <v>0.0566</v>
      </c>
      <c r="O819" s="10" t="n">
        <f aca="false">M819*(1+N819)</f>
        <v>49.1319</v>
      </c>
      <c r="P819" s="10" t="n">
        <f aca="false">O819*L819</f>
        <v>11496.8646</v>
      </c>
      <c r="Q819" s="5" t="s">
        <v>113</v>
      </c>
      <c r="R819" s="5" t="n">
        <v>0</v>
      </c>
      <c r="S819" s="5" t="n">
        <v>30</v>
      </c>
      <c r="T819" s="12" t="n">
        <f aca="false">(O819-M819)/M819</f>
        <v>0.0566</v>
      </c>
      <c r="U819" s="8" t="n">
        <f aca="false">IF(AND(K819&lt;=I819,R819=0),1,0)</f>
        <v>1</v>
      </c>
      <c r="V819" s="10" t="n">
        <f aca="false">IF(Q819="No",P819,0)</f>
        <v>0</v>
      </c>
    </row>
    <row r="820" customFormat="false" ht="15" hidden="false" customHeight="false" outlineLevel="0" collapsed="false">
      <c r="A820" s="5" t="s">
        <v>954</v>
      </c>
      <c r="B820" s="5" t="s">
        <v>82</v>
      </c>
      <c r="C820" s="7" t="n">
        <v>45703</v>
      </c>
      <c r="D820" s="8" t="str">
        <f aca="false">INDEX(Dim_Supplier!$C$2:$C$21,MATCH(B820,Dim_Supplier!$A$2:$A$21,0))</f>
        <v>Logistics</v>
      </c>
      <c r="E820" s="8" t="str">
        <f aca="false">INDEX(Dim_Supplier!$B$2:$B$21,MATCH(B820,Dim_Supplier!$A$2:$A$21,0))</f>
        <v>Maple Route Logistics</v>
      </c>
      <c r="F820" s="5" t="s">
        <v>124</v>
      </c>
      <c r="G820" s="5" t="s">
        <v>125</v>
      </c>
      <c r="H820" s="8" t="n">
        <f aca="false">INDEX(Lookup_Tables!$B$2:$B$5,MATCH(D820,Lookup_Tables!$A$2:$A$5,0))</f>
        <v>5</v>
      </c>
      <c r="I820" s="9" t="n">
        <f aca="false">C820+H820</f>
        <v>45708</v>
      </c>
      <c r="J820" s="5" t="n">
        <v>-1</v>
      </c>
      <c r="K820" s="9" t="n">
        <f aca="false">I820+J820</f>
        <v>45707</v>
      </c>
      <c r="L820" s="5" t="n">
        <v>43</v>
      </c>
      <c r="M820" s="10" t="n">
        <f aca="false">INDEX(Dim_Supplier!$F$2:$F$21,MATCH(B820,Dim_Supplier!$A$2:$A$21,0))</f>
        <v>285</v>
      </c>
      <c r="N820" s="11" t="n">
        <v>0.0569</v>
      </c>
      <c r="O820" s="10" t="n">
        <f aca="false">M820*(1+N820)</f>
        <v>301.2165</v>
      </c>
      <c r="P820" s="10" t="n">
        <f aca="false">O820*L820</f>
        <v>12952.3095</v>
      </c>
      <c r="Q820" s="5" t="s">
        <v>113</v>
      </c>
      <c r="R820" s="5" t="n">
        <v>0</v>
      </c>
      <c r="S820" s="5" t="n">
        <v>30</v>
      </c>
      <c r="T820" s="12" t="n">
        <f aca="false">(O820-M820)/M820</f>
        <v>0.0569</v>
      </c>
      <c r="U820" s="8" t="n">
        <f aca="false">IF(AND(K820&lt;=I820,R820=0),1,0)</f>
        <v>1</v>
      </c>
      <c r="V820" s="10" t="n">
        <f aca="false">IF(Q820="No",P820,0)</f>
        <v>0</v>
      </c>
    </row>
    <row r="821" customFormat="false" ht="15" hidden="false" customHeight="false" outlineLevel="0" collapsed="false">
      <c r="A821" s="5" t="s">
        <v>955</v>
      </c>
      <c r="B821" s="5" t="s">
        <v>62</v>
      </c>
      <c r="C821" s="7" t="n">
        <v>45927</v>
      </c>
      <c r="D821" s="8" t="str">
        <f aca="false">INDEX(Dim_Supplier!$C$2:$C$21,MATCH(B821,Dim_Supplier!$A$2:$A$21,0))</f>
        <v>Packaging</v>
      </c>
      <c r="E821" s="8" t="str">
        <f aca="false">INDEX(Dim_Supplier!$B$2:$B$21,MATCH(B821,Dim_Supplier!$A$2:$A$21,0))</f>
        <v>Trillium Packaging Solutions</v>
      </c>
      <c r="F821" s="5" t="s">
        <v>122</v>
      </c>
      <c r="G821" s="5" t="s">
        <v>129</v>
      </c>
      <c r="H821" s="8" t="n">
        <f aca="false">INDEX(Lookup_Tables!$B$2:$B$5,MATCH(D821,Lookup_Tables!$A$2:$A$5,0))</f>
        <v>14</v>
      </c>
      <c r="I821" s="9" t="n">
        <f aca="false">C821+H821</f>
        <v>45941</v>
      </c>
      <c r="J821" s="5" t="n">
        <v>-4</v>
      </c>
      <c r="K821" s="9" t="n">
        <f aca="false">I821+J821</f>
        <v>45937</v>
      </c>
      <c r="L821" s="5" t="n">
        <v>712</v>
      </c>
      <c r="M821" s="10" t="n">
        <f aca="false">INDEX(Dim_Supplier!$F$2:$F$21,MATCH(B821,Dim_Supplier!$A$2:$A$21,0))</f>
        <v>5.6</v>
      </c>
      <c r="N821" s="11" t="n">
        <v>0.0598</v>
      </c>
      <c r="O821" s="10" t="n">
        <f aca="false">M821*(1+N821)</f>
        <v>5.93488</v>
      </c>
      <c r="P821" s="10" t="n">
        <f aca="false">O821*L821</f>
        <v>4225.63456</v>
      </c>
      <c r="Q821" s="5" t="s">
        <v>113</v>
      </c>
      <c r="R821" s="5" t="n">
        <v>0</v>
      </c>
      <c r="S821" s="5" t="n">
        <v>30</v>
      </c>
      <c r="T821" s="12" t="n">
        <f aca="false">(O821-M821)/M821</f>
        <v>0.0598</v>
      </c>
      <c r="U821" s="8" t="n">
        <f aca="false">IF(AND(K821&lt;=I821,R821=0),1,0)</f>
        <v>1</v>
      </c>
      <c r="V821" s="10" t="n">
        <f aca="false">IF(Q821="No",P821,0)</f>
        <v>0</v>
      </c>
    </row>
    <row r="822" customFormat="false" ht="15" hidden="false" customHeight="false" outlineLevel="0" collapsed="false">
      <c r="A822" s="5" t="s">
        <v>956</v>
      </c>
      <c r="B822" s="5" t="s">
        <v>46</v>
      </c>
      <c r="C822" s="7" t="n">
        <v>45901</v>
      </c>
      <c r="D822" s="8" t="str">
        <f aca="false">INDEX(Dim_Supplier!$C$2:$C$21,MATCH(B822,Dim_Supplier!$A$2:$A$21,0))</f>
        <v>Raw Materials</v>
      </c>
      <c r="E822" s="8" t="str">
        <f aca="false">INDEX(Dim_Supplier!$B$2:$B$21,MATCH(B822,Dim_Supplier!$A$2:$A$21,0))</f>
        <v>Niagara Alloy Supply</v>
      </c>
      <c r="F822" s="5" t="s">
        <v>148</v>
      </c>
      <c r="G822" s="5" t="s">
        <v>112</v>
      </c>
      <c r="H822" s="8" t="n">
        <f aca="false">INDEX(Lookup_Tables!$B$2:$B$5,MATCH(D822,Lookup_Tables!$A$2:$A$5,0))</f>
        <v>21</v>
      </c>
      <c r="I822" s="9" t="n">
        <f aca="false">C822+H822</f>
        <v>45922</v>
      </c>
      <c r="J822" s="5" t="n">
        <v>0</v>
      </c>
      <c r="K822" s="9" t="n">
        <f aca="false">I822+J822</f>
        <v>45922</v>
      </c>
      <c r="L822" s="5" t="n">
        <v>1142</v>
      </c>
      <c r="M822" s="10" t="n">
        <f aca="false">INDEX(Dim_Supplier!$F$2:$F$21,MATCH(B822,Dim_Supplier!$A$2:$A$21,0))</f>
        <v>46.5</v>
      </c>
      <c r="N822" s="11" t="n">
        <v>0.0241</v>
      </c>
      <c r="O822" s="10" t="n">
        <f aca="false">M822*(1+N822)</f>
        <v>47.62065</v>
      </c>
      <c r="P822" s="10" t="n">
        <f aca="false">O822*L822</f>
        <v>54382.7823</v>
      </c>
      <c r="Q822" s="5" t="s">
        <v>113</v>
      </c>
      <c r="R822" s="5" t="n">
        <v>0</v>
      </c>
      <c r="S822" s="5" t="n">
        <v>45</v>
      </c>
      <c r="T822" s="12" t="n">
        <f aca="false">(O822-M822)/M822</f>
        <v>0.0241</v>
      </c>
      <c r="U822" s="8" t="n">
        <f aca="false">IF(AND(K822&lt;=I822,R822=0),1,0)</f>
        <v>1</v>
      </c>
      <c r="V822" s="10" t="n">
        <f aca="false">IF(Q822="No",P822,0)</f>
        <v>0</v>
      </c>
    </row>
    <row r="823" customFormat="false" ht="15" hidden="false" customHeight="false" outlineLevel="0" collapsed="false">
      <c r="A823" s="5" t="s">
        <v>957</v>
      </c>
      <c r="B823" s="5" t="s">
        <v>62</v>
      </c>
      <c r="C823" s="7" t="n">
        <v>45540</v>
      </c>
      <c r="D823" s="8" t="str">
        <f aca="false">INDEX(Dim_Supplier!$C$2:$C$21,MATCH(B823,Dim_Supplier!$A$2:$A$21,0))</f>
        <v>Packaging</v>
      </c>
      <c r="E823" s="8" t="str">
        <f aca="false">INDEX(Dim_Supplier!$B$2:$B$21,MATCH(B823,Dim_Supplier!$A$2:$A$21,0))</f>
        <v>Trillium Packaging Solutions</v>
      </c>
      <c r="F823" s="5" t="s">
        <v>158</v>
      </c>
      <c r="G823" s="5" t="s">
        <v>129</v>
      </c>
      <c r="H823" s="8" t="n">
        <f aca="false">INDEX(Lookup_Tables!$B$2:$B$5,MATCH(D823,Lookup_Tables!$A$2:$A$5,0))</f>
        <v>14</v>
      </c>
      <c r="I823" s="9" t="n">
        <f aca="false">C823+H823</f>
        <v>45554</v>
      </c>
      <c r="J823" s="5" t="n">
        <v>-1</v>
      </c>
      <c r="K823" s="9" t="n">
        <f aca="false">I823+J823</f>
        <v>45553</v>
      </c>
      <c r="L823" s="5" t="n">
        <v>4070</v>
      </c>
      <c r="M823" s="10" t="n">
        <f aca="false">INDEX(Dim_Supplier!$F$2:$F$21,MATCH(B823,Dim_Supplier!$A$2:$A$21,0))</f>
        <v>5.6</v>
      </c>
      <c r="N823" s="11" t="n">
        <v>0.0264</v>
      </c>
      <c r="O823" s="10" t="n">
        <f aca="false">M823*(1+N823)</f>
        <v>5.74784</v>
      </c>
      <c r="P823" s="10" t="n">
        <f aca="false">O823*L823</f>
        <v>23393.7088</v>
      </c>
      <c r="Q823" s="5" t="s">
        <v>113</v>
      </c>
      <c r="R823" s="5" t="n">
        <v>0</v>
      </c>
      <c r="S823" s="5" t="n">
        <v>30</v>
      </c>
      <c r="T823" s="12" t="n">
        <f aca="false">(O823-M823)/M823</f>
        <v>0.0263999999999999</v>
      </c>
      <c r="U823" s="8" t="n">
        <f aca="false">IF(AND(K823&lt;=I823,R823=0),1,0)</f>
        <v>1</v>
      </c>
      <c r="V823" s="10" t="n">
        <f aca="false">IF(Q823="No",P823,0)</f>
        <v>0</v>
      </c>
    </row>
    <row r="824" customFormat="false" ht="15" hidden="false" customHeight="false" outlineLevel="0" collapsed="false">
      <c r="A824" s="5" t="s">
        <v>958</v>
      </c>
      <c r="B824" s="5" t="s">
        <v>68</v>
      </c>
      <c r="C824" s="7" t="n">
        <v>45846</v>
      </c>
      <c r="D824" s="8" t="str">
        <f aca="false">INDEX(Dim_Supplier!$C$2:$C$21,MATCH(B824,Dim_Supplier!$A$2:$A$21,0))</f>
        <v>MRO</v>
      </c>
      <c r="E824" s="8" t="str">
        <f aca="false">INDEX(Dim_Supplier!$B$2:$B$21,MATCH(B824,Dim_Supplier!$A$2:$A$21,0))</f>
        <v>Precision Tool &amp; Supply</v>
      </c>
      <c r="F824" s="5" t="s">
        <v>164</v>
      </c>
      <c r="G824" s="5" t="s">
        <v>112</v>
      </c>
      <c r="H824" s="8" t="n">
        <f aca="false">INDEX(Lookup_Tables!$B$2:$B$5,MATCH(D824,Lookup_Tables!$A$2:$A$5,0))</f>
        <v>10</v>
      </c>
      <c r="I824" s="9" t="n">
        <f aca="false">C824+H824</f>
        <v>45856</v>
      </c>
      <c r="J824" s="5" t="n">
        <v>-4</v>
      </c>
      <c r="K824" s="9" t="n">
        <f aca="false">I824+J824</f>
        <v>45852</v>
      </c>
      <c r="L824" s="5" t="n">
        <v>79</v>
      </c>
      <c r="M824" s="10" t="n">
        <f aca="false">INDEX(Dim_Supplier!$F$2:$F$21,MATCH(B824,Dim_Supplier!$A$2:$A$21,0))</f>
        <v>22.4</v>
      </c>
      <c r="N824" s="11" t="n">
        <v>0.0152</v>
      </c>
      <c r="O824" s="10" t="n">
        <f aca="false">M824*(1+N824)</f>
        <v>22.74048</v>
      </c>
      <c r="P824" s="10" t="n">
        <f aca="false">O824*L824</f>
        <v>1796.49792</v>
      </c>
      <c r="Q824" s="5" t="s">
        <v>113</v>
      </c>
      <c r="R824" s="5" t="n">
        <v>5</v>
      </c>
      <c r="S824" s="5" t="n">
        <v>45</v>
      </c>
      <c r="T824" s="12" t="n">
        <f aca="false">(O824-M824)/M824</f>
        <v>0.0152000000000001</v>
      </c>
      <c r="U824" s="8" t="n">
        <f aca="false">IF(AND(K824&lt;=I824,R824=0),1,0)</f>
        <v>0</v>
      </c>
      <c r="V824" s="10" t="n">
        <f aca="false">IF(Q824="No",P824,0)</f>
        <v>0</v>
      </c>
    </row>
    <row r="825" customFormat="false" ht="15" hidden="false" customHeight="false" outlineLevel="0" collapsed="false">
      <c r="A825" s="5" t="s">
        <v>959</v>
      </c>
      <c r="B825" s="5" t="s">
        <v>46</v>
      </c>
      <c r="C825" s="7" t="n">
        <v>45535</v>
      </c>
      <c r="D825" s="8" t="str">
        <f aca="false">INDEX(Dim_Supplier!$C$2:$C$21,MATCH(B825,Dim_Supplier!$A$2:$A$21,0))</f>
        <v>Raw Materials</v>
      </c>
      <c r="E825" s="8" t="str">
        <f aca="false">INDEX(Dim_Supplier!$B$2:$B$21,MATCH(B825,Dim_Supplier!$A$2:$A$21,0))</f>
        <v>Niagara Alloy Supply</v>
      </c>
      <c r="F825" s="5" t="s">
        <v>144</v>
      </c>
      <c r="G825" s="5" t="s">
        <v>129</v>
      </c>
      <c r="H825" s="8" t="n">
        <f aca="false">INDEX(Lookup_Tables!$B$2:$B$5,MATCH(D825,Lookup_Tables!$A$2:$A$5,0))</f>
        <v>21</v>
      </c>
      <c r="I825" s="9" t="n">
        <f aca="false">C825+H825</f>
        <v>45556</v>
      </c>
      <c r="J825" s="5" t="n">
        <v>-2</v>
      </c>
      <c r="K825" s="9" t="n">
        <f aca="false">I825+J825</f>
        <v>45554</v>
      </c>
      <c r="L825" s="5" t="n">
        <v>510</v>
      </c>
      <c r="M825" s="10" t="n">
        <f aca="false">INDEX(Dim_Supplier!$F$2:$F$21,MATCH(B825,Dim_Supplier!$A$2:$A$21,0))</f>
        <v>46.5</v>
      </c>
      <c r="N825" s="11" t="n">
        <v>0.0362</v>
      </c>
      <c r="O825" s="10" t="n">
        <f aca="false">M825*(1+N825)</f>
        <v>48.1833</v>
      </c>
      <c r="P825" s="10" t="n">
        <f aca="false">O825*L825</f>
        <v>24573.483</v>
      </c>
      <c r="Q825" s="5" t="s">
        <v>113</v>
      </c>
      <c r="R825" s="5" t="n">
        <v>0</v>
      </c>
      <c r="S825" s="5" t="n">
        <v>30</v>
      </c>
      <c r="T825" s="12" t="n">
        <f aca="false">(O825-M825)/M825</f>
        <v>0.0362000000000001</v>
      </c>
      <c r="U825" s="8" t="n">
        <f aca="false">IF(AND(K825&lt;=I825,R825=0),1,0)</f>
        <v>1</v>
      </c>
      <c r="V825" s="10" t="n">
        <f aca="false">IF(Q825="No",P825,0)</f>
        <v>0</v>
      </c>
    </row>
    <row r="826" customFormat="false" ht="15" hidden="false" customHeight="false" outlineLevel="0" collapsed="false">
      <c r="A826" s="5" t="s">
        <v>960</v>
      </c>
      <c r="B826" s="5" t="s">
        <v>52</v>
      </c>
      <c r="C826" s="7" t="n">
        <v>45779</v>
      </c>
      <c r="D826" s="8" t="str">
        <f aca="false">INDEX(Dim_Supplier!$C$2:$C$21,MATCH(B826,Dim_Supplier!$A$2:$A$21,0))</f>
        <v>Raw Materials</v>
      </c>
      <c r="E826" s="8" t="str">
        <f aca="false">INDEX(Dim_Supplier!$B$2:$B$21,MATCH(B826,Dim_Supplier!$A$2:$A$21,0))</f>
        <v>Laurentian Metals Inc.</v>
      </c>
      <c r="F826" s="5" t="s">
        <v>142</v>
      </c>
      <c r="G826" s="5" t="s">
        <v>120</v>
      </c>
      <c r="H826" s="8" t="n">
        <f aca="false">INDEX(Lookup_Tables!$B$2:$B$5,MATCH(D826,Lookup_Tables!$A$2:$A$5,0))</f>
        <v>21</v>
      </c>
      <c r="I826" s="9" t="n">
        <f aca="false">C826+H826</f>
        <v>45800</v>
      </c>
      <c r="J826" s="5" t="n">
        <v>-1</v>
      </c>
      <c r="K826" s="9" t="n">
        <f aca="false">I826+J826</f>
        <v>45799</v>
      </c>
      <c r="L826" s="5" t="n">
        <v>787</v>
      </c>
      <c r="M826" s="10" t="n">
        <f aca="false">INDEX(Dim_Supplier!$F$2:$F$21,MATCH(B826,Dim_Supplier!$A$2:$A$21,0))</f>
        <v>61.2</v>
      </c>
      <c r="N826" s="11" t="n">
        <v>-0.0007</v>
      </c>
      <c r="O826" s="10" t="n">
        <f aca="false">M826*(1+N826)</f>
        <v>61.15716</v>
      </c>
      <c r="P826" s="10" t="n">
        <f aca="false">O826*L826</f>
        <v>48130.68492</v>
      </c>
      <c r="Q826" s="5" t="s">
        <v>113</v>
      </c>
      <c r="R826" s="5" t="n">
        <v>0</v>
      </c>
      <c r="S826" s="5" t="n">
        <v>30</v>
      </c>
      <c r="T826" s="12" t="n">
        <f aca="false">(O826-M826)/M826</f>
        <v>-0.000700000000000087</v>
      </c>
      <c r="U826" s="8" t="n">
        <f aca="false">IF(AND(K826&lt;=I826,R826=0),1,0)</f>
        <v>1</v>
      </c>
      <c r="V826" s="10" t="n">
        <f aca="false">IF(Q826="No",P826,0)</f>
        <v>0</v>
      </c>
    </row>
    <row r="827" customFormat="false" ht="15" hidden="false" customHeight="false" outlineLevel="0" collapsed="false">
      <c r="A827" s="5" t="s">
        <v>961</v>
      </c>
      <c r="B827" s="5" t="s">
        <v>62</v>
      </c>
      <c r="C827" s="7" t="n">
        <v>46100</v>
      </c>
      <c r="D827" s="8" t="str">
        <f aca="false">INDEX(Dim_Supplier!$C$2:$C$21,MATCH(B827,Dim_Supplier!$A$2:$A$21,0))</f>
        <v>Packaging</v>
      </c>
      <c r="E827" s="8" t="str">
        <f aca="false">INDEX(Dim_Supplier!$B$2:$B$21,MATCH(B827,Dim_Supplier!$A$2:$A$21,0))</f>
        <v>Trillium Packaging Solutions</v>
      </c>
      <c r="F827" s="5" t="s">
        <v>117</v>
      </c>
      <c r="G827" s="5" t="s">
        <v>125</v>
      </c>
      <c r="H827" s="8" t="n">
        <f aca="false">INDEX(Lookup_Tables!$B$2:$B$5,MATCH(D827,Lookup_Tables!$A$2:$A$5,0))</f>
        <v>14</v>
      </c>
      <c r="I827" s="9" t="n">
        <f aca="false">C827+H827</f>
        <v>46114</v>
      </c>
      <c r="J827" s="5" t="n">
        <v>-3</v>
      </c>
      <c r="K827" s="9" t="n">
        <f aca="false">I827+J827</f>
        <v>46111</v>
      </c>
      <c r="L827" s="5" t="n">
        <v>2327</v>
      </c>
      <c r="M827" s="10" t="n">
        <f aca="false">INDEX(Dim_Supplier!$F$2:$F$21,MATCH(B827,Dim_Supplier!$A$2:$A$21,0))</f>
        <v>5.6</v>
      </c>
      <c r="N827" s="11" t="n">
        <v>0.0217</v>
      </c>
      <c r="O827" s="10" t="n">
        <f aca="false">M827*(1+N827)</f>
        <v>5.72152</v>
      </c>
      <c r="P827" s="10" t="n">
        <f aca="false">O827*L827</f>
        <v>13313.97704</v>
      </c>
      <c r="Q827" s="5" t="s">
        <v>113</v>
      </c>
      <c r="R827" s="5" t="n">
        <v>0</v>
      </c>
      <c r="S827" s="5" t="n">
        <v>30</v>
      </c>
      <c r="T827" s="12" t="n">
        <f aca="false">(O827-M827)/M827</f>
        <v>0.0217000000000001</v>
      </c>
      <c r="U827" s="8" t="n">
        <f aca="false">IF(AND(K827&lt;=I827,R827=0),1,0)</f>
        <v>1</v>
      </c>
      <c r="V827" s="10" t="n">
        <f aca="false">IF(Q827="No",P827,0)</f>
        <v>0</v>
      </c>
    </row>
    <row r="828" customFormat="false" ht="15" hidden="false" customHeight="false" outlineLevel="0" collapsed="false">
      <c r="A828" s="5" t="s">
        <v>962</v>
      </c>
      <c r="B828" s="5" t="s">
        <v>64</v>
      </c>
      <c r="C828" s="7" t="n">
        <v>46078</v>
      </c>
      <c r="D828" s="8" t="str">
        <f aca="false">INDEX(Dim_Supplier!$C$2:$C$21,MATCH(B828,Dim_Supplier!$A$2:$A$21,0))</f>
        <v>Packaging</v>
      </c>
      <c r="E828" s="8" t="str">
        <f aca="false">INDEX(Dim_Supplier!$B$2:$B$21,MATCH(B828,Dim_Supplier!$A$2:$A$21,0))</f>
        <v>Huron Pallet Works</v>
      </c>
      <c r="F828" s="5" t="s">
        <v>119</v>
      </c>
      <c r="G828" s="5" t="s">
        <v>125</v>
      </c>
      <c r="H828" s="8" t="n">
        <f aca="false">INDEX(Lookup_Tables!$B$2:$B$5,MATCH(D828,Lookup_Tables!$A$2:$A$5,0))</f>
        <v>14</v>
      </c>
      <c r="I828" s="9" t="n">
        <f aca="false">C828+H828</f>
        <v>46092</v>
      </c>
      <c r="J828" s="5" t="n">
        <v>5</v>
      </c>
      <c r="K828" s="9" t="n">
        <f aca="false">I828+J828</f>
        <v>46097</v>
      </c>
      <c r="L828" s="5" t="n">
        <v>555</v>
      </c>
      <c r="M828" s="10" t="n">
        <f aca="false">INDEX(Dim_Supplier!$F$2:$F$21,MATCH(B828,Dim_Supplier!$A$2:$A$21,0))</f>
        <v>2.25</v>
      </c>
      <c r="N828" s="11" t="n">
        <v>0.1523</v>
      </c>
      <c r="O828" s="10" t="n">
        <f aca="false">M828*(1+N828)</f>
        <v>2.592675</v>
      </c>
      <c r="P828" s="10" t="n">
        <f aca="false">O828*L828</f>
        <v>1438.934625</v>
      </c>
      <c r="Q828" s="5" t="s">
        <v>113</v>
      </c>
      <c r="R828" s="5" t="n">
        <v>0</v>
      </c>
      <c r="S828" s="5" t="n">
        <v>30</v>
      </c>
      <c r="T828" s="12" t="n">
        <f aca="false">(O828-M828)/M828</f>
        <v>0.1523</v>
      </c>
      <c r="U828" s="8" t="n">
        <f aca="false">IF(AND(K828&lt;=I828,R828=0),1,0)</f>
        <v>0</v>
      </c>
      <c r="V828" s="10" t="n">
        <f aca="false">IF(Q828="No",P828,0)</f>
        <v>0</v>
      </c>
    </row>
    <row r="829" customFormat="false" ht="15" hidden="false" customHeight="false" outlineLevel="0" collapsed="false">
      <c r="A829" s="5" t="s">
        <v>963</v>
      </c>
      <c r="B829" s="5" t="s">
        <v>46</v>
      </c>
      <c r="C829" s="7" t="n">
        <v>45589</v>
      </c>
      <c r="D829" s="8" t="str">
        <f aca="false">INDEX(Dim_Supplier!$C$2:$C$21,MATCH(B829,Dim_Supplier!$A$2:$A$21,0))</f>
        <v>Raw Materials</v>
      </c>
      <c r="E829" s="8" t="str">
        <f aca="false">INDEX(Dim_Supplier!$B$2:$B$21,MATCH(B829,Dim_Supplier!$A$2:$A$21,0))</f>
        <v>Niagara Alloy Supply</v>
      </c>
      <c r="F829" s="5" t="s">
        <v>142</v>
      </c>
      <c r="G829" s="5" t="s">
        <v>112</v>
      </c>
      <c r="H829" s="8" t="n">
        <f aca="false">INDEX(Lookup_Tables!$B$2:$B$5,MATCH(D829,Lookup_Tables!$A$2:$A$5,0))</f>
        <v>21</v>
      </c>
      <c r="I829" s="9" t="n">
        <f aca="false">C829+H829</f>
        <v>45610</v>
      </c>
      <c r="J829" s="5" t="n">
        <v>-4</v>
      </c>
      <c r="K829" s="9" t="n">
        <f aca="false">I829+J829</f>
        <v>45606</v>
      </c>
      <c r="L829" s="5" t="n">
        <v>837</v>
      </c>
      <c r="M829" s="10" t="n">
        <f aca="false">INDEX(Dim_Supplier!$F$2:$F$21,MATCH(B829,Dim_Supplier!$A$2:$A$21,0))</f>
        <v>46.5</v>
      </c>
      <c r="N829" s="11" t="n">
        <v>-0.0024</v>
      </c>
      <c r="O829" s="10" t="n">
        <f aca="false">M829*(1+N829)</f>
        <v>46.3884</v>
      </c>
      <c r="P829" s="10" t="n">
        <f aca="false">O829*L829</f>
        <v>38827.0908</v>
      </c>
      <c r="Q829" s="5" t="s">
        <v>113</v>
      </c>
      <c r="R829" s="5" t="n">
        <v>0</v>
      </c>
      <c r="S829" s="5" t="n">
        <v>30</v>
      </c>
      <c r="T829" s="12" t="n">
        <f aca="false">(O829-M829)/M829</f>
        <v>-0.00239999999999991</v>
      </c>
      <c r="U829" s="8" t="n">
        <f aca="false">IF(AND(K829&lt;=I829,R829=0),1,0)</f>
        <v>1</v>
      </c>
      <c r="V829" s="10" t="n">
        <f aca="false">IF(Q829="No",P829,0)</f>
        <v>0</v>
      </c>
    </row>
    <row r="830" customFormat="false" ht="15" hidden="false" customHeight="false" outlineLevel="0" collapsed="false">
      <c r="A830" s="5" t="s">
        <v>964</v>
      </c>
      <c r="B830" s="5" t="s">
        <v>49</v>
      </c>
      <c r="C830" s="7" t="n">
        <v>46198</v>
      </c>
      <c r="D830" s="8" t="str">
        <f aca="false">INDEX(Dim_Supplier!$C$2:$C$21,MATCH(B830,Dim_Supplier!$A$2:$A$21,0))</f>
        <v>Raw Materials</v>
      </c>
      <c r="E830" s="8" t="str">
        <f aca="false">INDEX(Dim_Supplier!$B$2:$B$21,MATCH(B830,Dim_Supplier!$A$2:$A$21,0))</f>
        <v>Great Lakes Polymer Co.</v>
      </c>
      <c r="F830" s="5" t="s">
        <v>139</v>
      </c>
      <c r="G830" s="5" t="s">
        <v>112</v>
      </c>
      <c r="H830" s="8" t="n">
        <f aca="false">INDEX(Lookup_Tables!$B$2:$B$5,MATCH(D830,Lookup_Tables!$A$2:$A$5,0))</f>
        <v>21</v>
      </c>
      <c r="I830" s="9" t="n">
        <f aca="false">C830+H830</f>
        <v>46219</v>
      </c>
      <c r="J830" s="5" t="n">
        <v>3</v>
      </c>
      <c r="K830" s="9" t="n">
        <f aca="false">I830+J830</f>
        <v>46222</v>
      </c>
      <c r="L830" s="5" t="n">
        <v>465</v>
      </c>
      <c r="M830" s="10" t="n">
        <f aca="false">INDEX(Dim_Supplier!$F$2:$F$21,MATCH(B830,Dim_Supplier!$A$2:$A$21,0))</f>
        <v>32.75</v>
      </c>
      <c r="N830" s="11" t="n">
        <v>0.1415</v>
      </c>
      <c r="O830" s="10" t="n">
        <f aca="false">M830*(1+N830)</f>
        <v>37.384125</v>
      </c>
      <c r="P830" s="10" t="n">
        <f aca="false">O830*L830</f>
        <v>17383.618125</v>
      </c>
      <c r="Q830" s="5" t="s">
        <v>113</v>
      </c>
      <c r="R830" s="5" t="n">
        <v>0</v>
      </c>
      <c r="S830" s="5" t="n">
        <v>30</v>
      </c>
      <c r="T830" s="12" t="n">
        <f aca="false">(O830-M830)/M830</f>
        <v>0.1415</v>
      </c>
      <c r="U830" s="8" t="n">
        <f aca="false">IF(AND(K830&lt;=I830,R830=0),1,0)</f>
        <v>0</v>
      </c>
      <c r="V830" s="10" t="n">
        <f aca="false">IF(Q830="No",P830,0)</f>
        <v>0</v>
      </c>
    </row>
    <row r="831" customFormat="false" ht="15" hidden="false" customHeight="false" outlineLevel="0" collapsed="false">
      <c r="A831" s="5" t="s">
        <v>965</v>
      </c>
      <c r="B831" s="5" t="s">
        <v>46</v>
      </c>
      <c r="C831" s="7" t="n">
        <v>46143</v>
      </c>
      <c r="D831" s="8" t="str">
        <f aca="false">INDEX(Dim_Supplier!$C$2:$C$21,MATCH(B831,Dim_Supplier!$A$2:$A$21,0))</f>
        <v>Raw Materials</v>
      </c>
      <c r="E831" s="8" t="str">
        <f aca="false">INDEX(Dim_Supplier!$B$2:$B$21,MATCH(B831,Dim_Supplier!$A$2:$A$21,0))</f>
        <v>Niagara Alloy Supply</v>
      </c>
      <c r="F831" s="5" t="s">
        <v>115</v>
      </c>
      <c r="G831" s="5" t="s">
        <v>125</v>
      </c>
      <c r="H831" s="8" t="n">
        <f aca="false">INDEX(Lookup_Tables!$B$2:$B$5,MATCH(D831,Lookup_Tables!$A$2:$A$5,0))</f>
        <v>21</v>
      </c>
      <c r="I831" s="9" t="n">
        <f aca="false">C831+H831</f>
        <v>46164</v>
      </c>
      <c r="J831" s="5" t="n">
        <v>-3</v>
      </c>
      <c r="K831" s="9" t="n">
        <f aca="false">I831+J831</f>
        <v>46161</v>
      </c>
      <c r="L831" s="5" t="n">
        <v>793</v>
      </c>
      <c r="M831" s="10" t="n">
        <f aca="false">INDEX(Dim_Supplier!$F$2:$F$21,MATCH(B831,Dim_Supplier!$A$2:$A$21,0))</f>
        <v>46.5</v>
      </c>
      <c r="N831" s="11" t="n">
        <v>-0.0044</v>
      </c>
      <c r="O831" s="10" t="n">
        <f aca="false">M831*(1+N831)</f>
        <v>46.2954</v>
      </c>
      <c r="P831" s="10" t="n">
        <f aca="false">O831*L831</f>
        <v>36712.2522</v>
      </c>
      <c r="Q831" s="5" t="s">
        <v>133</v>
      </c>
      <c r="R831" s="5" t="n">
        <v>0</v>
      </c>
      <c r="S831" s="5" t="n">
        <v>30</v>
      </c>
      <c r="T831" s="12" t="n">
        <f aca="false">(O831-M831)/M831</f>
        <v>-0.00439999999999998</v>
      </c>
      <c r="U831" s="8" t="n">
        <f aca="false">IF(AND(K831&lt;=I831,R831=0),1,0)</f>
        <v>1</v>
      </c>
      <c r="V831" s="10" t="n">
        <f aca="false">IF(Q831="No",P831,0)</f>
        <v>36712.2522</v>
      </c>
    </row>
    <row r="832" customFormat="false" ht="15" hidden="false" customHeight="false" outlineLevel="0" collapsed="false">
      <c r="A832" s="5" t="s">
        <v>966</v>
      </c>
      <c r="B832" s="5" t="s">
        <v>79</v>
      </c>
      <c r="C832" s="7" t="n">
        <v>45968</v>
      </c>
      <c r="D832" s="8" t="str">
        <f aca="false">INDEX(Dim_Supplier!$C$2:$C$21,MATCH(B832,Dim_Supplier!$A$2:$A$21,0))</f>
        <v>Logistics</v>
      </c>
      <c r="E832" s="8" t="str">
        <f aca="false">INDEX(Dim_Supplier!$B$2:$B$21,MATCH(B832,Dim_Supplier!$A$2:$A$21,0))</f>
        <v>Niagara Freight Solutions</v>
      </c>
      <c r="F832" s="5" t="s">
        <v>154</v>
      </c>
      <c r="G832" s="5" t="s">
        <v>125</v>
      </c>
      <c r="H832" s="8" t="n">
        <f aca="false">INDEX(Lookup_Tables!$B$2:$B$5,MATCH(D832,Lookup_Tables!$A$2:$A$5,0))</f>
        <v>5</v>
      </c>
      <c r="I832" s="9" t="n">
        <f aca="false">C832+H832</f>
        <v>45973</v>
      </c>
      <c r="J832" s="5" t="n">
        <v>-1</v>
      </c>
      <c r="K832" s="9" t="n">
        <f aca="false">I832+J832</f>
        <v>45972</v>
      </c>
      <c r="L832" s="5" t="n">
        <v>10</v>
      </c>
      <c r="M832" s="10" t="n">
        <f aca="false">INDEX(Dim_Supplier!$F$2:$F$21,MATCH(B832,Dim_Supplier!$A$2:$A$21,0))</f>
        <v>340</v>
      </c>
      <c r="N832" s="11" t="n">
        <v>0.0049</v>
      </c>
      <c r="O832" s="10" t="n">
        <f aca="false">M832*(1+N832)</f>
        <v>341.666</v>
      </c>
      <c r="P832" s="10" t="n">
        <f aca="false">O832*L832</f>
        <v>3416.66</v>
      </c>
      <c r="Q832" s="5" t="s">
        <v>113</v>
      </c>
      <c r="R832" s="5" t="n">
        <v>0</v>
      </c>
      <c r="S832" s="5" t="n">
        <v>30</v>
      </c>
      <c r="T832" s="12" t="n">
        <f aca="false">(O832-M832)/M832</f>
        <v>0.00489999999999982</v>
      </c>
      <c r="U832" s="8" t="n">
        <f aca="false">IF(AND(K832&lt;=I832,R832=0),1,0)</f>
        <v>1</v>
      </c>
      <c r="V832" s="10" t="n">
        <f aca="false">IF(Q832="No",P832,0)</f>
        <v>0</v>
      </c>
    </row>
    <row r="833" customFormat="false" ht="15" hidden="false" customHeight="false" outlineLevel="0" collapsed="false">
      <c r="A833" s="5" t="s">
        <v>967</v>
      </c>
      <c r="B833" s="5" t="s">
        <v>68</v>
      </c>
      <c r="C833" s="7" t="n">
        <v>46003</v>
      </c>
      <c r="D833" s="8" t="str">
        <f aca="false">INDEX(Dim_Supplier!$C$2:$C$21,MATCH(B833,Dim_Supplier!$A$2:$A$21,0))</f>
        <v>MRO</v>
      </c>
      <c r="E833" s="8" t="str">
        <f aca="false">INDEX(Dim_Supplier!$B$2:$B$21,MATCH(B833,Dim_Supplier!$A$2:$A$21,0))</f>
        <v>Precision Tool &amp; Supply</v>
      </c>
      <c r="F833" s="5" t="s">
        <v>111</v>
      </c>
      <c r="G833" s="5" t="s">
        <v>120</v>
      </c>
      <c r="H833" s="8" t="n">
        <f aca="false">INDEX(Lookup_Tables!$B$2:$B$5,MATCH(D833,Lookup_Tables!$A$2:$A$5,0))</f>
        <v>10</v>
      </c>
      <c r="I833" s="9" t="n">
        <f aca="false">C833+H833</f>
        <v>46013</v>
      </c>
      <c r="J833" s="5" t="n">
        <v>-4</v>
      </c>
      <c r="K833" s="9" t="n">
        <f aca="false">I833+J833</f>
        <v>46009</v>
      </c>
      <c r="L833" s="5" t="n">
        <v>67</v>
      </c>
      <c r="M833" s="10" t="n">
        <f aca="false">INDEX(Dim_Supplier!$F$2:$F$21,MATCH(B833,Dim_Supplier!$A$2:$A$21,0))</f>
        <v>22.4</v>
      </c>
      <c r="N833" s="11" t="n">
        <v>-0.0222</v>
      </c>
      <c r="O833" s="10" t="n">
        <f aca="false">M833*(1+N833)</f>
        <v>21.90272</v>
      </c>
      <c r="P833" s="10" t="n">
        <f aca="false">O833*L833</f>
        <v>1467.48224</v>
      </c>
      <c r="Q833" s="5" t="s">
        <v>113</v>
      </c>
      <c r="R833" s="5" t="n">
        <v>0</v>
      </c>
      <c r="S833" s="5" t="n">
        <v>45</v>
      </c>
      <c r="T833" s="12" t="n">
        <f aca="false">(O833-M833)/M833</f>
        <v>-0.0222</v>
      </c>
      <c r="U833" s="8" t="n">
        <f aca="false">IF(AND(K833&lt;=I833,R833=0),1,0)</f>
        <v>1</v>
      </c>
      <c r="V833" s="10" t="n">
        <f aca="false">IF(Q833="No",P833,0)</f>
        <v>0</v>
      </c>
    </row>
    <row r="834" customFormat="false" ht="15" hidden="false" customHeight="false" outlineLevel="0" collapsed="false">
      <c r="A834" s="5" t="s">
        <v>968</v>
      </c>
      <c r="B834" s="5" t="s">
        <v>82</v>
      </c>
      <c r="C834" s="7" t="n">
        <v>45593</v>
      </c>
      <c r="D834" s="8" t="str">
        <f aca="false">INDEX(Dim_Supplier!$C$2:$C$21,MATCH(B834,Dim_Supplier!$A$2:$A$21,0))</f>
        <v>Logistics</v>
      </c>
      <c r="E834" s="8" t="str">
        <f aca="false">INDEX(Dim_Supplier!$B$2:$B$21,MATCH(B834,Dim_Supplier!$A$2:$A$21,0))</f>
        <v>Maple Route Logistics</v>
      </c>
      <c r="F834" s="5" t="s">
        <v>154</v>
      </c>
      <c r="G834" s="5" t="s">
        <v>120</v>
      </c>
      <c r="H834" s="8" t="n">
        <f aca="false">INDEX(Lookup_Tables!$B$2:$B$5,MATCH(D834,Lookup_Tables!$A$2:$A$5,0))</f>
        <v>5</v>
      </c>
      <c r="I834" s="9" t="n">
        <f aca="false">C834+H834</f>
        <v>45598</v>
      </c>
      <c r="J834" s="5" t="n">
        <v>-1</v>
      </c>
      <c r="K834" s="9" t="n">
        <f aca="false">I834+J834</f>
        <v>45597</v>
      </c>
      <c r="L834" s="5" t="n">
        <v>18</v>
      </c>
      <c r="M834" s="10" t="n">
        <f aca="false">INDEX(Dim_Supplier!$F$2:$F$21,MATCH(B834,Dim_Supplier!$A$2:$A$21,0))</f>
        <v>285</v>
      </c>
      <c r="N834" s="11" t="n">
        <v>0.0582</v>
      </c>
      <c r="O834" s="10" t="n">
        <f aca="false">M834*(1+N834)</f>
        <v>301.587</v>
      </c>
      <c r="P834" s="10" t="n">
        <f aca="false">O834*L834</f>
        <v>5428.566</v>
      </c>
      <c r="Q834" s="5" t="s">
        <v>133</v>
      </c>
      <c r="R834" s="5" t="n">
        <v>0</v>
      </c>
      <c r="S834" s="5" t="n">
        <v>60</v>
      </c>
      <c r="T834" s="12" t="n">
        <f aca="false">(O834-M834)/M834</f>
        <v>0.0582</v>
      </c>
      <c r="U834" s="8" t="n">
        <f aca="false">IF(AND(K834&lt;=I834,R834=0),1,0)</f>
        <v>1</v>
      </c>
      <c r="V834" s="10" t="n">
        <f aca="false">IF(Q834="No",P834,0)</f>
        <v>5428.566</v>
      </c>
    </row>
    <row r="835" customFormat="false" ht="15" hidden="false" customHeight="false" outlineLevel="0" collapsed="false">
      <c r="A835" s="5" t="s">
        <v>969</v>
      </c>
      <c r="B835" s="5" t="s">
        <v>84</v>
      </c>
      <c r="C835" s="7" t="n">
        <v>45506</v>
      </c>
      <c r="D835" s="8" t="str">
        <f aca="false">INDEX(Dim_Supplier!$C$2:$C$21,MATCH(B835,Dim_Supplier!$A$2:$A$21,0))</f>
        <v>Logistics</v>
      </c>
      <c r="E835" s="8" t="str">
        <f aca="false">INDEX(Dim_Supplier!$B$2:$B$21,MATCH(B835,Dim_Supplier!$A$2:$A$21,0))</f>
        <v>Trans-Canada Carriers</v>
      </c>
      <c r="F835" s="5" t="s">
        <v>124</v>
      </c>
      <c r="G835" s="5" t="s">
        <v>125</v>
      </c>
      <c r="H835" s="8" t="n">
        <f aca="false">INDEX(Lookup_Tables!$B$2:$B$5,MATCH(D835,Lookup_Tables!$A$2:$A$5,0))</f>
        <v>5</v>
      </c>
      <c r="I835" s="9" t="n">
        <f aca="false">C835+H835</f>
        <v>45511</v>
      </c>
      <c r="J835" s="5" t="n">
        <v>5</v>
      </c>
      <c r="K835" s="9" t="n">
        <f aca="false">I835+J835</f>
        <v>45516</v>
      </c>
      <c r="L835" s="5" t="n">
        <v>11</v>
      </c>
      <c r="M835" s="10" t="n">
        <f aca="false">INDEX(Dim_Supplier!$F$2:$F$21,MATCH(B835,Dim_Supplier!$A$2:$A$21,0))</f>
        <v>210</v>
      </c>
      <c r="N835" s="11" t="n">
        <v>0.1033</v>
      </c>
      <c r="O835" s="10" t="n">
        <f aca="false">M835*(1+N835)</f>
        <v>231.693</v>
      </c>
      <c r="P835" s="10" t="n">
        <f aca="false">O835*L835</f>
        <v>2548.623</v>
      </c>
      <c r="Q835" s="5" t="s">
        <v>133</v>
      </c>
      <c r="R835" s="5" t="n">
        <v>0</v>
      </c>
      <c r="S835" s="5" t="n">
        <v>45</v>
      </c>
      <c r="T835" s="12" t="n">
        <f aca="false">(O835-M835)/M835</f>
        <v>0.1033</v>
      </c>
      <c r="U835" s="8" t="n">
        <f aca="false">IF(AND(K835&lt;=I835,R835=0),1,0)</f>
        <v>0</v>
      </c>
      <c r="V835" s="10" t="n">
        <f aca="false">IF(Q835="No",P835,0)</f>
        <v>2548.623</v>
      </c>
    </row>
    <row r="836" customFormat="false" ht="15" hidden="false" customHeight="false" outlineLevel="0" collapsed="false">
      <c r="A836" s="5" t="s">
        <v>970</v>
      </c>
      <c r="B836" s="5" t="s">
        <v>66</v>
      </c>
      <c r="C836" s="7" t="n">
        <v>45802</v>
      </c>
      <c r="D836" s="8" t="str">
        <f aca="false">INDEX(Dim_Supplier!$C$2:$C$21,MATCH(B836,Dim_Supplier!$A$2:$A$21,0))</f>
        <v>Packaging</v>
      </c>
      <c r="E836" s="8" t="str">
        <f aca="false">INDEX(Dim_Supplier!$B$2:$B$21,MATCH(B836,Dim_Supplier!$A$2:$A$21,0))</f>
        <v>EverGreen Wrap Industries</v>
      </c>
      <c r="F836" s="5" t="s">
        <v>122</v>
      </c>
      <c r="G836" s="5" t="s">
        <v>125</v>
      </c>
      <c r="H836" s="8" t="n">
        <f aca="false">INDEX(Lookup_Tables!$B$2:$B$5,MATCH(D836,Lookup_Tables!$A$2:$A$5,0))</f>
        <v>14</v>
      </c>
      <c r="I836" s="9" t="n">
        <f aca="false">C836+H836</f>
        <v>45816</v>
      </c>
      <c r="J836" s="5" t="n">
        <v>0</v>
      </c>
      <c r="K836" s="9" t="n">
        <f aca="false">I836+J836</f>
        <v>45816</v>
      </c>
      <c r="L836" s="5" t="n">
        <v>4804</v>
      </c>
      <c r="M836" s="10" t="n">
        <f aca="false">INDEX(Dim_Supplier!$F$2:$F$21,MATCH(B836,Dim_Supplier!$A$2:$A$21,0))</f>
        <v>6.8</v>
      </c>
      <c r="N836" s="11" t="n">
        <v>0.0885</v>
      </c>
      <c r="O836" s="10" t="n">
        <f aca="false">M836*(1+N836)</f>
        <v>7.4018</v>
      </c>
      <c r="P836" s="10" t="n">
        <f aca="false">O836*L836</f>
        <v>35558.2472</v>
      </c>
      <c r="Q836" s="5" t="s">
        <v>113</v>
      </c>
      <c r="R836" s="5" t="n">
        <v>0</v>
      </c>
      <c r="S836" s="5" t="n">
        <v>30</v>
      </c>
      <c r="T836" s="12" t="n">
        <f aca="false">(O836-M836)/M836</f>
        <v>0.0885</v>
      </c>
      <c r="U836" s="8" t="n">
        <f aca="false">IF(AND(K836&lt;=I836,R836=0),1,0)</f>
        <v>1</v>
      </c>
      <c r="V836" s="10" t="n">
        <f aca="false">IF(Q836="No",P836,0)</f>
        <v>0</v>
      </c>
    </row>
    <row r="837" customFormat="false" ht="15" hidden="false" customHeight="false" outlineLevel="0" collapsed="false">
      <c r="A837" s="5" t="s">
        <v>971</v>
      </c>
      <c r="B837" s="5" t="s">
        <v>54</v>
      </c>
      <c r="C837" s="7" t="n">
        <v>45702</v>
      </c>
      <c r="D837" s="8" t="str">
        <f aca="false">INDEX(Dim_Supplier!$C$2:$C$21,MATCH(B837,Dim_Supplier!$A$2:$A$21,0))</f>
        <v>Raw Materials</v>
      </c>
      <c r="E837" s="8" t="str">
        <f aca="false">INDEX(Dim_Supplier!$B$2:$B$21,MATCH(B837,Dim_Supplier!$A$2:$A$21,0))</f>
        <v>Northern Resin Solutions</v>
      </c>
      <c r="F837" s="5" t="s">
        <v>144</v>
      </c>
      <c r="G837" s="5" t="s">
        <v>129</v>
      </c>
      <c r="H837" s="8" t="n">
        <f aca="false">INDEX(Lookup_Tables!$B$2:$B$5,MATCH(D837,Lookup_Tables!$A$2:$A$5,0))</f>
        <v>21</v>
      </c>
      <c r="I837" s="9" t="n">
        <f aca="false">C837+H837</f>
        <v>45723</v>
      </c>
      <c r="J837" s="5" t="n">
        <v>0</v>
      </c>
      <c r="K837" s="9" t="n">
        <f aca="false">I837+J837</f>
        <v>45723</v>
      </c>
      <c r="L837" s="5" t="n">
        <v>1025</v>
      </c>
      <c r="M837" s="10" t="n">
        <f aca="false">INDEX(Dim_Supplier!$F$2:$F$21,MATCH(B837,Dim_Supplier!$A$2:$A$21,0))</f>
        <v>38.9</v>
      </c>
      <c r="N837" s="11" t="n">
        <v>0.0909</v>
      </c>
      <c r="O837" s="10" t="n">
        <f aca="false">M837*(1+N837)</f>
        <v>42.43601</v>
      </c>
      <c r="P837" s="10" t="n">
        <f aca="false">O837*L837</f>
        <v>43496.91025</v>
      </c>
      <c r="Q837" s="5" t="s">
        <v>133</v>
      </c>
      <c r="R837" s="5" t="n">
        <v>0</v>
      </c>
      <c r="S837" s="5" t="n">
        <v>30</v>
      </c>
      <c r="T837" s="12" t="n">
        <f aca="false">(O837-M837)/M837</f>
        <v>0.0908999999999999</v>
      </c>
      <c r="U837" s="8" t="n">
        <f aca="false">IF(AND(K837&lt;=I837,R837=0),1,0)</f>
        <v>1</v>
      </c>
      <c r="V837" s="10" t="n">
        <f aca="false">IF(Q837="No",P837,0)</f>
        <v>43496.91025</v>
      </c>
    </row>
    <row r="838" customFormat="false" ht="15" hidden="false" customHeight="false" outlineLevel="0" collapsed="false">
      <c r="A838" s="5" t="s">
        <v>972</v>
      </c>
      <c r="B838" s="5" t="s">
        <v>84</v>
      </c>
      <c r="C838" s="7" t="n">
        <v>45877</v>
      </c>
      <c r="D838" s="8" t="str">
        <f aca="false">INDEX(Dim_Supplier!$C$2:$C$21,MATCH(B838,Dim_Supplier!$A$2:$A$21,0))</f>
        <v>Logistics</v>
      </c>
      <c r="E838" s="8" t="str">
        <f aca="false">INDEX(Dim_Supplier!$B$2:$B$21,MATCH(B838,Dim_Supplier!$A$2:$A$21,0))</f>
        <v>Trans-Canada Carriers</v>
      </c>
      <c r="F838" s="5" t="s">
        <v>154</v>
      </c>
      <c r="G838" s="5" t="s">
        <v>120</v>
      </c>
      <c r="H838" s="8" t="n">
        <f aca="false">INDEX(Lookup_Tables!$B$2:$B$5,MATCH(D838,Lookup_Tables!$A$2:$A$5,0))</f>
        <v>5</v>
      </c>
      <c r="I838" s="9" t="n">
        <f aca="false">C838+H838</f>
        <v>45882</v>
      </c>
      <c r="J838" s="5" t="n">
        <v>4</v>
      </c>
      <c r="K838" s="9" t="n">
        <f aca="false">I838+J838</f>
        <v>45886</v>
      </c>
      <c r="L838" s="5" t="n">
        <v>49</v>
      </c>
      <c r="M838" s="10" t="n">
        <f aca="false">INDEX(Dim_Supplier!$F$2:$F$21,MATCH(B838,Dim_Supplier!$A$2:$A$21,0))</f>
        <v>210</v>
      </c>
      <c r="N838" s="11" t="n">
        <v>0.1384</v>
      </c>
      <c r="O838" s="10" t="n">
        <f aca="false">M838*(1+N838)</f>
        <v>239.064</v>
      </c>
      <c r="P838" s="10" t="n">
        <f aca="false">O838*L838</f>
        <v>11714.136</v>
      </c>
      <c r="Q838" s="5" t="s">
        <v>113</v>
      </c>
      <c r="R838" s="5" t="n">
        <v>0</v>
      </c>
      <c r="S838" s="5" t="n">
        <v>30</v>
      </c>
      <c r="T838" s="12" t="n">
        <f aca="false">(O838-M838)/M838</f>
        <v>0.1384</v>
      </c>
      <c r="U838" s="8" t="n">
        <f aca="false">IF(AND(K838&lt;=I838,R838=0),1,0)</f>
        <v>0</v>
      </c>
      <c r="V838" s="10" t="n">
        <f aca="false">IF(Q838="No",P838,0)</f>
        <v>0</v>
      </c>
    </row>
    <row r="839" customFormat="false" ht="15" hidden="false" customHeight="false" outlineLevel="0" collapsed="false">
      <c r="A839" s="5" t="s">
        <v>973</v>
      </c>
      <c r="B839" s="5" t="s">
        <v>68</v>
      </c>
      <c r="C839" s="7" t="n">
        <v>45768</v>
      </c>
      <c r="D839" s="8" t="str">
        <f aca="false">INDEX(Dim_Supplier!$C$2:$C$21,MATCH(B839,Dim_Supplier!$A$2:$A$21,0))</f>
        <v>MRO</v>
      </c>
      <c r="E839" s="8" t="str">
        <f aca="false">INDEX(Dim_Supplier!$B$2:$B$21,MATCH(B839,Dim_Supplier!$A$2:$A$21,0))</f>
        <v>Precision Tool &amp; Supply</v>
      </c>
      <c r="F839" s="5" t="s">
        <v>132</v>
      </c>
      <c r="G839" s="5" t="s">
        <v>120</v>
      </c>
      <c r="H839" s="8" t="n">
        <f aca="false">INDEX(Lookup_Tables!$B$2:$B$5,MATCH(D839,Lookup_Tables!$A$2:$A$5,0))</f>
        <v>10</v>
      </c>
      <c r="I839" s="9" t="n">
        <f aca="false">C839+H839</f>
        <v>45778</v>
      </c>
      <c r="J839" s="5" t="n">
        <v>-4</v>
      </c>
      <c r="K839" s="9" t="n">
        <f aca="false">I839+J839</f>
        <v>45774</v>
      </c>
      <c r="L839" s="5" t="n">
        <v>109</v>
      </c>
      <c r="M839" s="10" t="n">
        <f aca="false">INDEX(Dim_Supplier!$F$2:$F$21,MATCH(B839,Dim_Supplier!$A$2:$A$21,0))</f>
        <v>22.4</v>
      </c>
      <c r="N839" s="11" t="n">
        <v>0.0201</v>
      </c>
      <c r="O839" s="10" t="n">
        <f aca="false">M839*(1+N839)</f>
        <v>22.85024</v>
      </c>
      <c r="P839" s="10" t="n">
        <f aca="false">O839*L839</f>
        <v>2490.67616</v>
      </c>
      <c r="Q839" s="5" t="s">
        <v>113</v>
      </c>
      <c r="R839" s="5" t="n">
        <v>0</v>
      </c>
      <c r="S839" s="5" t="n">
        <v>30</v>
      </c>
      <c r="T839" s="12" t="n">
        <f aca="false">(O839-M839)/M839</f>
        <v>0.0201</v>
      </c>
      <c r="U839" s="8" t="n">
        <f aca="false">IF(AND(K839&lt;=I839,R839=0),1,0)</f>
        <v>1</v>
      </c>
      <c r="V839" s="10" t="n">
        <f aca="false">IF(Q839="No",P839,0)</f>
        <v>0</v>
      </c>
    </row>
    <row r="840" customFormat="false" ht="15" hidden="false" customHeight="false" outlineLevel="0" collapsed="false">
      <c r="A840" s="5" t="s">
        <v>974</v>
      </c>
      <c r="B840" s="5" t="s">
        <v>41</v>
      </c>
      <c r="C840" s="7" t="n">
        <v>45744</v>
      </c>
      <c r="D840" s="8" t="str">
        <f aca="false">INDEX(Dim_Supplier!$C$2:$C$21,MATCH(B840,Dim_Supplier!$A$2:$A$21,0))</f>
        <v>Raw Materials</v>
      </c>
      <c r="E840" s="8" t="str">
        <f aca="false">INDEX(Dim_Supplier!$B$2:$B$21,MATCH(B840,Dim_Supplier!$A$2:$A$21,0))</f>
        <v>Ontario Steel Partners</v>
      </c>
      <c r="F840" s="5" t="s">
        <v>115</v>
      </c>
      <c r="G840" s="5" t="s">
        <v>120</v>
      </c>
      <c r="H840" s="8" t="n">
        <f aca="false">INDEX(Lookup_Tables!$B$2:$B$5,MATCH(D840,Lookup_Tables!$A$2:$A$5,0))</f>
        <v>21</v>
      </c>
      <c r="I840" s="9" t="n">
        <f aca="false">C840+H840</f>
        <v>45765</v>
      </c>
      <c r="J840" s="5" t="n">
        <v>-4</v>
      </c>
      <c r="K840" s="9" t="n">
        <f aca="false">I840+J840</f>
        <v>45761</v>
      </c>
      <c r="L840" s="5" t="n">
        <v>268</v>
      </c>
      <c r="M840" s="10" t="n">
        <f aca="false">INDEX(Dim_Supplier!$F$2:$F$21,MATCH(B840,Dim_Supplier!$A$2:$A$21,0))</f>
        <v>58</v>
      </c>
      <c r="N840" s="11" t="n">
        <v>-0.0049</v>
      </c>
      <c r="O840" s="10" t="n">
        <f aca="false">M840*(1+N840)</f>
        <v>57.7158</v>
      </c>
      <c r="P840" s="10" t="n">
        <f aca="false">O840*L840</f>
        <v>15467.8344</v>
      </c>
      <c r="Q840" s="5" t="s">
        <v>113</v>
      </c>
      <c r="R840" s="5" t="n">
        <v>0</v>
      </c>
      <c r="S840" s="5" t="n">
        <v>45</v>
      </c>
      <c r="T840" s="12" t="n">
        <f aca="false">(O840-M840)/M840</f>
        <v>-0.00489999999999997</v>
      </c>
      <c r="U840" s="8" t="n">
        <f aca="false">IF(AND(K840&lt;=I840,R840=0),1,0)</f>
        <v>1</v>
      </c>
      <c r="V840" s="10" t="n">
        <f aca="false">IF(Q840="No",P840,0)</f>
        <v>0</v>
      </c>
    </row>
    <row r="841" customFormat="false" ht="15" hidden="false" customHeight="false" outlineLevel="0" collapsed="false">
      <c r="A841" s="5" t="s">
        <v>975</v>
      </c>
      <c r="B841" s="5" t="s">
        <v>41</v>
      </c>
      <c r="C841" s="7" t="n">
        <v>45575</v>
      </c>
      <c r="D841" s="8" t="str">
        <f aca="false">INDEX(Dim_Supplier!$C$2:$C$21,MATCH(B841,Dim_Supplier!$A$2:$A$21,0))</f>
        <v>Raw Materials</v>
      </c>
      <c r="E841" s="8" t="str">
        <f aca="false">INDEX(Dim_Supplier!$B$2:$B$21,MATCH(B841,Dim_Supplier!$A$2:$A$21,0))</f>
        <v>Ontario Steel Partners</v>
      </c>
      <c r="F841" s="5" t="s">
        <v>115</v>
      </c>
      <c r="G841" s="5" t="s">
        <v>129</v>
      </c>
      <c r="H841" s="8" t="n">
        <f aca="false">INDEX(Lookup_Tables!$B$2:$B$5,MATCH(D841,Lookup_Tables!$A$2:$A$5,0))</f>
        <v>21</v>
      </c>
      <c r="I841" s="9" t="n">
        <f aca="false">C841+H841</f>
        <v>45596</v>
      </c>
      <c r="J841" s="5" t="n">
        <v>-2</v>
      </c>
      <c r="K841" s="9" t="n">
        <f aca="false">I841+J841</f>
        <v>45594</v>
      </c>
      <c r="L841" s="5" t="n">
        <v>1218</v>
      </c>
      <c r="M841" s="10" t="n">
        <f aca="false">INDEX(Dim_Supplier!$F$2:$F$21,MATCH(B841,Dim_Supplier!$A$2:$A$21,0))</f>
        <v>58</v>
      </c>
      <c r="N841" s="11" t="n">
        <v>0.0228</v>
      </c>
      <c r="O841" s="10" t="n">
        <f aca="false">M841*(1+N841)</f>
        <v>59.3224</v>
      </c>
      <c r="P841" s="10" t="n">
        <f aca="false">O841*L841</f>
        <v>72254.6832</v>
      </c>
      <c r="Q841" s="5" t="s">
        <v>113</v>
      </c>
      <c r="R841" s="5" t="n">
        <v>0</v>
      </c>
      <c r="S841" s="5" t="n">
        <v>30</v>
      </c>
      <c r="T841" s="12" t="n">
        <f aca="false">(O841-M841)/M841</f>
        <v>0.0227999999999999</v>
      </c>
      <c r="U841" s="8" t="n">
        <f aca="false">IF(AND(K841&lt;=I841,R841=0),1,0)</f>
        <v>1</v>
      </c>
      <c r="V841" s="10" t="n">
        <f aca="false">IF(Q841="No",P841,0)</f>
        <v>0</v>
      </c>
    </row>
    <row r="842" customFormat="false" ht="15" hidden="false" customHeight="false" outlineLevel="0" collapsed="false">
      <c r="A842" s="5" t="s">
        <v>976</v>
      </c>
      <c r="B842" s="5" t="s">
        <v>57</v>
      </c>
      <c r="C842" s="7" t="n">
        <v>46127</v>
      </c>
      <c r="D842" s="8" t="str">
        <f aca="false">INDEX(Dim_Supplier!$C$2:$C$21,MATCH(B842,Dim_Supplier!$A$2:$A$21,0))</f>
        <v>Packaging</v>
      </c>
      <c r="E842" s="8" t="str">
        <f aca="false">INDEX(Dim_Supplier!$B$2:$B$21,MATCH(B842,Dim_Supplier!$A$2:$A$21,0))</f>
        <v>Great Lakes Packaging Co.</v>
      </c>
      <c r="F842" s="5" t="s">
        <v>119</v>
      </c>
      <c r="G842" s="5" t="s">
        <v>112</v>
      </c>
      <c r="H842" s="8" t="n">
        <f aca="false">INDEX(Lookup_Tables!$B$2:$B$5,MATCH(D842,Lookup_Tables!$A$2:$A$5,0))</f>
        <v>14</v>
      </c>
      <c r="I842" s="9" t="n">
        <f aca="false">C842+H842</f>
        <v>46141</v>
      </c>
      <c r="J842" s="5" t="n">
        <v>-4</v>
      </c>
      <c r="K842" s="9" t="n">
        <f aca="false">I842+J842</f>
        <v>46137</v>
      </c>
      <c r="L842" s="5" t="n">
        <v>4949</v>
      </c>
      <c r="M842" s="10" t="n">
        <f aca="false">INDEX(Dim_Supplier!$F$2:$F$21,MATCH(B842,Dim_Supplier!$A$2:$A$21,0))</f>
        <v>4.35</v>
      </c>
      <c r="N842" s="11" t="n">
        <v>-0.05</v>
      </c>
      <c r="O842" s="10" t="n">
        <f aca="false">M842*(1+N842)</f>
        <v>4.1325</v>
      </c>
      <c r="P842" s="10" t="n">
        <f aca="false">O842*L842</f>
        <v>20451.7425</v>
      </c>
      <c r="Q842" s="5" t="s">
        <v>113</v>
      </c>
      <c r="R842" s="5" t="n">
        <v>154</v>
      </c>
      <c r="S842" s="5" t="n">
        <v>30</v>
      </c>
      <c r="T842" s="12" t="n">
        <f aca="false">(O842-M842)/M842</f>
        <v>-0.0500000000000001</v>
      </c>
      <c r="U842" s="8" t="n">
        <f aca="false">IF(AND(K842&lt;=I842,R842=0),1,0)</f>
        <v>0</v>
      </c>
      <c r="V842" s="10" t="n">
        <f aca="false">IF(Q842="No",P842,0)</f>
        <v>0</v>
      </c>
    </row>
    <row r="843" customFormat="false" ht="15" hidden="false" customHeight="false" outlineLevel="0" collapsed="false">
      <c r="A843" s="5" t="s">
        <v>977</v>
      </c>
      <c r="B843" s="5" t="s">
        <v>57</v>
      </c>
      <c r="C843" s="7" t="n">
        <v>45705</v>
      </c>
      <c r="D843" s="8" t="str">
        <f aca="false">INDEX(Dim_Supplier!$C$2:$C$21,MATCH(B843,Dim_Supplier!$A$2:$A$21,0))</f>
        <v>Packaging</v>
      </c>
      <c r="E843" s="8" t="str">
        <f aca="false">INDEX(Dim_Supplier!$B$2:$B$21,MATCH(B843,Dim_Supplier!$A$2:$A$21,0))</f>
        <v>Great Lakes Packaging Co.</v>
      </c>
      <c r="F843" s="5" t="s">
        <v>137</v>
      </c>
      <c r="G843" s="5" t="s">
        <v>129</v>
      </c>
      <c r="H843" s="8" t="n">
        <f aca="false">INDEX(Lookup_Tables!$B$2:$B$5,MATCH(D843,Lookup_Tables!$A$2:$A$5,0))</f>
        <v>14</v>
      </c>
      <c r="I843" s="9" t="n">
        <f aca="false">C843+H843</f>
        <v>45719</v>
      </c>
      <c r="J843" s="5" t="n">
        <v>-4</v>
      </c>
      <c r="K843" s="9" t="n">
        <f aca="false">I843+J843</f>
        <v>45715</v>
      </c>
      <c r="L843" s="5" t="n">
        <v>1722</v>
      </c>
      <c r="M843" s="10" t="n">
        <f aca="false">INDEX(Dim_Supplier!$F$2:$F$21,MATCH(B843,Dim_Supplier!$A$2:$A$21,0))</f>
        <v>4.35</v>
      </c>
      <c r="N843" s="11" t="n">
        <v>0.0142</v>
      </c>
      <c r="O843" s="10" t="n">
        <f aca="false">M843*(1+N843)</f>
        <v>4.41177</v>
      </c>
      <c r="P843" s="10" t="n">
        <f aca="false">O843*L843</f>
        <v>7597.06794</v>
      </c>
      <c r="Q843" s="5" t="s">
        <v>113</v>
      </c>
      <c r="R843" s="5" t="n">
        <v>0</v>
      </c>
      <c r="S843" s="5" t="n">
        <v>45</v>
      </c>
      <c r="T843" s="12" t="n">
        <f aca="false">(O843-M843)/M843</f>
        <v>0.0142</v>
      </c>
      <c r="U843" s="8" t="n">
        <f aca="false">IF(AND(K843&lt;=I843,R843=0),1,0)</f>
        <v>1</v>
      </c>
      <c r="V843" s="10" t="n">
        <f aca="false">IF(Q843="No",P843,0)</f>
        <v>0</v>
      </c>
    </row>
    <row r="844" customFormat="false" ht="15" hidden="false" customHeight="false" outlineLevel="0" collapsed="false">
      <c r="A844" s="5" t="s">
        <v>978</v>
      </c>
      <c r="B844" s="5" t="s">
        <v>52</v>
      </c>
      <c r="C844" s="7" t="n">
        <v>45531</v>
      </c>
      <c r="D844" s="8" t="str">
        <f aca="false">INDEX(Dim_Supplier!$C$2:$C$21,MATCH(B844,Dim_Supplier!$A$2:$A$21,0))</f>
        <v>Raw Materials</v>
      </c>
      <c r="E844" s="8" t="str">
        <f aca="false">INDEX(Dim_Supplier!$B$2:$B$21,MATCH(B844,Dim_Supplier!$A$2:$A$21,0))</f>
        <v>Laurentian Metals Inc.</v>
      </c>
      <c r="F844" s="5" t="s">
        <v>144</v>
      </c>
      <c r="G844" s="5" t="s">
        <v>125</v>
      </c>
      <c r="H844" s="8" t="n">
        <f aca="false">INDEX(Lookup_Tables!$B$2:$B$5,MATCH(D844,Lookup_Tables!$A$2:$A$5,0))</f>
        <v>21</v>
      </c>
      <c r="I844" s="9" t="n">
        <f aca="false">C844+H844</f>
        <v>45552</v>
      </c>
      <c r="J844" s="5" t="n">
        <v>-3</v>
      </c>
      <c r="K844" s="9" t="n">
        <f aca="false">I844+J844</f>
        <v>45549</v>
      </c>
      <c r="L844" s="5" t="n">
        <v>1721</v>
      </c>
      <c r="M844" s="10" t="n">
        <f aca="false">INDEX(Dim_Supplier!$F$2:$F$21,MATCH(B844,Dim_Supplier!$A$2:$A$21,0))</f>
        <v>61.2</v>
      </c>
      <c r="N844" s="11" t="n">
        <v>-0.0019</v>
      </c>
      <c r="O844" s="10" t="n">
        <f aca="false">M844*(1+N844)</f>
        <v>61.08372</v>
      </c>
      <c r="P844" s="10" t="n">
        <f aca="false">O844*L844</f>
        <v>105125.08212</v>
      </c>
      <c r="Q844" s="5" t="s">
        <v>113</v>
      </c>
      <c r="R844" s="5" t="n">
        <v>0</v>
      </c>
      <c r="S844" s="5" t="n">
        <v>30</v>
      </c>
      <c r="T844" s="12" t="n">
        <f aca="false">(O844-M844)/M844</f>
        <v>-0.00190000000000005</v>
      </c>
      <c r="U844" s="8" t="n">
        <f aca="false">IF(AND(K844&lt;=I844,R844=0),1,0)</f>
        <v>1</v>
      </c>
      <c r="V844" s="10" t="n">
        <f aca="false">IF(Q844="No",P844,0)</f>
        <v>0</v>
      </c>
    </row>
    <row r="845" customFormat="false" ht="15" hidden="false" customHeight="false" outlineLevel="0" collapsed="false">
      <c r="A845" s="5" t="s">
        <v>979</v>
      </c>
      <c r="B845" s="5" t="s">
        <v>86</v>
      </c>
      <c r="C845" s="7" t="n">
        <v>45719</v>
      </c>
      <c r="D845" s="8" t="str">
        <f aca="false">INDEX(Dim_Supplier!$C$2:$C$21,MATCH(B845,Dim_Supplier!$A$2:$A$21,0))</f>
        <v>Logistics</v>
      </c>
      <c r="E845" s="8" t="str">
        <f aca="false">INDEX(Dim_Supplier!$B$2:$B$21,MATCH(B845,Dim_Supplier!$A$2:$A$21,0))</f>
        <v>Blue Water Customs Brokerage</v>
      </c>
      <c r="F845" s="5" t="s">
        <v>154</v>
      </c>
      <c r="G845" s="5" t="s">
        <v>125</v>
      </c>
      <c r="H845" s="8" t="n">
        <f aca="false">INDEX(Lookup_Tables!$B$2:$B$5,MATCH(D845,Lookup_Tables!$A$2:$A$5,0))</f>
        <v>5</v>
      </c>
      <c r="I845" s="9" t="n">
        <f aca="false">C845+H845</f>
        <v>45724</v>
      </c>
      <c r="J845" s="5" t="n">
        <v>-4</v>
      </c>
      <c r="K845" s="9" t="n">
        <f aca="false">I845+J845</f>
        <v>45720</v>
      </c>
      <c r="L845" s="5" t="n">
        <v>24</v>
      </c>
      <c r="M845" s="10" t="n">
        <f aca="false">INDEX(Dim_Supplier!$F$2:$F$21,MATCH(B845,Dim_Supplier!$A$2:$A$21,0))</f>
        <v>175</v>
      </c>
      <c r="N845" s="11" t="n">
        <v>0.0179</v>
      </c>
      <c r="O845" s="10" t="n">
        <f aca="false">M845*(1+N845)</f>
        <v>178.1325</v>
      </c>
      <c r="P845" s="10" t="n">
        <f aca="false">O845*L845</f>
        <v>4275.18</v>
      </c>
      <c r="Q845" s="5" t="s">
        <v>113</v>
      </c>
      <c r="R845" s="5" t="n">
        <v>0</v>
      </c>
      <c r="S845" s="5" t="n">
        <v>30</v>
      </c>
      <c r="T845" s="12" t="n">
        <f aca="false">(O845-M845)/M845</f>
        <v>0.0179</v>
      </c>
      <c r="U845" s="8" t="n">
        <f aca="false">IF(AND(K845&lt;=I845,R845=0),1,0)</f>
        <v>1</v>
      </c>
      <c r="V845" s="10" t="n">
        <f aca="false">IF(Q845="No",P845,0)</f>
        <v>0</v>
      </c>
    </row>
    <row r="846" customFormat="false" ht="15" hidden="false" customHeight="false" outlineLevel="0" collapsed="false">
      <c r="A846" s="5" t="s">
        <v>980</v>
      </c>
      <c r="B846" s="5" t="s">
        <v>77</v>
      </c>
      <c r="C846" s="7" t="n">
        <v>45803</v>
      </c>
      <c r="D846" s="8" t="str">
        <f aca="false">INDEX(Dim_Supplier!$C$2:$C$21,MATCH(B846,Dim_Supplier!$A$2:$A$21,0))</f>
        <v>MRO</v>
      </c>
      <c r="E846" s="8" t="str">
        <f aca="false">INDEX(Dim_Supplier!$B$2:$B$21,MATCH(B846,Dim_Supplier!$A$2:$A$21,0))</f>
        <v>Apex Industrial Supply</v>
      </c>
      <c r="F846" s="5" t="s">
        <v>111</v>
      </c>
      <c r="G846" s="5" t="s">
        <v>120</v>
      </c>
      <c r="H846" s="8" t="n">
        <f aca="false">INDEX(Lookup_Tables!$B$2:$B$5,MATCH(D846,Lookup_Tables!$A$2:$A$5,0))</f>
        <v>10</v>
      </c>
      <c r="I846" s="9" t="n">
        <f aca="false">C846+H846</f>
        <v>45813</v>
      </c>
      <c r="J846" s="5" t="n">
        <v>-1</v>
      </c>
      <c r="K846" s="9" t="n">
        <f aca="false">I846+J846</f>
        <v>45812</v>
      </c>
      <c r="L846" s="5" t="n">
        <v>197</v>
      </c>
      <c r="M846" s="10" t="n">
        <f aca="false">INDEX(Dim_Supplier!$F$2:$F$21,MATCH(B846,Dim_Supplier!$A$2:$A$21,0))</f>
        <v>24.6</v>
      </c>
      <c r="N846" s="11" t="n">
        <v>0.0708</v>
      </c>
      <c r="O846" s="10" t="n">
        <f aca="false">M846*(1+N846)</f>
        <v>26.34168</v>
      </c>
      <c r="P846" s="10" t="n">
        <f aca="false">O846*L846</f>
        <v>5189.31096</v>
      </c>
      <c r="Q846" s="5" t="s">
        <v>113</v>
      </c>
      <c r="R846" s="5" t="n">
        <v>0</v>
      </c>
      <c r="S846" s="5" t="n">
        <v>45</v>
      </c>
      <c r="T846" s="12" t="n">
        <f aca="false">(O846-M846)/M846</f>
        <v>0.0708</v>
      </c>
      <c r="U846" s="8" t="n">
        <f aca="false">IF(AND(K846&lt;=I846,R846=0),1,0)</f>
        <v>1</v>
      </c>
      <c r="V846" s="10" t="n">
        <f aca="false">IF(Q846="No",P846,0)</f>
        <v>0</v>
      </c>
    </row>
    <row r="847" customFormat="false" ht="15" hidden="false" customHeight="false" outlineLevel="0" collapsed="false">
      <c r="A847" s="5" t="s">
        <v>981</v>
      </c>
      <c r="B847" s="5" t="s">
        <v>57</v>
      </c>
      <c r="C847" s="7" t="n">
        <v>45315</v>
      </c>
      <c r="D847" s="8" t="str">
        <f aca="false">INDEX(Dim_Supplier!$C$2:$C$21,MATCH(B847,Dim_Supplier!$A$2:$A$21,0))</f>
        <v>Packaging</v>
      </c>
      <c r="E847" s="8" t="str">
        <f aca="false">INDEX(Dim_Supplier!$B$2:$B$21,MATCH(B847,Dim_Supplier!$A$2:$A$21,0))</f>
        <v>Great Lakes Packaging Co.</v>
      </c>
      <c r="F847" s="5" t="s">
        <v>122</v>
      </c>
      <c r="G847" s="5" t="s">
        <v>129</v>
      </c>
      <c r="H847" s="8" t="n">
        <f aca="false">INDEX(Lookup_Tables!$B$2:$B$5,MATCH(D847,Lookup_Tables!$A$2:$A$5,0))</f>
        <v>14</v>
      </c>
      <c r="I847" s="9" t="n">
        <f aca="false">C847+H847</f>
        <v>45329</v>
      </c>
      <c r="J847" s="5" t="n">
        <v>-2</v>
      </c>
      <c r="K847" s="9" t="n">
        <f aca="false">I847+J847</f>
        <v>45327</v>
      </c>
      <c r="L847" s="5" t="n">
        <v>3205</v>
      </c>
      <c r="M847" s="10" t="n">
        <f aca="false">INDEX(Dim_Supplier!$F$2:$F$21,MATCH(B847,Dim_Supplier!$A$2:$A$21,0))</f>
        <v>4.35</v>
      </c>
      <c r="N847" s="11" t="n">
        <v>0.0046</v>
      </c>
      <c r="O847" s="10" t="n">
        <f aca="false">M847*(1+N847)</f>
        <v>4.37001</v>
      </c>
      <c r="P847" s="10" t="n">
        <f aca="false">O847*L847</f>
        <v>14005.88205</v>
      </c>
      <c r="Q847" s="5" t="s">
        <v>113</v>
      </c>
      <c r="R847" s="5" t="n">
        <v>0</v>
      </c>
      <c r="S847" s="5" t="n">
        <v>60</v>
      </c>
      <c r="T847" s="12" t="n">
        <f aca="false">(O847-M847)/M847</f>
        <v>0.00460000000000002</v>
      </c>
      <c r="U847" s="8" t="n">
        <f aca="false">IF(AND(K847&lt;=I847,R847=0),1,0)</f>
        <v>1</v>
      </c>
      <c r="V847" s="10" t="n">
        <f aca="false">IF(Q847="No",P847,0)</f>
        <v>0</v>
      </c>
    </row>
    <row r="848" customFormat="false" ht="15" hidden="false" customHeight="false" outlineLevel="0" collapsed="false">
      <c r="A848" s="5" t="s">
        <v>982</v>
      </c>
      <c r="B848" s="5" t="s">
        <v>68</v>
      </c>
      <c r="C848" s="7" t="n">
        <v>45692</v>
      </c>
      <c r="D848" s="8" t="str">
        <f aca="false">INDEX(Dim_Supplier!$C$2:$C$21,MATCH(B848,Dim_Supplier!$A$2:$A$21,0))</f>
        <v>MRO</v>
      </c>
      <c r="E848" s="8" t="str">
        <f aca="false">INDEX(Dim_Supplier!$B$2:$B$21,MATCH(B848,Dim_Supplier!$A$2:$A$21,0))</f>
        <v>Precision Tool &amp; Supply</v>
      </c>
      <c r="F848" s="5" t="s">
        <v>179</v>
      </c>
      <c r="G848" s="5" t="s">
        <v>112</v>
      </c>
      <c r="H848" s="8" t="n">
        <f aca="false">INDEX(Lookup_Tables!$B$2:$B$5,MATCH(D848,Lookup_Tables!$A$2:$A$5,0))</f>
        <v>10</v>
      </c>
      <c r="I848" s="9" t="n">
        <f aca="false">C848+H848</f>
        <v>45702</v>
      </c>
      <c r="J848" s="5" t="n">
        <v>-2</v>
      </c>
      <c r="K848" s="9" t="n">
        <f aca="false">I848+J848</f>
        <v>45700</v>
      </c>
      <c r="L848" s="5" t="n">
        <v>103</v>
      </c>
      <c r="M848" s="10" t="n">
        <f aca="false">INDEX(Dim_Supplier!$F$2:$F$21,MATCH(B848,Dim_Supplier!$A$2:$A$21,0))</f>
        <v>22.4</v>
      </c>
      <c r="N848" s="11" t="n">
        <v>0.0077</v>
      </c>
      <c r="O848" s="10" t="n">
        <f aca="false">M848*(1+N848)</f>
        <v>22.57248</v>
      </c>
      <c r="P848" s="10" t="n">
        <f aca="false">O848*L848</f>
        <v>2324.96544</v>
      </c>
      <c r="Q848" s="5" t="s">
        <v>113</v>
      </c>
      <c r="R848" s="5" t="n">
        <v>0</v>
      </c>
      <c r="S848" s="5" t="n">
        <v>45</v>
      </c>
      <c r="T848" s="12" t="n">
        <f aca="false">(O848-M848)/M848</f>
        <v>0.00770000000000001</v>
      </c>
      <c r="U848" s="8" t="n">
        <f aca="false">IF(AND(K848&lt;=I848,R848=0),1,0)</f>
        <v>1</v>
      </c>
      <c r="V848" s="10" t="n">
        <f aca="false">IF(Q848="No",P848,0)</f>
        <v>0</v>
      </c>
    </row>
    <row r="849" customFormat="false" ht="15" hidden="false" customHeight="false" outlineLevel="0" collapsed="false">
      <c r="A849" s="5" t="s">
        <v>983</v>
      </c>
      <c r="B849" s="5" t="s">
        <v>62</v>
      </c>
      <c r="C849" s="7" t="n">
        <v>45603</v>
      </c>
      <c r="D849" s="8" t="str">
        <f aca="false">INDEX(Dim_Supplier!$C$2:$C$21,MATCH(B849,Dim_Supplier!$A$2:$A$21,0))</f>
        <v>Packaging</v>
      </c>
      <c r="E849" s="8" t="str">
        <f aca="false">INDEX(Dim_Supplier!$B$2:$B$21,MATCH(B849,Dim_Supplier!$A$2:$A$21,0))</f>
        <v>Trillium Packaging Solutions</v>
      </c>
      <c r="F849" s="5" t="s">
        <v>117</v>
      </c>
      <c r="G849" s="5" t="s">
        <v>112</v>
      </c>
      <c r="H849" s="8" t="n">
        <f aca="false">INDEX(Lookup_Tables!$B$2:$B$5,MATCH(D849,Lookup_Tables!$A$2:$A$5,0))</f>
        <v>14</v>
      </c>
      <c r="I849" s="9" t="n">
        <f aca="false">C849+H849</f>
        <v>45617</v>
      </c>
      <c r="J849" s="5" t="n">
        <v>-1</v>
      </c>
      <c r="K849" s="9" t="n">
        <f aca="false">I849+J849</f>
        <v>45616</v>
      </c>
      <c r="L849" s="5" t="n">
        <v>762</v>
      </c>
      <c r="M849" s="10" t="n">
        <f aca="false">INDEX(Dim_Supplier!$F$2:$F$21,MATCH(B849,Dim_Supplier!$A$2:$A$21,0))</f>
        <v>5.6</v>
      </c>
      <c r="N849" s="11" t="n">
        <v>0.0355</v>
      </c>
      <c r="O849" s="10" t="n">
        <f aca="false">M849*(1+N849)</f>
        <v>5.7988</v>
      </c>
      <c r="P849" s="10" t="n">
        <f aca="false">O849*L849</f>
        <v>4418.6856</v>
      </c>
      <c r="Q849" s="5" t="s">
        <v>113</v>
      </c>
      <c r="R849" s="5" t="n">
        <v>0</v>
      </c>
      <c r="S849" s="5" t="n">
        <v>30</v>
      </c>
      <c r="T849" s="12" t="n">
        <f aca="false">(O849-M849)/M849</f>
        <v>0.0355000000000001</v>
      </c>
      <c r="U849" s="8" t="n">
        <f aca="false">IF(AND(K849&lt;=I849,R849=0),1,0)</f>
        <v>1</v>
      </c>
      <c r="V849" s="10" t="n">
        <f aca="false">IF(Q849="No",P849,0)</f>
        <v>0</v>
      </c>
    </row>
    <row r="850" customFormat="false" ht="15" hidden="false" customHeight="false" outlineLevel="0" collapsed="false">
      <c r="A850" s="5" t="s">
        <v>984</v>
      </c>
      <c r="B850" s="5" t="s">
        <v>52</v>
      </c>
      <c r="C850" s="7" t="n">
        <v>45687</v>
      </c>
      <c r="D850" s="8" t="str">
        <f aca="false">INDEX(Dim_Supplier!$C$2:$C$21,MATCH(B850,Dim_Supplier!$A$2:$A$21,0))</f>
        <v>Raw Materials</v>
      </c>
      <c r="E850" s="8" t="str">
        <f aca="false">INDEX(Dim_Supplier!$B$2:$B$21,MATCH(B850,Dim_Supplier!$A$2:$A$21,0))</f>
        <v>Laurentian Metals Inc.</v>
      </c>
      <c r="F850" s="5" t="s">
        <v>139</v>
      </c>
      <c r="G850" s="5" t="s">
        <v>112</v>
      </c>
      <c r="H850" s="8" t="n">
        <f aca="false">INDEX(Lookup_Tables!$B$2:$B$5,MATCH(D850,Lookup_Tables!$A$2:$A$5,0))</f>
        <v>21</v>
      </c>
      <c r="I850" s="9" t="n">
        <f aca="false">C850+H850</f>
        <v>45708</v>
      </c>
      <c r="J850" s="5" t="n">
        <v>-3</v>
      </c>
      <c r="K850" s="9" t="n">
        <f aca="false">I850+J850</f>
        <v>45705</v>
      </c>
      <c r="L850" s="5" t="n">
        <v>243</v>
      </c>
      <c r="M850" s="10" t="n">
        <f aca="false">INDEX(Dim_Supplier!$F$2:$F$21,MATCH(B850,Dim_Supplier!$A$2:$A$21,0))</f>
        <v>61.2</v>
      </c>
      <c r="N850" s="11" t="n">
        <v>0.0492</v>
      </c>
      <c r="O850" s="10" t="n">
        <f aca="false">M850*(1+N850)</f>
        <v>64.21104</v>
      </c>
      <c r="P850" s="10" t="n">
        <f aca="false">O850*L850</f>
        <v>15603.28272</v>
      </c>
      <c r="Q850" s="5" t="s">
        <v>113</v>
      </c>
      <c r="R850" s="5" t="n">
        <v>0</v>
      </c>
      <c r="S850" s="5" t="n">
        <v>30</v>
      </c>
      <c r="T850" s="12" t="n">
        <f aca="false">(O850-M850)/M850</f>
        <v>0.0491999999999999</v>
      </c>
      <c r="U850" s="8" t="n">
        <f aca="false">IF(AND(K850&lt;=I850,R850=0),1,0)</f>
        <v>1</v>
      </c>
      <c r="V850" s="10" t="n">
        <f aca="false">IF(Q850="No",P850,0)</f>
        <v>0</v>
      </c>
    </row>
    <row r="851" customFormat="false" ht="15" hidden="false" customHeight="false" outlineLevel="0" collapsed="false">
      <c r="A851" s="5" t="s">
        <v>985</v>
      </c>
      <c r="B851" s="5" t="s">
        <v>57</v>
      </c>
      <c r="C851" s="7" t="n">
        <v>45712</v>
      </c>
      <c r="D851" s="8" t="str">
        <f aca="false">INDEX(Dim_Supplier!$C$2:$C$21,MATCH(B851,Dim_Supplier!$A$2:$A$21,0))</f>
        <v>Packaging</v>
      </c>
      <c r="E851" s="8" t="str">
        <f aca="false">INDEX(Dim_Supplier!$B$2:$B$21,MATCH(B851,Dim_Supplier!$A$2:$A$21,0))</f>
        <v>Great Lakes Packaging Co.</v>
      </c>
      <c r="F851" s="5" t="s">
        <v>137</v>
      </c>
      <c r="G851" s="5" t="s">
        <v>112</v>
      </c>
      <c r="H851" s="8" t="n">
        <f aca="false">INDEX(Lookup_Tables!$B$2:$B$5,MATCH(D851,Lookup_Tables!$A$2:$A$5,0))</f>
        <v>14</v>
      </c>
      <c r="I851" s="9" t="n">
        <f aca="false">C851+H851</f>
        <v>45726</v>
      </c>
      <c r="J851" s="5" t="n">
        <v>-2</v>
      </c>
      <c r="K851" s="9" t="n">
        <f aca="false">I851+J851</f>
        <v>45724</v>
      </c>
      <c r="L851" s="5" t="n">
        <v>3927</v>
      </c>
      <c r="M851" s="10" t="n">
        <f aca="false">INDEX(Dim_Supplier!$F$2:$F$21,MATCH(B851,Dim_Supplier!$A$2:$A$21,0))</f>
        <v>4.35</v>
      </c>
      <c r="N851" s="11" t="n">
        <v>0.0093</v>
      </c>
      <c r="O851" s="10" t="n">
        <f aca="false">M851*(1+N851)</f>
        <v>4.390455</v>
      </c>
      <c r="P851" s="10" t="n">
        <f aca="false">O851*L851</f>
        <v>17241.316785</v>
      </c>
      <c r="Q851" s="5" t="s">
        <v>113</v>
      </c>
      <c r="R851" s="5" t="n">
        <v>0</v>
      </c>
      <c r="S851" s="5" t="n">
        <v>60</v>
      </c>
      <c r="T851" s="12" t="n">
        <f aca="false">(O851-M851)/M851</f>
        <v>0.00930000000000013</v>
      </c>
      <c r="U851" s="8" t="n">
        <f aca="false">IF(AND(K851&lt;=I851,R851=0),1,0)</f>
        <v>1</v>
      </c>
      <c r="V851" s="10" t="n">
        <f aca="false">IF(Q851="No",P851,0)</f>
        <v>0</v>
      </c>
    </row>
    <row r="852" customFormat="false" ht="15" hidden="false" customHeight="false" outlineLevel="0" collapsed="false">
      <c r="A852" s="5" t="s">
        <v>986</v>
      </c>
      <c r="B852" s="5" t="s">
        <v>82</v>
      </c>
      <c r="C852" s="7" t="n">
        <v>45425</v>
      </c>
      <c r="D852" s="8" t="str">
        <f aca="false">INDEX(Dim_Supplier!$C$2:$C$21,MATCH(B852,Dim_Supplier!$A$2:$A$21,0))</f>
        <v>Logistics</v>
      </c>
      <c r="E852" s="8" t="str">
        <f aca="false">INDEX(Dim_Supplier!$B$2:$B$21,MATCH(B852,Dim_Supplier!$A$2:$A$21,0))</f>
        <v>Maple Route Logistics</v>
      </c>
      <c r="F852" s="5" t="s">
        <v>154</v>
      </c>
      <c r="G852" s="5" t="s">
        <v>120</v>
      </c>
      <c r="H852" s="8" t="n">
        <f aca="false">INDEX(Lookup_Tables!$B$2:$B$5,MATCH(D852,Lookup_Tables!$A$2:$A$5,0))</f>
        <v>5</v>
      </c>
      <c r="I852" s="9" t="n">
        <f aca="false">C852+H852</f>
        <v>45430</v>
      </c>
      <c r="J852" s="5" t="n">
        <v>-4</v>
      </c>
      <c r="K852" s="9" t="n">
        <f aca="false">I852+J852</f>
        <v>45426</v>
      </c>
      <c r="L852" s="5" t="n">
        <v>31</v>
      </c>
      <c r="M852" s="10" t="n">
        <f aca="false">INDEX(Dim_Supplier!$F$2:$F$21,MATCH(B852,Dim_Supplier!$A$2:$A$21,0))</f>
        <v>285</v>
      </c>
      <c r="N852" s="11" t="n">
        <v>0.043</v>
      </c>
      <c r="O852" s="10" t="n">
        <f aca="false">M852*(1+N852)</f>
        <v>297.255</v>
      </c>
      <c r="P852" s="10" t="n">
        <f aca="false">O852*L852</f>
        <v>9214.905</v>
      </c>
      <c r="Q852" s="5" t="s">
        <v>113</v>
      </c>
      <c r="R852" s="5" t="n">
        <v>0</v>
      </c>
      <c r="S852" s="5" t="n">
        <v>30</v>
      </c>
      <c r="T852" s="12" t="n">
        <f aca="false">(O852-M852)/M852</f>
        <v>0.043</v>
      </c>
      <c r="U852" s="8" t="n">
        <f aca="false">IF(AND(K852&lt;=I852,R852=0),1,0)</f>
        <v>1</v>
      </c>
      <c r="V852" s="10" t="n">
        <f aca="false">IF(Q852="No",P852,0)</f>
        <v>0</v>
      </c>
    </row>
    <row r="853" customFormat="false" ht="15" hidden="false" customHeight="false" outlineLevel="0" collapsed="false">
      <c r="A853" s="5" t="s">
        <v>987</v>
      </c>
      <c r="B853" s="5" t="s">
        <v>52</v>
      </c>
      <c r="C853" s="7" t="n">
        <v>46025</v>
      </c>
      <c r="D853" s="8" t="str">
        <f aca="false">INDEX(Dim_Supplier!$C$2:$C$21,MATCH(B853,Dim_Supplier!$A$2:$A$21,0))</f>
        <v>Raw Materials</v>
      </c>
      <c r="E853" s="8" t="str">
        <f aca="false">INDEX(Dim_Supplier!$B$2:$B$21,MATCH(B853,Dim_Supplier!$A$2:$A$21,0))</f>
        <v>Laurentian Metals Inc.</v>
      </c>
      <c r="F853" s="5" t="s">
        <v>142</v>
      </c>
      <c r="G853" s="5" t="s">
        <v>120</v>
      </c>
      <c r="H853" s="8" t="n">
        <f aca="false">INDEX(Lookup_Tables!$B$2:$B$5,MATCH(D853,Lookup_Tables!$A$2:$A$5,0))</f>
        <v>21</v>
      </c>
      <c r="I853" s="9" t="n">
        <f aca="false">C853+H853</f>
        <v>46046</v>
      </c>
      <c r="J853" s="5" t="n">
        <v>-1</v>
      </c>
      <c r="K853" s="9" t="n">
        <f aca="false">I853+J853</f>
        <v>46045</v>
      </c>
      <c r="L853" s="5" t="n">
        <v>1012</v>
      </c>
      <c r="M853" s="10" t="n">
        <f aca="false">INDEX(Dim_Supplier!$F$2:$F$21,MATCH(B853,Dim_Supplier!$A$2:$A$21,0))</f>
        <v>61.2</v>
      </c>
      <c r="N853" s="11" t="n">
        <v>0.0786</v>
      </c>
      <c r="O853" s="10" t="n">
        <f aca="false">M853*(1+N853)</f>
        <v>66.01032</v>
      </c>
      <c r="P853" s="10" t="n">
        <f aca="false">O853*L853</f>
        <v>66802.44384</v>
      </c>
      <c r="Q853" s="5" t="s">
        <v>113</v>
      </c>
      <c r="R853" s="5" t="n">
        <v>0</v>
      </c>
      <c r="S853" s="5" t="n">
        <v>60</v>
      </c>
      <c r="T853" s="12" t="n">
        <f aca="false">(O853-M853)/M853</f>
        <v>0.0786000000000001</v>
      </c>
      <c r="U853" s="8" t="n">
        <f aca="false">IF(AND(K853&lt;=I853,R853=0),1,0)</f>
        <v>1</v>
      </c>
      <c r="V853" s="10" t="n">
        <f aca="false">IF(Q853="No",P853,0)</f>
        <v>0</v>
      </c>
    </row>
    <row r="854" customFormat="false" ht="15" hidden="false" customHeight="false" outlineLevel="0" collapsed="false">
      <c r="A854" s="5" t="s">
        <v>988</v>
      </c>
      <c r="B854" s="5" t="s">
        <v>68</v>
      </c>
      <c r="C854" s="7" t="n">
        <v>45874</v>
      </c>
      <c r="D854" s="8" t="str">
        <f aca="false">INDEX(Dim_Supplier!$C$2:$C$21,MATCH(B854,Dim_Supplier!$A$2:$A$21,0))</f>
        <v>MRO</v>
      </c>
      <c r="E854" s="8" t="str">
        <f aca="false">INDEX(Dim_Supplier!$B$2:$B$21,MATCH(B854,Dim_Supplier!$A$2:$A$21,0))</f>
        <v>Precision Tool &amp; Supply</v>
      </c>
      <c r="F854" s="5" t="s">
        <v>179</v>
      </c>
      <c r="G854" s="5" t="s">
        <v>125</v>
      </c>
      <c r="H854" s="8" t="n">
        <f aca="false">INDEX(Lookup_Tables!$B$2:$B$5,MATCH(D854,Lookup_Tables!$A$2:$A$5,0))</f>
        <v>10</v>
      </c>
      <c r="I854" s="9" t="n">
        <f aca="false">C854+H854</f>
        <v>45884</v>
      </c>
      <c r="J854" s="5" t="n">
        <v>-4</v>
      </c>
      <c r="K854" s="9" t="n">
        <f aca="false">I854+J854</f>
        <v>45880</v>
      </c>
      <c r="L854" s="5" t="n">
        <v>28</v>
      </c>
      <c r="M854" s="10" t="n">
        <f aca="false">INDEX(Dim_Supplier!$F$2:$F$21,MATCH(B854,Dim_Supplier!$A$2:$A$21,0))</f>
        <v>22.4</v>
      </c>
      <c r="N854" s="11" t="n">
        <v>0.0113</v>
      </c>
      <c r="O854" s="10" t="n">
        <f aca="false">M854*(1+N854)</f>
        <v>22.65312</v>
      </c>
      <c r="P854" s="10" t="n">
        <f aca="false">O854*L854</f>
        <v>634.28736</v>
      </c>
      <c r="Q854" s="5" t="s">
        <v>113</v>
      </c>
      <c r="R854" s="5" t="n">
        <v>0</v>
      </c>
      <c r="S854" s="5" t="n">
        <v>30</v>
      </c>
      <c r="T854" s="12" t="n">
        <f aca="false">(O854-M854)/M854</f>
        <v>0.0113000000000001</v>
      </c>
      <c r="U854" s="8" t="n">
        <f aca="false">IF(AND(K854&lt;=I854,R854=0),1,0)</f>
        <v>1</v>
      </c>
      <c r="V854" s="10" t="n">
        <f aca="false">IF(Q854="No",P854,0)</f>
        <v>0</v>
      </c>
    </row>
    <row r="855" customFormat="false" ht="15" hidden="false" customHeight="false" outlineLevel="0" collapsed="false">
      <c r="A855" s="5" t="s">
        <v>989</v>
      </c>
      <c r="B855" s="5" t="s">
        <v>75</v>
      </c>
      <c r="C855" s="7" t="n">
        <v>46020</v>
      </c>
      <c r="D855" s="8" t="str">
        <f aca="false">INDEX(Dim_Supplier!$C$2:$C$21,MATCH(B855,Dim_Supplier!$A$2:$A$21,0))</f>
        <v>MRO</v>
      </c>
      <c r="E855" s="8" t="str">
        <f aca="false">INDEX(Dim_Supplier!$B$2:$B$21,MATCH(B855,Dim_Supplier!$A$2:$A$21,0))</f>
        <v>Sterling Lubricants Inc.</v>
      </c>
      <c r="F855" s="5" t="s">
        <v>111</v>
      </c>
      <c r="G855" s="5" t="s">
        <v>125</v>
      </c>
      <c r="H855" s="8" t="n">
        <f aca="false">INDEX(Lookup_Tables!$B$2:$B$5,MATCH(D855,Lookup_Tables!$A$2:$A$5,0))</f>
        <v>10</v>
      </c>
      <c r="I855" s="9" t="n">
        <f aca="false">C855+H855</f>
        <v>46030</v>
      </c>
      <c r="J855" s="5" t="n">
        <v>-4</v>
      </c>
      <c r="K855" s="9" t="n">
        <f aca="false">I855+J855</f>
        <v>46026</v>
      </c>
      <c r="L855" s="5" t="n">
        <v>49</v>
      </c>
      <c r="M855" s="10" t="n">
        <f aca="false">INDEX(Dim_Supplier!$F$2:$F$21,MATCH(B855,Dim_Supplier!$A$2:$A$21,0))</f>
        <v>27.1</v>
      </c>
      <c r="N855" s="11" t="n">
        <v>-0.0038</v>
      </c>
      <c r="O855" s="10" t="n">
        <f aca="false">M855*(1+N855)</f>
        <v>26.99702</v>
      </c>
      <c r="P855" s="10" t="n">
        <f aca="false">O855*L855</f>
        <v>1322.85398</v>
      </c>
      <c r="Q855" s="5" t="s">
        <v>113</v>
      </c>
      <c r="R855" s="5" t="n">
        <v>0</v>
      </c>
      <c r="S855" s="5" t="n">
        <v>45</v>
      </c>
      <c r="T855" s="12" t="n">
        <f aca="false">(O855-M855)/M855</f>
        <v>-0.00380000000000008</v>
      </c>
      <c r="U855" s="8" t="n">
        <f aca="false">IF(AND(K855&lt;=I855,R855=0),1,0)</f>
        <v>1</v>
      </c>
      <c r="V855" s="10" t="n">
        <f aca="false">IF(Q855="No",P855,0)</f>
        <v>0</v>
      </c>
    </row>
    <row r="856" customFormat="false" ht="15" hidden="false" customHeight="false" outlineLevel="0" collapsed="false">
      <c r="A856" s="5" t="s">
        <v>990</v>
      </c>
      <c r="B856" s="5" t="s">
        <v>62</v>
      </c>
      <c r="C856" s="7" t="n">
        <v>45685</v>
      </c>
      <c r="D856" s="8" t="str">
        <f aca="false">INDEX(Dim_Supplier!$C$2:$C$21,MATCH(B856,Dim_Supplier!$A$2:$A$21,0))</f>
        <v>Packaging</v>
      </c>
      <c r="E856" s="8" t="str">
        <f aca="false">INDEX(Dim_Supplier!$B$2:$B$21,MATCH(B856,Dim_Supplier!$A$2:$A$21,0))</f>
        <v>Trillium Packaging Solutions</v>
      </c>
      <c r="F856" s="5" t="s">
        <v>158</v>
      </c>
      <c r="G856" s="5" t="s">
        <v>129</v>
      </c>
      <c r="H856" s="8" t="n">
        <f aca="false">INDEX(Lookup_Tables!$B$2:$B$5,MATCH(D856,Lookup_Tables!$A$2:$A$5,0))</f>
        <v>14</v>
      </c>
      <c r="I856" s="9" t="n">
        <f aca="false">C856+H856</f>
        <v>45699</v>
      </c>
      <c r="J856" s="5" t="n">
        <v>-4</v>
      </c>
      <c r="K856" s="9" t="n">
        <f aca="false">I856+J856</f>
        <v>45695</v>
      </c>
      <c r="L856" s="5" t="n">
        <v>2463</v>
      </c>
      <c r="M856" s="10" t="n">
        <f aca="false">INDEX(Dim_Supplier!$F$2:$F$21,MATCH(B856,Dim_Supplier!$A$2:$A$21,0))</f>
        <v>5.6</v>
      </c>
      <c r="N856" s="11" t="n">
        <v>0.0499</v>
      </c>
      <c r="O856" s="10" t="n">
        <f aca="false">M856*(1+N856)</f>
        <v>5.87944</v>
      </c>
      <c r="P856" s="10" t="n">
        <f aca="false">O856*L856</f>
        <v>14481.06072</v>
      </c>
      <c r="Q856" s="5" t="s">
        <v>113</v>
      </c>
      <c r="R856" s="5" t="n">
        <v>0</v>
      </c>
      <c r="S856" s="5" t="n">
        <v>60</v>
      </c>
      <c r="T856" s="12" t="n">
        <f aca="false">(O856-M856)/M856</f>
        <v>0.0499</v>
      </c>
      <c r="U856" s="8" t="n">
        <f aca="false">IF(AND(K856&lt;=I856,R856=0),1,0)</f>
        <v>1</v>
      </c>
      <c r="V856" s="10" t="n">
        <f aca="false">IF(Q856="No",P856,0)</f>
        <v>0</v>
      </c>
    </row>
    <row r="857" customFormat="false" ht="15" hidden="false" customHeight="false" outlineLevel="0" collapsed="false">
      <c r="A857" s="5" t="s">
        <v>991</v>
      </c>
      <c r="B857" s="5" t="s">
        <v>68</v>
      </c>
      <c r="C857" s="7" t="n">
        <v>45974</v>
      </c>
      <c r="D857" s="8" t="str">
        <f aca="false">INDEX(Dim_Supplier!$C$2:$C$21,MATCH(B857,Dim_Supplier!$A$2:$A$21,0))</f>
        <v>MRO</v>
      </c>
      <c r="E857" s="8" t="str">
        <f aca="false">INDEX(Dim_Supplier!$B$2:$B$21,MATCH(B857,Dim_Supplier!$A$2:$A$21,0))</f>
        <v>Precision Tool &amp; Supply</v>
      </c>
      <c r="F857" s="5" t="s">
        <v>127</v>
      </c>
      <c r="G857" s="5" t="s">
        <v>112</v>
      </c>
      <c r="H857" s="8" t="n">
        <f aca="false">INDEX(Lookup_Tables!$B$2:$B$5,MATCH(D857,Lookup_Tables!$A$2:$A$5,0))</f>
        <v>10</v>
      </c>
      <c r="I857" s="9" t="n">
        <f aca="false">C857+H857</f>
        <v>45984</v>
      </c>
      <c r="J857" s="5" t="n">
        <v>-1</v>
      </c>
      <c r="K857" s="9" t="n">
        <f aca="false">I857+J857</f>
        <v>45983</v>
      </c>
      <c r="L857" s="5" t="n">
        <v>200</v>
      </c>
      <c r="M857" s="10" t="n">
        <f aca="false">INDEX(Dim_Supplier!$F$2:$F$21,MATCH(B857,Dim_Supplier!$A$2:$A$21,0))</f>
        <v>22.4</v>
      </c>
      <c r="N857" s="11" t="n">
        <v>-0.0012</v>
      </c>
      <c r="O857" s="10" t="n">
        <f aca="false">M857*(1+N857)</f>
        <v>22.37312</v>
      </c>
      <c r="P857" s="10" t="n">
        <f aca="false">O857*L857</f>
        <v>4474.624</v>
      </c>
      <c r="Q857" s="5" t="s">
        <v>113</v>
      </c>
      <c r="R857" s="5" t="n">
        <v>0</v>
      </c>
      <c r="S857" s="5" t="n">
        <v>30</v>
      </c>
      <c r="T857" s="12" t="n">
        <f aca="false">(O857-M857)/M857</f>
        <v>-0.00119999999999993</v>
      </c>
      <c r="U857" s="8" t="n">
        <f aca="false">IF(AND(K857&lt;=I857,R857=0),1,0)</f>
        <v>1</v>
      </c>
      <c r="V857" s="10" t="n">
        <f aca="false">IF(Q857="No",P857,0)</f>
        <v>0</v>
      </c>
    </row>
    <row r="858" customFormat="false" ht="15" hidden="false" customHeight="false" outlineLevel="0" collapsed="false">
      <c r="A858" s="5" t="s">
        <v>992</v>
      </c>
      <c r="B858" s="5" t="s">
        <v>46</v>
      </c>
      <c r="C858" s="7" t="n">
        <v>46076</v>
      </c>
      <c r="D858" s="8" t="str">
        <f aca="false">INDEX(Dim_Supplier!$C$2:$C$21,MATCH(B858,Dim_Supplier!$A$2:$A$21,0))</f>
        <v>Raw Materials</v>
      </c>
      <c r="E858" s="8" t="str">
        <f aca="false">INDEX(Dim_Supplier!$B$2:$B$21,MATCH(B858,Dim_Supplier!$A$2:$A$21,0))</f>
        <v>Niagara Alloy Supply</v>
      </c>
      <c r="F858" s="5" t="s">
        <v>139</v>
      </c>
      <c r="G858" s="5" t="s">
        <v>125</v>
      </c>
      <c r="H858" s="8" t="n">
        <f aca="false">INDEX(Lookup_Tables!$B$2:$B$5,MATCH(D858,Lookup_Tables!$A$2:$A$5,0))</f>
        <v>21</v>
      </c>
      <c r="I858" s="9" t="n">
        <f aca="false">C858+H858</f>
        <v>46097</v>
      </c>
      <c r="J858" s="5" t="n">
        <v>-2</v>
      </c>
      <c r="K858" s="9" t="n">
        <f aca="false">I858+J858</f>
        <v>46095</v>
      </c>
      <c r="L858" s="5" t="n">
        <v>1136</v>
      </c>
      <c r="M858" s="10" t="n">
        <f aca="false">INDEX(Dim_Supplier!$F$2:$F$21,MATCH(B858,Dim_Supplier!$A$2:$A$21,0))</f>
        <v>46.5</v>
      </c>
      <c r="N858" s="11" t="n">
        <v>0.0346</v>
      </c>
      <c r="O858" s="10" t="n">
        <f aca="false">M858*(1+N858)</f>
        <v>48.1089</v>
      </c>
      <c r="P858" s="10" t="n">
        <f aca="false">O858*L858</f>
        <v>54651.7104</v>
      </c>
      <c r="Q858" s="5" t="s">
        <v>113</v>
      </c>
      <c r="R858" s="5" t="n">
        <v>0</v>
      </c>
      <c r="S858" s="5" t="n">
        <v>45</v>
      </c>
      <c r="T858" s="12" t="n">
        <f aca="false">(O858-M858)/M858</f>
        <v>0.0346</v>
      </c>
      <c r="U858" s="8" t="n">
        <f aca="false">IF(AND(K858&lt;=I858,R858=0),1,0)</f>
        <v>1</v>
      </c>
      <c r="V858" s="10" t="n">
        <f aca="false">IF(Q858="No",P858,0)</f>
        <v>0</v>
      </c>
    </row>
    <row r="859" customFormat="false" ht="15" hidden="false" customHeight="false" outlineLevel="0" collapsed="false">
      <c r="A859" s="5" t="s">
        <v>993</v>
      </c>
      <c r="B859" s="5" t="s">
        <v>75</v>
      </c>
      <c r="C859" s="7" t="n">
        <v>45764</v>
      </c>
      <c r="D859" s="8" t="str">
        <f aca="false">INDEX(Dim_Supplier!$C$2:$C$21,MATCH(B859,Dim_Supplier!$A$2:$A$21,0))</f>
        <v>MRO</v>
      </c>
      <c r="E859" s="8" t="str">
        <f aca="false">INDEX(Dim_Supplier!$B$2:$B$21,MATCH(B859,Dim_Supplier!$A$2:$A$21,0))</f>
        <v>Sterling Lubricants Inc.</v>
      </c>
      <c r="F859" s="5" t="s">
        <v>179</v>
      </c>
      <c r="G859" s="5" t="s">
        <v>120</v>
      </c>
      <c r="H859" s="8" t="n">
        <f aca="false">INDEX(Lookup_Tables!$B$2:$B$5,MATCH(D859,Lookup_Tables!$A$2:$A$5,0))</f>
        <v>10</v>
      </c>
      <c r="I859" s="9" t="n">
        <f aca="false">C859+H859</f>
        <v>45774</v>
      </c>
      <c r="J859" s="5" t="n">
        <v>-3</v>
      </c>
      <c r="K859" s="9" t="n">
        <f aca="false">I859+J859</f>
        <v>45771</v>
      </c>
      <c r="L859" s="5" t="n">
        <v>106</v>
      </c>
      <c r="M859" s="10" t="n">
        <f aca="false">INDEX(Dim_Supplier!$F$2:$F$21,MATCH(B859,Dim_Supplier!$A$2:$A$21,0))</f>
        <v>27.1</v>
      </c>
      <c r="N859" s="11" t="n">
        <v>-0.0193</v>
      </c>
      <c r="O859" s="10" t="n">
        <f aca="false">M859*(1+N859)</f>
        <v>26.57697</v>
      </c>
      <c r="P859" s="10" t="n">
        <f aca="false">O859*L859</f>
        <v>2817.15882</v>
      </c>
      <c r="Q859" s="5" t="s">
        <v>113</v>
      </c>
      <c r="R859" s="5" t="n">
        <v>0</v>
      </c>
      <c r="S859" s="5" t="n">
        <v>45</v>
      </c>
      <c r="T859" s="12" t="n">
        <f aca="false">(O859-M859)/M859</f>
        <v>-0.0192999999999999</v>
      </c>
      <c r="U859" s="8" t="n">
        <f aca="false">IF(AND(K859&lt;=I859,R859=0),1,0)</f>
        <v>1</v>
      </c>
      <c r="V859" s="10" t="n">
        <f aca="false">IF(Q859="No",P859,0)</f>
        <v>0</v>
      </c>
    </row>
    <row r="860" customFormat="false" ht="15" hidden="false" customHeight="false" outlineLevel="0" collapsed="false">
      <c r="A860" s="5" t="s">
        <v>994</v>
      </c>
      <c r="B860" s="5" t="s">
        <v>46</v>
      </c>
      <c r="C860" s="7" t="n">
        <v>45978</v>
      </c>
      <c r="D860" s="8" t="str">
        <f aca="false">INDEX(Dim_Supplier!$C$2:$C$21,MATCH(B860,Dim_Supplier!$A$2:$A$21,0))</f>
        <v>Raw Materials</v>
      </c>
      <c r="E860" s="8" t="str">
        <f aca="false">INDEX(Dim_Supplier!$B$2:$B$21,MATCH(B860,Dim_Supplier!$A$2:$A$21,0))</f>
        <v>Niagara Alloy Supply</v>
      </c>
      <c r="F860" s="5" t="s">
        <v>142</v>
      </c>
      <c r="G860" s="5" t="s">
        <v>125</v>
      </c>
      <c r="H860" s="8" t="n">
        <f aca="false">INDEX(Lookup_Tables!$B$2:$B$5,MATCH(D860,Lookup_Tables!$A$2:$A$5,0))</f>
        <v>21</v>
      </c>
      <c r="I860" s="9" t="n">
        <f aca="false">C860+H860</f>
        <v>45999</v>
      </c>
      <c r="J860" s="5" t="n">
        <v>-2</v>
      </c>
      <c r="K860" s="9" t="n">
        <f aca="false">I860+J860</f>
        <v>45997</v>
      </c>
      <c r="L860" s="5" t="n">
        <v>1445</v>
      </c>
      <c r="M860" s="10" t="n">
        <f aca="false">INDEX(Dim_Supplier!$F$2:$F$21,MATCH(B860,Dim_Supplier!$A$2:$A$21,0))</f>
        <v>46.5</v>
      </c>
      <c r="N860" s="11" t="n">
        <v>0.032</v>
      </c>
      <c r="O860" s="10" t="n">
        <f aca="false">M860*(1+N860)</f>
        <v>47.988</v>
      </c>
      <c r="P860" s="10" t="n">
        <f aca="false">O860*L860</f>
        <v>69342.66</v>
      </c>
      <c r="Q860" s="5" t="s">
        <v>113</v>
      </c>
      <c r="R860" s="5" t="n">
        <v>0</v>
      </c>
      <c r="S860" s="5" t="n">
        <v>30</v>
      </c>
      <c r="T860" s="12" t="n">
        <f aca="false">(O860-M860)/M860</f>
        <v>0.032</v>
      </c>
      <c r="U860" s="8" t="n">
        <f aca="false">IF(AND(K860&lt;=I860,R860=0),1,0)</f>
        <v>1</v>
      </c>
      <c r="V860" s="10" t="n">
        <f aca="false">IF(Q860="No",P860,0)</f>
        <v>0</v>
      </c>
    </row>
    <row r="861" customFormat="false" ht="15" hidden="false" customHeight="false" outlineLevel="0" collapsed="false">
      <c r="A861" s="5" t="s">
        <v>995</v>
      </c>
      <c r="B861" s="5" t="s">
        <v>79</v>
      </c>
      <c r="C861" s="7" t="n">
        <v>46153</v>
      </c>
      <c r="D861" s="8" t="str">
        <f aca="false">INDEX(Dim_Supplier!$C$2:$C$21,MATCH(B861,Dim_Supplier!$A$2:$A$21,0))</f>
        <v>Logistics</v>
      </c>
      <c r="E861" s="8" t="str">
        <f aca="false">INDEX(Dim_Supplier!$B$2:$B$21,MATCH(B861,Dim_Supplier!$A$2:$A$21,0))</f>
        <v>Niagara Freight Solutions</v>
      </c>
      <c r="F861" s="5" t="s">
        <v>154</v>
      </c>
      <c r="G861" s="5" t="s">
        <v>112</v>
      </c>
      <c r="H861" s="8" t="n">
        <f aca="false">INDEX(Lookup_Tables!$B$2:$B$5,MATCH(D861,Lookup_Tables!$A$2:$A$5,0))</f>
        <v>5</v>
      </c>
      <c r="I861" s="9" t="n">
        <f aca="false">C861+H861</f>
        <v>46158</v>
      </c>
      <c r="J861" s="5" t="n">
        <v>-1</v>
      </c>
      <c r="K861" s="9" t="n">
        <f aca="false">I861+J861</f>
        <v>46157</v>
      </c>
      <c r="L861" s="5" t="n">
        <v>12</v>
      </c>
      <c r="M861" s="10" t="n">
        <f aca="false">INDEX(Dim_Supplier!$F$2:$F$21,MATCH(B861,Dim_Supplier!$A$2:$A$21,0))</f>
        <v>340</v>
      </c>
      <c r="N861" s="11" t="n">
        <v>-0.0132</v>
      </c>
      <c r="O861" s="10" t="n">
        <f aca="false">M861*(1+N861)</f>
        <v>335.512</v>
      </c>
      <c r="P861" s="10" t="n">
        <f aca="false">O861*L861</f>
        <v>4026.144</v>
      </c>
      <c r="Q861" s="5" t="s">
        <v>113</v>
      </c>
      <c r="R861" s="5" t="n">
        <v>0</v>
      </c>
      <c r="S861" s="5" t="n">
        <v>30</v>
      </c>
      <c r="T861" s="12" t="n">
        <f aca="false">(O861-M861)/M861</f>
        <v>-0.0132</v>
      </c>
      <c r="U861" s="8" t="n">
        <f aca="false">IF(AND(K861&lt;=I861,R861=0),1,0)</f>
        <v>1</v>
      </c>
      <c r="V861" s="10" t="n">
        <f aca="false">IF(Q861="No",P861,0)</f>
        <v>0</v>
      </c>
    </row>
    <row r="862" customFormat="false" ht="15" hidden="false" customHeight="false" outlineLevel="0" collapsed="false">
      <c r="A862" s="5" t="s">
        <v>996</v>
      </c>
      <c r="B862" s="5" t="s">
        <v>41</v>
      </c>
      <c r="C862" s="7" t="n">
        <v>46073</v>
      </c>
      <c r="D862" s="8" t="str">
        <f aca="false">INDEX(Dim_Supplier!$C$2:$C$21,MATCH(B862,Dim_Supplier!$A$2:$A$21,0))</f>
        <v>Raw Materials</v>
      </c>
      <c r="E862" s="8" t="str">
        <f aca="false">INDEX(Dim_Supplier!$B$2:$B$21,MATCH(B862,Dim_Supplier!$A$2:$A$21,0))</f>
        <v>Ontario Steel Partners</v>
      </c>
      <c r="F862" s="5" t="s">
        <v>148</v>
      </c>
      <c r="G862" s="5" t="s">
        <v>120</v>
      </c>
      <c r="H862" s="8" t="n">
        <f aca="false">INDEX(Lookup_Tables!$B$2:$B$5,MATCH(D862,Lookup_Tables!$A$2:$A$5,0))</f>
        <v>21</v>
      </c>
      <c r="I862" s="9" t="n">
        <f aca="false">C862+H862</f>
        <v>46094</v>
      </c>
      <c r="J862" s="5" t="n">
        <v>-2</v>
      </c>
      <c r="K862" s="9" t="n">
        <f aca="false">I862+J862</f>
        <v>46092</v>
      </c>
      <c r="L862" s="5" t="n">
        <v>543</v>
      </c>
      <c r="M862" s="10" t="n">
        <f aca="false">INDEX(Dim_Supplier!$F$2:$F$21,MATCH(B862,Dim_Supplier!$A$2:$A$21,0))</f>
        <v>58</v>
      </c>
      <c r="N862" s="11" t="n">
        <v>0.0255</v>
      </c>
      <c r="O862" s="10" t="n">
        <f aca="false">M862*(1+N862)</f>
        <v>59.479</v>
      </c>
      <c r="P862" s="10" t="n">
        <f aca="false">O862*L862</f>
        <v>32297.097</v>
      </c>
      <c r="Q862" s="5" t="s">
        <v>113</v>
      </c>
      <c r="R862" s="5" t="n">
        <v>0</v>
      </c>
      <c r="S862" s="5" t="n">
        <v>45</v>
      </c>
      <c r="T862" s="12" t="n">
        <f aca="false">(O862-M862)/M862</f>
        <v>0.0255000000000001</v>
      </c>
      <c r="U862" s="8" t="n">
        <f aca="false">IF(AND(K862&lt;=I862,R862=0),1,0)</f>
        <v>1</v>
      </c>
      <c r="V862" s="10" t="n">
        <f aca="false">IF(Q862="No",P862,0)</f>
        <v>0</v>
      </c>
    </row>
    <row r="863" customFormat="false" ht="15" hidden="false" customHeight="false" outlineLevel="0" collapsed="false">
      <c r="A863" s="5" t="s">
        <v>997</v>
      </c>
      <c r="B863" s="5" t="s">
        <v>62</v>
      </c>
      <c r="C863" s="7" t="n">
        <v>45340</v>
      </c>
      <c r="D863" s="8" t="str">
        <f aca="false">INDEX(Dim_Supplier!$C$2:$C$21,MATCH(B863,Dim_Supplier!$A$2:$A$21,0))</f>
        <v>Packaging</v>
      </c>
      <c r="E863" s="8" t="str">
        <f aca="false">INDEX(Dim_Supplier!$B$2:$B$21,MATCH(B863,Dim_Supplier!$A$2:$A$21,0))</f>
        <v>Trillium Packaging Solutions</v>
      </c>
      <c r="F863" s="5" t="s">
        <v>122</v>
      </c>
      <c r="G863" s="5" t="s">
        <v>129</v>
      </c>
      <c r="H863" s="8" t="n">
        <f aca="false">INDEX(Lookup_Tables!$B$2:$B$5,MATCH(D863,Lookup_Tables!$A$2:$A$5,0))</f>
        <v>14</v>
      </c>
      <c r="I863" s="9" t="n">
        <f aca="false">C863+H863</f>
        <v>45354</v>
      </c>
      <c r="J863" s="5" t="n">
        <v>-4</v>
      </c>
      <c r="K863" s="9" t="n">
        <f aca="false">I863+J863</f>
        <v>45350</v>
      </c>
      <c r="L863" s="5" t="n">
        <v>929</v>
      </c>
      <c r="M863" s="10" t="n">
        <f aca="false">INDEX(Dim_Supplier!$F$2:$F$21,MATCH(B863,Dim_Supplier!$A$2:$A$21,0))</f>
        <v>5.6</v>
      </c>
      <c r="N863" s="11" t="n">
        <v>0.0309</v>
      </c>
      <c r="O863" s="10" t="n">
        <f aca="false">M863*(1+N863)</f>
        <v>5.77304</v>
      </c>
      <c r="P863" s="10" t="n">
        <f aca="false">O863*L863</f>
        <v>5363.15416</v>
      </c>
      <c r="Q863" s="5" t="s">
        <v>113</v>
      </c>
      <c r="R863" s="5" t="n">
        <v>0</v>
      </c>
      <c r="S863" s="5" t="n">
        <v>30</v>
      </c>
      <c r="T863" s="12" t="n">
        <f aca="false">(O863-M863)/M863</f>
        <v>0.0308999999999999</v>
      </c>
      <c r="U863" s="8" t="n">
        <f aca="false">IF(AND(K863&lt;=I863,R863=0),1,0)</f>
        <v>1</v>
      </c>
      <c r="V863" s="10" t="n">
        <f aca="false">IF(Q863="No",P863,0)</f>
        <v>0</v>
      </c>
    </row>
    <row r="864" customFormat="false" ht="15" hidden="false" customHeight="false" outlineLevel="0" collapsed="false">
      <c r="A864" s="5" t="s">
        <v>998</v>
      </c>
      <c r="B864" s="5" t="s">
        <v>52</v>
      </c>
      <c r="C864" s="7" t="n">
        <v>45547</v>
      </c>
      <c r="D864" s="8" t="str">
        <f aca="false">INDEX(Dim_Supplier!$C$2:$C$21,MATCH(B864,Dim_Supplier!$A$2:$A$21,0))</f>
        <v>Raw Materials</v>
      </c>
      <c r="E864" s="8" t="str">
        <f aca="false">INDEX(Dim_Supplier!$B$2:$B$21,MATCH(B864,Dim_Supplier!$A$2:$A$21,0))</f>
        <v>Laurentian Metals Inc.</v>
      </c>
      <c r="F864" s="5" t="s">
        <v>139</v>
      </c>
      <c r="G864" s="5" t="s">
        <v>112</v>
      </c>
      <c r="H864" s="8" t="n">
        <f aca="false">INDEX(Lookup_Tables!$B$2:$B$5,MATCH(D864,Lookup_Tables!$A$2:$A$5,0))</f>
        <v>21</v>
      </c>
      <c r="I864" s="9" t="n">
        <f aca="false">C864+H864</f>
        <v>45568</v>
      </c>
      <c r="J864" s="5" t="n">
        <v>-3</v>
      </c>
      <c r="K864" s="9" t="n">
        <f aca="false">I864+J864</f>
        <v>45565</v>
      </c>
      <c r="L864" s="5" t="n">
        <v>157</v>
      </c>
      <c r="M864" s="10" t="n">
        <f aca="false">INDEX(Dim_Supplier!$F$2:$F$21,MATCH(B864,Dim_Supplier!$A$2:$A$21,0))</f>
        <v>61.2</v>
      </c>
      <c r="N864" s="11" t="n">
        <v>0.0234</v>
      </c>
      <c r="O864" s="10" t="n">
        <f aca="false">M864*(1+N864)</f>
        <v>62.63208</v>
      </c>
      <c r="P864" s="10" t="n">
        <f aca="false">O864*L864</f>
        <v>9833.23656</v>
      </c>
      <c r="Q864" s="5" t="s">
        <v>133</v>
      </c>
      <c r="R864" s="5" t="n">
        <v>0</v>
      </c>
      <c r="S864" s="5" t="n">
        <v>30</v>
      </c>
      <c r="T864" s="12" t="n">
        <f aca="false">(O864-M864)/M864</f>
        <v>0.0234000000000001</v>
      </c>
      <c r="U864" s="8" t="n">
        <f aca="false">IF(AND(K864&lt;=I864,R864=0),1,0)</f>
        <v>1</v>
      </c>
      <c r="V864" s="10" t="n">
        <f aca="false">IF(Q864="No",P864,0)</f>
        <v>9833.23656</v>
      </c>
    </row>
    <row r="865" customFormat="false" ht="15" hidden="false" customHeight="false" outlineLevel="0" collapsed="false">
      <c r="A865" s="5" t="s">
        <v>999</v>
      </c>
      <c r="B865" s="5" t="s">
        <v>75</v>
      </c>
      <c r="C865" s="7" t="n">
        <v>45517</v>
      </c>
      <c r="D865" s="8" t="str">
        <f aca="false">INDEX(Dim_Supplier!$C$2:$C$21,MATCH(B865,Dim_Supplier!$A$2:$A$21,0))</f>
        <v>MRO</v>
      </c>
      <c r="E865" s="8" t="str">
        <f aca="false">INDEX(Dim_Supplier!$B$2:$B$21,MATCH(B865,Dim_Supplier!$A$2:$A$21,0))</f>
        <v>Sterling Lubricants Inc.</v>
      </c>
      <c r="F865" s="5" t="s">
        <v>127</v>
      </c>
      <c r="G865" s="5" t="s">
        <v>112</v>
      </c>
      <c r="H865" s="8" t="n">
        <f aca="false">INDEX(Lookup_Tables!$B$2:$B$5,MATCH(D865,Lookup_Tables!$A$2:$A$5,0))</f>
        <v>10</v>
      </c>
      <c r="I865" s="9" t="n">
        <f aca="false">C865+H865</f>
        <v>45527</v>
      </c>
      <c r="J865" s="5" t="n">
        <v>-3</v>
      </c>
      <c r="K865" s="9" t="n">
        <f aca="false">I865+J865</f>
        <v>45524</v>
      </c>
      <c r="L865" s="5" t="n">
        <v>136</v>
      </c>
      <c r="M865" s="10" t="n">
        <f aca="false">INDEX(Dim_Supplier!$F$2:$F$21,MATCH(B865,Dim_Supplier!$A$2:$A$21,0))</f>
        <v>27.1</v>
      </c>
      <c r="N865" s="11" t="n">
        <v>0.0141</v>
      </c>
      <c r="O865" s="10" t="n">
        <f aca="false">M865*(1+N865)</f>
        <v>27.48211</v>
      </c>
      <c r="P865" s="10" t="n">
        <f aca="false">O865*L865</f>
        <v>3737.56696</v>
      </c>
      <c r="Q865" s="5" t="s">
        <v>113</v>
      </c>
      <c r="R865" s="5" t="n">
        <v>0</v>
      </c>
      <c r="S865" s="5" t="n">
        <v>45</v>
      </c>
      <c r="T865" s="12" t="n">
        <f aca="false">(O865-M865)/M865</f>
        <v>0.0141</v>
      </c>
      <c r="U865" s="8" t="n">
        <f aca="false">IF(AND(K865&lt;=I865,R865=0),1,0)</f>
        <v>1</v>
      </c>
      <c r="V865" s="10" t="n">
        <f aca="false">IF(Q865="No",P865,0)</f>
        <v>0</v>
      </c>
    </row>
    <row r="866" customFormat="false" ht="15" hidden="false" customHeight="false" outlineLevel="0" collapsed="false">
      <c r="A866" s="5" t="s">
        <v>1000</v>
      </c>
      <c r="B866" s="5" t="s">
        <v>52</v>
      </c>
      <c r="C866" s="7" t="n">
        <v>45504</v>
      </c>
      <c r="D866" s="8" t="str">
        <f aca="false">INDEX(Dim_Supplier!$C$2:$C$21,MATCH(B866,Dim_Supplier!$A$2:$A$21,0))</f>
        <v>Raw Materials</v>
      </c>
      <c r="E866" s="8" t="str">
        <f aca="false">INDEX(Dim_Supplier!$B$2:$B$21,MATCH(B866,Dim_Supplier!$A$2:$A$21,0))</f>
        <v>Laurentian Metals Inc.</v>
      </c>
      <c r="F866" s="5" t="s">
        <v>144</v>
      </c>
      <c r="G866" s="5" t="s">
        <v>125</v>
      </c>
      <c r="H866" s="8" t="n">
        <f aca="false">INDEX(Lookup_Tables!$B$2:$B$5,MATCH(D866,Lookup_Tables!$A$2:$A$5,0))</f>
        <v>21</v>
      </c>
      <c r="I866" s="9" t="n">
        <f aca="false">C866+H866</f>
        <v>45525</v>
      </c>
      <c r="J866" s="5" t="n">
        <v>-2</v>
      </c>
      <c r="K866" s="9" t="n">
        <f aca="false">I866+J866</f>
        <v>45523</v>
      </c>
      <c r="L866" s="5" t="n">
        <v>537</v>
      </c>
      <c r="M866" s="10" t="n">
        <f aca="false">INDEX(Dim_Supplier!$F$2:$F$21,MATCH(B866,Dim_Supplier!$A$2:$A$21,0))</f>
        <v>61.2</v>
      </c>
      <c r="N866" s="11" t="n">
        <v>0.0162</v>
      </c>
      <c r="O866" s="10" t="n">
        <f aca="false">M866*(1+N866)</f>
        <v>62.19144</v>
      </c>
      <c r="P866" s="10" t="n">
        <f aca="false">O866*L866</f>
        <v>33396.80328</v>
      </c>
      <c r="Q866" s="5" t="s">
        <v>113</v>
      </c>
      <c r="R866" s="5" t="n">
        <v>0</v>
      </c>
      <c r="S866" s="5" t="n">
        <v>30</v>
      </c>
      <c r="T866" s="12" t="n">
        <f aca="false">(O866-M866)/M866</f>
        <v>0.0162</v>
      </c>
      <c r="U866" s="8" t="n">
        <f aca="false">IF(AND(K866&lt;=I866,R866=0),1,0)</f>
        <v>1</v>
      </c>
      <c r="V866" s="10" t="n">
        <f aca="false">IF(Q866="No",P866,0)</f>
        <v>0</v>
      </c>
    </row>
    <row r="867" customFormat="false" ht="15" hidden="false" customHeight="false" outlineLevel="0" collapsed="false">
      <c r="A867" s="5" t="s">
        <v>1001</v>
      </c>
      <c r="B867" s="5" t="s">
        <v>73</v>
      </c>
      <c r="C867" s="7" t="n">
        <v>45304</v>
      </c>
      <c r="D867" s="8" t="str">
        <f aca="false">INDEX(Dim_Supplier!$C$2:$C$21,MATCH(B867,Dim_Supplier!$A$2:$A$21,0))</f>
        <v>MRO</v>
      </c>
      <c r="E867" s="8" t="str">
        <f aca="false">INDEX(Dim_Supplier!$B$2:$B$21,MATCH(B867,Dim_Supplier!$A$2:$A$21,0))</f>
        <v>Frontier MRO Solutions</v>
      </c>
      <c r="F867" s="5" t="s">
        <v>179</v>
      </c>
      <c r="G867" s="5" t="s">
        <v>112</v>
      </c>
      <c r="H867" s="8" t="n">
        <f aca="false">INDEX(Lookup_Tables!$B$2:$B$5,MATCH(D867,Lookup_Tables!$A$2:$A$5,0))</f>
        <v>10</v>
      </c>
      <c r="I867" s="9" t="n">
        <f aca="false">C867+H867</f>
        <v>45314</v>
      </c>
      <c r="J867" s="5" t="n">
        <v>4</v>
      </c>
      <c r="K867" s="9" t="n">
        <f aca="false">I867+J867</f>
        <v>45318</v>
      </c>
      <c r="L867" s="5" t="n">
        <v>76</v>
      </c>
      <c r="M867" s="10" t="n">
        <f aca="false">INDEX(Dim_Supplier!$F$2:$F$21,MATCH(B867,Dim_Supplier!$A$2:$A$21,0))</f>
        <v>15.9</v>
      </c>
      <c r="N867" s="11" t="n">
        <v>0.1519</v>
      </c>
      <c r="O867" s="10" t="n">
        <f aca="false">M867*(1+N867)</f>
        <v>18.31521</v>
      </c>
      <c r="P867" s="10" t="n">
        <f aca="false">O867*L867</f>
        <v>1391.95596</v>
      </c>
      <c r="Q867" s="5" t="s">
        <v>133</v>
      </c>
      <c r="R867" s="5" t="n">
        <v>0</v>
      </c>
      <c r="S867" s="5" t="n">
        <v>30</v>
      </c>
      <c r="T867" s="12" t="n">
        <f aca="false">(O867-M867)/M867</f>
        <v>0.1519</v>
      </c>
      <c r="U867" s="8" t="n">
        <f aca="false">IF(AND(K867&lt;=I867,R867=0),1,0)</f>
        <v>0</v>
      </c>
      <c r="V867" s="10" t="n">
        <f aca="false">IF(Q867="No",P867,0)</f>
        <v>1391.95596</v>
      </c>
    </row>
    <row r="868" customFormat="false" ht="15" hidden="false" customHeight="false" outlineLevel="0" collapsed="false">
      <c r="A868" s="5" t="s">
        <v>1002</v>
      </c>
      <c r="B868" s="5" t="s">
        <v>52</v>
      </c>
      <c r="C868" s="7" t="n">
        <v>45600</v>
      </c>
      <c r="D868" s="8" t="str">
        <f aca="false">INDEX(Dim_Supplier!$C$2:$C$21,MATCH(B868,Dim_Supplier!$A$2:$A$21,0))</f>
        <v>Raw Materials</v>
      </c>
      <c r="E868" s="8" t="str">
        <f aca="false">INDEX(Dim_Supplier!$B$2:$B$21,MATCH(B868,Dim_Supplier!$A$2:$A$21,0))</f>
        <v>Laurentian Metals Inc.</v>
      </c>
      <c r="F868" s="5" t="s">
        <v>144</v>
      </c>
      <c r="G868" s="5" t="s">
        <v>125</v>
      </c>
      <c r="H868" s="8" t="n">
        <f aca="false">INDEX(Lookup_Tables!$B$2:$B$5,MATCH(D868,Lookup_Tables!$A$2:$A$5,0))</f>
        <v>21</v>
      </c>
      <c r="I868" s="9" t="n">
        <f aca="false">C868+H868</f>
        <v>45621</v>
      </c>
      <c r="J868" s="5" t="n">
        <v>-2</v>
      </c>
      <c r="K868" s="9" t="n">
        <f aca="false">I868+J868</f>
        <v>45619</v>
      </c>
      <c r="L868" s="5" t="n">
        <v>1198</v>
      </c>
      <c r="M868" s="10" t="n">
        <f aca="false">INDEX(Dim_Supplier!$F$2:$F$21,MATCH(B868,Dim_Supplier!$A$2:$A$21,0))</f>
        <v>61.2</v>
      </c>
      <c r="N868" s="11" t="n">
        <v>0.019</v>
      </c>
      <c r="O868" s="10" t="n">
        <f aca="false">M868*(1+N868)</f>
        <v>62.3628</v>
      </c>
      <c r="P868" s="10" t="n">
        <f aca="false">O868*L868</f>
        <v>74710.6344</v>
      </c>
      <c r="Q868" s="5" t="s">
        <v>113</v>
      </c>
      <c r="R868" s="5" t="n">
        <v>0</v>
      </c>
      <c r="S868" s="5" t="n">
        <v>45</v>
      </c>
      <c r="T868" s="12" t="n">
        <f aca="false">(O868-M868)/M868</f>
        <v>0.019</v>
      </c>
      <c r="U868" s="8" t="n">
        <f aca="false">IF(AND(K868&lt;=I868,R868=0),1,0)</f>
        <v>1</v>
      </c>
      <c r="V868" s="10" t="n">
        <f aca="false">IF(Q868="No",P868,0)</f>
        <v>0</v>
      </c>
    </row>
    <row r="869" customFormat="false" ht="15" hidden="false" customHeight="false" outlineLevel="0" collapsed="false">
      <c r="A869" s="5" t="s">
        <v>1003</v>
      </c>
      <c r="B869" s="5" t="s">
        <v>52</v>
      </c>
      <c r="C869" s="7" t="n">
        <v>45389</v>
      </c>
      <c r="D869" s="8" t="str">
        <f aca="false">INDEX(Dim_Supplier!$C$2:$C$21,MATCH(B869,Dim_Supplier!$A$2:$A$21,0))</f>
        <v>Raw Materials</v>
      </c>
      <c r="E869" s="8" t="str">
        <f aca="false">INDEX(Dim_Supplier!$B$2:$B$21,MATCH(B869,Dim_Supplier!$A$2:$A$21,0))</f>
        <v>Laurentian Metals Inc.</v>
      </c>
      <c r="F869" s="5" t="s">
        <v>144</v>
      </c>
      <c r="G869" s="5" t="s">
        <v>120</v>
      </c>
      <c r="H869" s="8" t="n">
        <f aca="false">INDEX(Lookup_Tables!$B$2:$B$5,MATCH(D869,Lookup_Tables!$A$2:$A$5,0))</f>
        <v>21</v>
      </c>
      <c r="I869" s="9" t="n">
        <f aca="false">C869+H869</f>
        <v>45410</v>
      </c>
      <c r="J869" s="5" t="n">
        <v>0</v>
      </c>
      <c r="K869" s="9" t="n">
        <f aca="false">I869+J869</f>
        <v>45410</v>
      </c>
      <c r="L869" s="5" t="n">
        <v>1488</v>
      </c>
      <c r="M869" s="10" t="n">
        <f aca="false">INDEX(Dim_Supplier!$F$2:$F$21,MATCH(B869,Dim_Supplier!$A$2:$A$21,0))</f>
        <v>61.2</v>
      </c>
      <c r="N869" s="11" t="n">
        <v>0.0164</v>
      </c>
      <c r="O869" s="10" t="n">
        <f aca="false">M869*(1+N869)</f>
        <v>62.20368</v>
      </c>
      <c r="P869" s="10" t="n">
        <f aca="false">O869*L869</f>
        <v>92559.07584</v>
      </c>
      <c r="Q869" s="5" t="s">
        <v>133</v>
      </c>
      <c r="R869" s="5" t="n">
        <v>0</v>
      </c>
      <c r="S869" s="5" t="n">
        <v>30</v>
      </c>
      <c r="T869" s="12" t="n">
        <f aca="false">(O869-M869)/M869</f>
        <v>0.0163999999999999</v>
      </c>
      <c r="U869" s="8" t="n">
        <f aca="false">IF(AND(K869&lt;=I869,R869=0),1,0)</f>
        <v>1</v>
      </c>
      <c r="V869" s="10" t="n">
        <f aca="false">IF(Q869="No",P869,0)</f>
        <v>92559.07584</v>
      </c>
    </row>
    <row r="870" customFormat="false" ht="15" hidden="false" customHeight="false" outlineLevel="0" collapsed="false">
      <c r="A870" s="5" t="s">
        <v>1004</v>
      </c>
      <c r="B870" s="5" t="s">
        <v>49</v>
      </c>
      <c r="C870" s="7" t="n">
        <v>46071</v>
      </c>
      <c r="D870" s="8" t="str">
        <f aca="false">INDEX(Dim_Supplier!$C$2:$C$21,MATCH(B870,Dim_Supplier!$A$2:$A$21,0))</f>
        <v>Raw Materials</v>
      </c>
      <c r="E870" s="8" t="str">
        <f aca="false">INDEX(Dim_Supplier!$B$2:$B$21,MATCH(B870,Dim_Supplier!$A$2:$A$21,0))</f>
        <v>Great Lakes Polymer Co.</v>
      </c>
      <c r="F870" s="5" t="s">
        <v>139</v>
      </c>
      <c r="G870" s="5" t="s">
        <v>125</v>
      </c>
      <c r="H870" s="8" t="n">
        <f aca="false">INDEX(Lookup_Tables!$B$2:$B$5,MATCH(D870,Lookup_Tables!$A$2:$A$5,0))</f>
        <v>21</v>
      </c>
      <c r="I870" s="9" t="n">
        <f aca="false">C870+H870</f>
        <v>46092</v>
      </c>
      <c r="J870" s="5" t="n">
        <v>4</v>
      </c>
      <c r="K870" s="9" t="n">
        <f aca="false">I870+J870</f>
        <v>46096</v>
      </c>
      <c r="L870" s="5" t="n">
        <v>1967</v>
      </c>
      <c r="M870" s="10" t="n">
        <f aca="false">INDEX(Dim_Supplier!$F$2:$F$21,MATCH(B870,Dim_Supplier!$A$2:$A$21,0))</f>
        <v>32.75</v>
      </c>
      <c r="N870" s="11" t="n">
        <v>0.1216</v>
      </c>
      <c r="O870" s="10" t="n">
        <f aca="false">M870*(1+N870)</f>
        <v>36.7324</v>
      </c>
      <c r="P870" s="10" t="n">
        <f aca="false">O870*L870</f>
        <v>72252.6308</v>
      </c>
      <c r="Q870" s="5" t="s">
        <v>133</v>
      </c>
      <c r="R870" s="5" t="n">
        <v>0</v>
      </c>
      <c r="S870" s="5" t="n">
        <v>45</v>
      </c>
      <c r="T870" s="12" t="n">
        <f aca="false">(O870-M870)/M870</f>
        <v>0.1216</v>
      </c>
      <c r="U870" s="8" t="n">
        <f aca="false">IF(AND(K870&lt;=I870,R870=0),1,0)</f>
        <v>0</v>
      </c>
      <c r="V870" s="10" t="n">
        <f aca="false">IF(Q870="No",P870,0)</f>
        <v>72252.6308</v>
      </c>
    </row>
    <row r="871" customFormat="false" ht="15" hidden="false" customHeight="false" outlineLevel="0" collapsed="false">
      <c r="A871" s="5" t="s">
        <v>1005</v>
      </c>
      <c r="B871" s="5" t="s">
        <v>52</v>
      </c>
      <c r="C871" s="7" t="n">
        <v>45893</v>
      </c>
      <c r="D871" s="8" t="str">
        <f aca="false">INDEX(Dim_Supplier!$C$2:$C$21,MATCH(B871,Dim_Supplier!$A$2:$A$21,0))</f>
        <v>Raw Materials</v>
      </c>
      <c r="E871" s="8" t="str">
        <f aca="false">INDEX(Dim_Supplier!$B$2:$B$21,MATCH(B871,Dim_Supplier!$A$2:$A$21,0))</f>
        <v>Laurentian Metals Inc.</v>
      </c>
      <c r="F871" s="5" t="s">
        <v>148</v>
      </c>
      <c r="G871" s="5" t="s">
        <v>112</v>
      </c>
      <c r="H871" s="8" t="n">
        <f aca="false">INDEX(Lookup_Tables!$B$2:$B$5,MATCH(D871,Lookup_Tables!$A$2:$A$5,0))</f>
        <v>21</v>
      </c>
      <c r="I871" s="9" t="n">
        <f aca="false">C871+H871</f>
        <v>45914</v>
      </c>
      <c r="J871" s="5" t="n">
        <v>0</v>
      </c>
      <c r="K871" s="9" t="n">
        <f aca="false">I871+J871</f>
        <v>45914</v>
      </c>
      <c r="L871" s="5" t="n">
        <v>354</v>
      </c>
      <c r="M871" s="10" t="n">
        <f aca="false">INDEX(Dim_Supplier!$F$2:$F$21,MATCH(B871,Dim_Supplier!$A$2:$A$21,0))</f>
        <v>61.2</v>
      </c>
      <c r="N871" s="11" t="n">
        <v>0.0245</v>
      </c>
      <c r="O871" s="10" t="n">
        <f aca="false">M871*(1+N871)</f>
        <v>62.6994</v>
      </c>
      <c r="P871" s="10" t="n">
        <f aca="false">O871*L871</f>
        <v>22195.5876</v>
      </c>
      <c r="Q871" s="5" t="s">
        <v>113</v>
      </c>
      <c r="R871" s="5" t="n">
        <v>0</v>
      </c>
      <c r="S871" s="5" t="n">
        <v>45</v>
      </c>
      <c r="T871" s="12" t="n">
        <f aca="false">(O871-M871)/M871</f>
        <v>0.0245</v>
      </c>
      <c r="U871" s="8" t="n">
        <f aca="false">IF(AND(K871&lt;=I871,R871=0),1,0)</f>
        <v>1</v>
      </c>
      <c r="V871" s="10" t="n">
        <f aca="false">IF(Q871="No",P871,0)</f>
        <v>0</v>
      </c>
    </row>
    <row r="872" customFormat="false" ht="15" hidden="false" customHeight="false" outlineLevel="0" collapsed="false">
      <c r="A872" s="5" t="s">
        <v>1006</v>
      </c>
      <c r="B872" s="5" t="s">
        <v>71</v>
      </c>
      <c r="C872" s="7" t="n">
        <v>45353</v>
      </c>
      <c r="D872" s="8" t="str">
        <f aca="false">INDEX(Dim_Supplier!$C$2:$C$21,MATCH(B872,Dim_Supplier!$A$2:$A$21,0))</f>
        <v>MRO</v>
      </c>
      <c r="E872" s="8" t="str">
        <f aca="false">INDEX(Dim_Supplier!$B$2:$B$21,MATCH(B872,Dim_Supplier!$A$2:$A$21,0))</f>
        <v>CanSafe Equipment Ltd.</v>
      </c>
      <c r="F872" s="5" t="s">
        <v>164</v>
      </c>
      <c r="G872" s="5" t="s">
        <v>120</v>
      </c>
      <c r="H872" s="8" t="n">
        <f aca="false">INDEX(Lookup_Tables!$B$2:$B$5,MATCH(D872,Lookup_Tables!$A$2:$A$5,0))</f>
        <v>10</v>
      </c>
      <c r="I872" s="9" t="n">
        <f aca="false">C872+H872</f>
        <v>45363</v>
      </c>
      <c r="J872" s="5" t="n">
        <v>-2</v>
      </c>
      <c r="K872" s="9" t="n">
        <f aca="false">I872+J872</f>
        <v>45361</v>
      </c>
      <c r="L872" s="5" t="n">
        <v>101</v>
      </c>
      <c r="M872" s="10" t="n">
        <f aca="false">INDEX(Dim_Supplier!$F$2:$F$21,MATCH(B872,Dim_Supplier!$A$2:$A$21,0))</f>
        <v>18.75</v>
      </c>
      <c r="N872" s="11" t="n">
        <v>0.0301</v>
      </c>
      <c r="O872" s="10" t="n">
        <f aca="false">M872*(1+N872)</f>
        <v>19.314375</v>
      </c>
      <c r="P872" s="10" t="n">
        <f aca="false">O872*L872</f>
        <v>1950.751875</v>
      </c>
      <c r="Q872" s="5" t="s">
        <v>113</v>
      </c>
      <c r="R872" s="5" t="n">
        <v>0</v>
      </c>
      <c r="S872" s="5" t="n">
        <v>60</v>
      </c>
      <c r="T872" s="12" t="n">
        <f aca="false">(O872-M872)/M872</f>
        <v>0.0301000000000001</v>
      </c>
      <c r="U872" s="8" t="n">
        <f aca="false">IF(AND(K872&lt;=I872,R872=0),1,0)</f>
        <v>1</v>
      </c>
      <c r="V872" s="10" t="n">
        <f aca="false">IF(Q872="No",P872,0)</f>
        <v>0</v>
      </c>
    </row>
    <row r="873" customFormat="false" ht="15" hidden="false" customHeight="false" outlineLevel="0" collapsed="false">
      <c r="A873" s="5" t="s">
        <v>1007</v>
      </c>
      <c r="B873" s="5" t="s">
        <v>71</v>
      </c>
      <c r="C873" s="7" t="n">
        <v>45746</v>
      </c>
      <c r="D873" s="8" t="str">
        <f aca="false">INDEX(Dim_Supplier!$C$2:$C$21,MATCH(B873,Dim_Supplier!$A$2:$A$21,0))</f>
        <v>MRO</v>
      </c>
      <c r="E873" s="8" t="str">
        <f aca="false">INDEX(Dim_Supplier!$B$2:$B$21,MATCH(B873,Dim_Supplier!$A$2:$A$21,0))</f>
        <v>CanSafe Equipment Ltd.</v>
      </c>
      <c r="F873" s="5" t="s">
        <v>111</v>
      </c>
      <c r="G873" s="5" t="s">
        <v>112</v>
      </c>
      <c r="H873" s="8" t="n">
        <f aca="false">INDEX(Lookup_Tables!$B$2:$B$5,MATCH(D873,Lookup_Tables!$A$2:$A$5,0))</f>
        <v>10</v>
      </c>
      <c r="I873" s="9" t="n">
        <f aca="false">C873+H873</f>
        <v>45756</v>
      </c>
      <c r="J873" s="5" t="n">
        <v>-2</v>
      </c>
      <c r="K873" s="9" t="n">
        <f aca="false">I873+J873</f>
        <v>45754</v>
      </c>
      <c r="L873" s="5" t="n">
        <v>199</v>
      </c>
      <c r="M873" s="10" t="n">
        <f aca="false">INDEX(Dim_Supplier!$F$2:$F$21,MATCH(B873,Dim_Supplier!$A$2:$A$21,0))</f>
        <v>18.75</v>
      </c>
      <c r="N873" s="11" t="n">
        <v>0.0583</v>
      </c>
      <c r="O873" s="10" t="n">
        <f aca="false">M873*(1+N873)</f>
        <v>19.843125</v>
      </c>
      <c r="P873" s="10" t="n">
        <f aca="false">O873*L873</f>
        <v>3948.781875</v>
      </c>
      <c r="Q873" s="5" t="s">
        <v>113</v>
      </c>
      <c r="R873" s="5" t="n">
        <v>0</v>
      </c>
      <c r="S873" s="5" t="n">
        <v>30</v>
      </c>
      <c r="T873" s="12" t="n">
        <f aca="false">(O873-M873)/M873</f>
        <v>0.0583</v>
      </c>
      <c r="U873" s="8" t="n">
        <f aca="false">IF(AND(K873&lt;=I873,R873=0),1,0)</f>
        <v>1</v>
      </c>
      <c r="V873" s="10" t="n">
        <f aca="false">IF(Q873="No",P873,0)</f>
        <v>0</v>
      </c>
    </row>
    <row r="874" customFormat="false" ht="15" hidden="false" customHeight="false" outlineLevel="0" collapsed="false">
      <c r="A874" s="5" t="s">
        <v>1008</v>
      </c>
      <c r="B874" s="5" t="s">
        <v>79</v>
      </c>
      <c r="C874" s="7" t="n">
        <v>46060</v>
      </c>
      <c r="D874" s="8" t="str">
        <f aca="false">INDEX(Dim_Supplier!$C$2:$C$21,MATCH(B874,Dim_Supplier!$A$2:$A$21,0))</f>
        <v>Logistics</v>
      </c>
      <c r="E874" s="8" t="str">
        <f aca="false">INDEX(Dim_Supplier!$B$2:$B$21,MATCH(B874,Dim_Supplier!$A$2:$A$21,0))</f>
        <v>Niagara Freight Solutions</v>
      </c>
      <c r="F874" s="5" t="s">
        <v>124</v>
      </c>
      <c r="G874" s="5" t="s">
        <v>112</v>
      </c>
      <c r="H874" s="8" t="n">
        <f aca="false">INDEX(Lookup_Tables!$B$2:$B$5,MATCH(D874,Lookup_Tables!$A$2:$A$5,0))</f>
        <v>5</v>
      </c>
      <c r="I874" s="9" t="n">
        <f aca="false">C874+H874</f>
        <v>46065</v>
      </c>
      <c r="J874" s="5" t="n">
        <v>-1</v>
      </c>
      <c r="K874" s="9" t="n">
        <f aca="false">I874+J874</f>
        <v>46064</v>
      </c>
      <c r="L874" s="5" t="n">
        <v>16</v>
      </c>
      <c r="M874" s="10" t="n">
        <f aca="false">INDEX(Dim_Supplier!$F$2:$F$21,MATCH(B874,Dim_Supplier!$A$2:$A$21,0))</f>
        <v>340</v>
      </c>
      <c r="N874" s="11" t="n">
        <v>-0.0047</v>
      </c>
      <c r="O874" s="10" t="n">
        <f aca="false">M874*(1+N874)</f>
        <v>338.402</v>
      </c>
      <c r="P874" s="10" t="n">
        <f aca="false">O874*L874</f>
        <v>5414.432</v>
      </c>
      <c r="Q874" s="5" t="s">
        <v>113</v>
      </c>
      <c r="R874" s="5" t="n">
        <v>0</v>
      </c>
      <c r="S874" s="5" t="n">
        <v>60</v>
      </c>
      <c r="T874" s="12" t="n">
        <f aca="false">(O874-M874)/M874</f>
        <v>-0.00470000000000004</v>
      </c>
      <c r="U874" s="8" t="n">
        <f aca="false">IF(AND(K874&lt;=I874,R874=0),1,0)</f>
        <v>1</v>
      </c>
      <c r="V874" s="10" t="n">
        <f aca="false">IF(Q874="No",P874,0)</f>
        <v>0</v>
      </c>
    </row>
    <row r="875" customFormat="false" ht="15" hidden="false" customHeight="false" outlineLevel="0" collapsed="false">
      <c r="A875" s="5" t="s">
        <v>1009</v>
      </c>
      <c r="B875" s="5" t="s">
        <v>88</v>
      </c>
      <c r="C875" s="7" t="n">
        <v>46112</v>
      </c>
      <c r="D875" s="8" t="str">
        <f aca="false">INDEX(Dim_Supplier!$C$2:$C$21,MATCH(B875,Dim_Supplier!$A$2:$A$21,0))</f>
        <v>Logistics</v>
      </c>
      <c r="E875" s="8" t="str">
        <f aca="false">INDEX(Dim_Supplier!$B$2:$B$21,MATCH(B875,Dim_Supplier!$A$2:$A$21,0))</f>
        <v>Summit Last-Mile Delivery</v>
      </c>
      <c r="F875" s="5" t="s">
        <v>154</v>
      </c>
      <c r="G875" s="5" t="s">
        <v>125</v>
      </c>
      <c r="H875" s="8" t="n">
        <f aca="false">INDEX(Lookup_Tables!$B$2:$B$5,MATCH(D875,Lookup_Tables!$A$2:$A$5,0))</f>
        <v>5</v>
      </c>
      <c r="I875" s="9" t="n">
        <f aca="false">C875+H875</f>
        <v>46117</v>
      </c>
      <c r="J875" s="5" t="n">
        <v>-2</v>
      </c>
      <c r="K875" s="9" t="n">
        <f aca="false">I875+J875</f>
        <v>46115</v>
      </c>
      <c r="L875" s="5" t="n">
        <v>41</v>
      </c>
      <c r="M875" s="10" t="n">
        <f aca="false">INDEX(Dim_Supplier!$F$2:$F$21,MATCH(B875,Dim_Supplier!$A$2:$A$21,0))</f>
        <v>95</v>
      </c>
      <c r="N875" s="11" t="n">
        <v>0.0383</v>
      </c>
      <c r="O875" s="10" t="n">
        <f aca="false">M875*(1+N875)</f>
        <v>98.6385</v>
      </c>
      <c r="P875" s="10" t="n">
        <f aca="false">O875*L875</f>
        <v>4044.1785</v>
      </c>
      <c r="Q875" s="5" t="s">
        <v>113</v>
      </c>
      <c r="R875" s="5" t="n">
        <v>0</v>
      </c>
      <c r="S875" s="5" t="n">
        <v>30</v>
      </c>
      <c r="T875" s="12" t="n">
        <f aca="false">(O875-M875)/M875</f>
        <v>0.0382999999999999</v>
      </c>
      <c r="U875" s="8" t="n">
        <f aca="false">IF(AND(K875&lt;=I875,R875=0),1,0)</f>
        <v>1</v>
      </c>
      <c r="V875" s="10" t="n">
        <f aca="false">IF(Q875="No",P875,0)</f>
        <v>0</v>
      </c>
    </row>
    <row r="876" customFormat="false" ht="15" hidden="false" customHeight="false" outlineLevel="0" collapsed="false">
      <c r="A876" s="5" t="s">
        <v>1010</v>
      </c>
      <c r="B876" s="5" t="s">
        <v>52</v>
      </c>
      <c r="C876" s="7" t="n">
        <v>45941</v>
      </c>
      <c r="D876" s="8" t="str">
        <f aca="false">INDEX(Dim_Supplier!$C$2:$C$21,MATCH(B876,Dim_Supplier!$A$2:$A$21,0))</f>
        <v>Raw Materials</v>
      </c>
      <c r="E876" s="8" t="str">
        <f aca="false">INDEX(Dim_Supplier!$B$2:$B$21,MATCH(B876,Dim_Supplier!$A$2:$A$21,0))</f>
        <v>Laurentian Metals Inc.</v>
      </c>
      <c r="F876" s="5" t="s">
        <v>115</v>
      </c>
      <c r="G876" s="5" t="s">
        <v>112</v>
      </c>
      <c r="H876" s="8" t="n">
        <f aca="false">INDEX(Lookup_Tables!$B$2:$B$5,MATCH(D876,Lookup_Tables!$A$2:$A$5,0))</f>
        <v>21</v>
      </c>
      <c r="I876" s="9" t="n">
        <f aca="false">C876+H876</f>
        <v>45962</v>
      </c>
      <c r="J876" s="5" t="n">
        <v>-2</v>
      </c>
      <c r="K876" s="9" t="n">
        <f aca="false">I876+J876</f>
        <v>45960</v>
      </c>
      <c r="L876" s="5" t="n">
        <v>1224</v>
      </c>
      <c r="M876" s="10" t="n">
        <f aca="false">INDEX(Dim_Supplier!$F$2:$F$21,MATCH(B876,Dim_Supplier!$A$2:$A$21,0))</f>
        <v>61.2</v>
      </c>
      <c r="N876" s="11" t="n">
        <v>0.0288</v>
      </c>
      <c r="O876" s="10" t="n">
        <f aca="false">M876*(1+N876)</f>
        <v>62.96256</v>
      </c>
      <c r="P876" s="10" t="n">
        <f aca="false">O876*L876</f>
        <v>77066.17344</v>
      </c>
      <c r="Q876" s="5" t="s">
        <v>113</v>
      </c>
      <c r="R876" s="5" t="n">
        <v>0</v>
      </c>
      <c r="S876" s="5" t="n">
        <v>30</v>
      </c>
      <c r="T876" s="12" t="n">
        <f aca="false">(O876-M876)/M876</f>
        <v>0.0287999999999999</v>
      </c>
      <c r="U876" s="8" t="n">
        <f aca="false">IF(AND(K876&lt;=I876,R876=0),1,0)</f>
        <v>1</v>
      </c>
      <c r="V876" s="10" t="n">
        <f aca="false">IF(Q876="No",P876,0)</f>
        <v>0</v>
      </c>
    </row>
    <row r="877" customFormat="false" ht="15" hidden="false" customHeight="false" outlineLevel="0" collapsed="false">
      <c r="A877" s="5" t="s">
        <v>1011</v>
      </c>
      <c r="B877" s="5" t="s">
        <v>41</v>
      </c>
      <c r="C877" s="7" t="n">
        <v>46034</v>
      </c>
      <c r="D877" s="8" t="str">
        <f aca="false">INDEX(Dim_Supplier!$C$2:$C$21,MATCH(B877,Dim_Supplier!$A$2:$A$21,0))</f>
        <v>Raw Materials</v>
      </c>
      <c r="E877" s="8" t="str">
        <f aca="false">INDEX(Dim_Supplier!$B$2:$B$21,MATCH(B877,Dim_Supplier!$A$2:$A$21,0))</f>
        <v>Ontario Steel Partners</v>
      </c>
      <c r="F877" s="5" t="s">
        <v>142</v>
      </c>
      <c r="G877" s="5" t="s">
        <v>120</v>
      </c>
      <c r="H877" s="8" t="n">
        <f aca="false">INDEX(Lookup_Tables!$B$2:$B$5,MATCH(D877,Lookup_Tables!$A$2:$A$5,0))</f>
        <v>21</v>
      </c>
      <c r="I877" s="9" t="n">
        <f aca="false">C877+H877</f>
        <v>46055</v>
      </c>
      <c r="J877" s="5" t="n">
        <v>-2</v>
      </c>
      <c r="K877" s="9" t="n">
        <f aca="false">I877+J877</f>
        <v>46053</v>
      </c>
      <c r="L877" s="5" t="n">
        <v>968</v>
      </c>
      <c r="M877" s="10" t="n">
        <f aca="false">INDEX(Dim_Supplier!$F$2:$F$21,MATCH(B877,Dim_Supplier!$A$2:$A$21,0))</f>
        <v>58</v>
      </c>
      <c r="N877" s="11" t="n">
        <v>0.0214</v>
      </c>
      <c r="O877" s="10" t="n">
        <f aca="false">M877*(1+N877)</f>
        <v>59.2412</v>
      </c>
      <c r="P877" s="10" t="n">
        <f aca="false">O877*L877</f>
        <v>57345.4816</v>
      </c>
      <c r="Q877" s="5" t="s">
        <v>113</v>
      </c>
      <c r="R877" s="5" t="n">
        <v>0</v>
      </c>
      <c r="S877" s="5" t="n">
        <v>30</v>
      </c>
      <c r="T877" s="12" t="n">
        <f aca="false">(O877-M877)/M877</f>
        <v>0.0214000000000001</v>
      </c>
      <c r="U877" s="8" t="n">
        <f aca="false">IF(AND(K877&lt;=I877,R877=0),1,0)</f>
        <v>1</v>
      </c>
      <c r="V877" s="10" t="n">
        <f aca="false">IF(Q877="No",P877,0)</f>
        <v>0</v>
      </c>
    </row>
    <row r="878" customFormat="false" ht="15" hidden="false" customHeight="false" outlineLevel="0" collapsed="false">
      <c r="A878" s="5" t="s">
        <v>1012</v>
      </c>
      <c r="B878" s="5" t="s">
        <v>62</v>
      </c>
      <c r="C878" s="7" t="n">
        <v>45942</v>
      </c>
      <c r="D878" s="8" t="str">
        <f aca="false">INDEX(Dim_Supplier!$C$2:$C$21,MATCH(B878,Dim_Supplier!$A$2:$A$21,0))</f>
        <v>Packaging</v>
      </c>
      <c r="E878" s="8" t="str">
        <f aca="false">INDEX(Dim_Supplier!$B$2:$B$21,MATCH(B878,Dim_Supplier!$A$2:$A$21,0))</f>
        <v>Trillium Packaging Solutions</v>
      </c>
      <c r="F878" s="5" t="s">
        <v>158</v>
      </c>
      <c r="G878" s="5" t="s">
        <v>120</v>
      </c>
      <c r="H878" s="8" t="n">
        <f aca="false">INDEX(Lookup_Tables!$B$2:$B$5,MATCH(D878,Lookup_Tables!$A$2:$A$5,0))</f>
        <v>14</v>
      </c>
      <c r="I878" s="9" t="n">
        <f aca="false">C878+H878</f>
        <v>45956</v>
      </c>
      <c r="J878" s="5" t="n">
        <v>-2</v>
      </c>
      <c r="K878" s="9" t="n">
        <f aca="false">I878+J878</f>
        <v>45954</v>
      </c>
      <c r="L878" s="5" t="n">
        <v>3445</v>
      </c>
      <c r="M878" s="10" t="n">
        <f aca="false">INDEX(Dim_Supplier!$F$2:$F$21,MATCH(B878,Dim_Supplier!$A$2:$A$21,0))</f>
        <v>5.6</v>
      </c>
      <c r="N878" s="11" t="n">
        <v>0.0026</v>
      </c>
      <c r="O878" s="10" t="n">
        <f aca="false">M878*(1+N878)</f>
        <v>5.61456</v>
      </c>
      <c r="P878" s="10" t="n">
        <f aca="false">O878*L878</f>
        <v>19342.1592</v>
      </c>
      <c r="Q878" s="5" t="s">
        <v>113</v>
      </c>
      <c r="R878" s="5" t="n">
        <v>0</v>
      </c>
      <c r="S878" s="5" t="n">
        <v>30</v>
      </c>
      <c r="T878" s="12" t="n">
        <f aca="false">(O878-M878)/M878</f>
        <v>0.0025999999999999</v>
      </c>
      <c r="U878" s="8" t="n">
        <f aca="false">IF(AND(K878&lt;=I878,R878=0),1,0)</f>
        <v>1</v>
      </c>
      <c r="V878" s="10" t="n">
        <f aca="false">IF(Q878="No",P878,0)</f>
        <v>0</v>
      </c>
    </row>
    <row r="879" customFormat="false" ht="15" hidden="false" customHeight="false" outlineLevel="0" collapsed="false">
      <c r="A879" s="5" t="s">
        <v>1013</v>
      </c>
      <c r="B879" s="5" t="s">
        <v>66</v>
      </c>
      <c r="C879" s="7" t="n">
        <v>46044</v>
      </c>
      <c r="D879" s="8" t="str">
        <f aca="false">INDEX(Dim_Supplier!$C$2:$C$21,MATCH(B879,Dim_Supplier!$A$2:$A$21,0))</f>
        <v>Packaging</v>
      </c>
      <c r="E879" s="8" t="str">
        <f aca="false">INDEX(Dim_Supplier!$B$2:$B$21,MATCH(B879,Dim_Supplier!$A$2:$A$21,0))</f>
        <v>EverGreen Wrap Industries</v>
      </c>
      <c r="F879" s="5" t="s">
        <v>137</v>
      </c>
      <c r="G879" s="5" t="s">
        <v>112</v>
      </c>
      <c r="H879" s="8" t="n">
        <f aca="false">INDEX(Lookup_Tables!$B$2:$B$5,MATCH(D879,Lookup_Tables!$A$2:$A$5,0))</f>
        <v>14</v>
      </c>
      <c r="I879" s="9" t="n">
        <f aca="false">C879+H879</f>
        <v>46058</v>
      </c>
      <c r="J879" s="5" t="n">
        <v>1</v>
      </c>
      <c r="K879" s="9" t="n">
        <f aca="false">I879+J879</f>
        <v>46059</v>
      </c>
      <c r="L879" s="5" t="n">
        <v>662</v>
      </c>
      <c r="M879" s="10" t="n">
        <f aca="false">INDEX(Dim_Supplier!$F$2:$F$21,MATCH(B879,Dim_Supplier!$A$2:$A$21,0))</f>
        <v>6.8</v>
      </c>
      <c r="N879" s="11" t="n">
        <v>0.0278</v>
      </c>
      <c r="O879" s="10" t="n">
        <f aca="false">M879*(1+N879)</f>
        <v>6.98904</v>
      </c>
      <c r="P879" s="10" t="n">
        <f aca="false">O879*L879</f>
        <v>4626.74448</v>
      </c>
      <c r="Q879" s="5" t="s">
        <v>113</v>
      </c>
      <c r="R879" s="5" t="n">
        <v>0</v>
      </c>
      <c r="S879" s="5" t="n">
        <v>30</v>
      </c>
      <c r="T879" s="12" t="n">
        <f aca="false">(O879-M879)/M879</f>
        <v>0.0278</v>
      </c>
      <c r="U879" s="8" t="n">
        <f aca="false">IF(AND(K879&lt;=I879,R879=0),1,0)</f>
        <v>0</v>
      </c>
      <c r="V879" s="10" t="n">
        <f aca="false">IF(Q879="No",P879,0)</f>
        <v>0</v>
      </c>
    </row>
    <row r="880" customFormat="false" ht="15" hidden="false" customHeight="false" outlineLevel="0" collapsed="false">
      <c r="A880" s="5" t="s">
        <v>1014</v>
      </c>
      <c r="B880" s="5" t="s">
        <v>86</v>
      </c>
      <c r="C880" s="7" t="n">
        <v>45599</v>
      </c>
      <c r="D880" s="8" t="str">
        <f aca="false">INDEX(Dim_Supplier!$C$2:$C$21,MATCH(B880,Dim_Supplier!$A$2:$A$21,0))</f>
        <v>Logistics</v>
      </c>
      <c r="E880" s="8" t="str">
        <f aca="false">INDEX(Dim_Supplier!$B$2:$B$21,MATCH(B880,Dim_Supplier!$A$2:$A$21,0))</f>
        <v>Blue Water Customs Brokerage</v>
      </c>
      <c r="F880" s="5" t="s">
        <v>185</v>
      </c>
      <c r="G880" s="5" t="s">
        <v>112</v>
      </c>
      <c r="H880" s="8" t="n">
        <f aca="false">INDEX(Lookup_Tables!$B$2:$B$5,MATCH(D880,Lookup_Tables!$A$2:$A$5,0))</f>
        <v>5</v>
      </c>
      <c r="I880" s="9" t="n">
        <f aca="false">C880+H880</f>
        <v>45604</v>
      </c>
      <c r="J880" s="5" t="n">
        <v>-3</v>
      </c>
      <c r="K880" s="9" t="n">
        <f aca="false">I880+J880</f>
        <v>45601</v>
      </c>
      <c r="L880" s="5" t="n">
        <v>25</v>
      </c>
      <c r="M880" s="10" t="n">
        <f aca="false">INDEX(Dim_Supplier!$F$2:$F$21,MATCH(B880,Dim_Supplier!$A$2:$A$21,0))</f>
        <v>175</v>
      </c>
      <c r="N880" s="11" t="n">
        <v>0.0059</v>
      </c>
      <c r="O880" s="10" t="n">
        <f aca="false">M880*(1+N880)</f>
        <v>176.0325</v>
      </c>
      <c r="P880" s="10" t="n">
        <f aca="false">O880*L880</f>
        <v>4400.8125</v>
      </c>
      <c r="Q880" s="5" t="s">
        <v>113</v>
      </c>
      <c r="R880" s="5" t="n">
        <v>0</v>
      </c>
      <c r="S880" s="5" t="n">
        <v>30</v>
      </c>
      <c r="T880" s="12" t="n">
        <f aca="false">(O880-M880)/M880</f>
        <v>0.00589999999999999</v>
      </c>
      <c r="U880" s="8" t="n">
        <f aca="false">IF(AND(K880&lt;=I880,R880=0),1,0)</f>
        <v>1</v>
      </c>
      <c r="V880" s="10" t="n">
        <f aca="false">IF(Q880="No",P880,0)</f>
        <v>0</v>
      </c>
    </row>
    <row r="881" customFormat="false" ht="15" hidden="false" customHeight="false" outlineLevel="0" collapsed="false">
      <c r="A881" s="5" t="s">
        <v>1015</v>
      </c>
      <c r="B881" s="5" t="s">
        <v>71</v>
      </c>
      <c r="C881" s="7" t="n">
        <v>45365</v>
      </c>
      <c r="D881" s="8" t="str">
        <f aca="false">INDEX(Dim_Supplier!$C$2:$C$21,MATCH(B881,Dim_Supplier!$A$2:$A$21,0))</f>
        <v>MRO</v>
      </c>
      <c r="E881" s="8" t="str">
        <f aca="false">INDEX(Dim_Supplier!$B$2:$B$21,MATCH(B881,Dim_Supplier!$A$2:$A$21,0))</f>
        <v>CanSafe Equipment Ltd.</v>
      </c>
      <c r="F881" s="5" t="s">
        <v>111</v>
      </c>
      <c r="G881" s="5" t="s">
        <v>112</v>
      </c>
      <c r="H881" s="8" t="n">
        <f aca="false">INDEX(Lookup_Tables!$B$2:$B$5,MATCH(D881,Lookup_Tables!$A$2:$A$5,0))</f>
        <v>10</v>
      </c>
      <c r="I881" s="9" t="n">
        <f aca="false">C881+H881</f>
        <v>45375</v>
      </c>
      <c r="J881" s="5" t="n">
        <v>-1</v>
      </c>
      <c r="K881" s="9" t="n">
        <f aca="false">I881+J881</f>
        <v>45374</v>
      </c>
      <c r="L881" s="5" t="n">
        <v>53</v>
      </c>
      <c r="M881" s="10" t="n">
        <f aca="false">INDEX(Dim_Supplier!$F$2:$F$21,MATCH(B881,Dim_Supplier!$A$2:$A$21,0))</f>
        <v>18.75</v>
      </c>
      <c r="N881" s="11" t="n">
        <v>0.0171</v>
      </c>
      <c r="O881" s="10" t="n">
        <f aca="false">M881*(1+N881)</f>
        <v>19.070625</v>
      </c>
      <c r="P881" s="10" t="n">
        <f aca="false">O881*L881</f>
        <v>1010.743125</v>
      </c>
      <c r="Q881" s="5" t="s">
        <v>113</v>
      </c>
      <c r="R881" s="5" t="n">
        <v>0</v>
      </c>
      <c r="S881" s="5" t="n">
        <v>45</v>
      </c>
      <c r="T881" s="12" t="n">
        <f aca="false">(O881-M881)/M881</f>
        <v>0.0171</v>
      </c>
      <c r="U881" s="8" t="n">
        <f aca="false">IF(AND(K881&lt;=I881,R881=0),1,0)</f>
        <v>1</v>
      </c>
      <c r="V881" s="10" t="n">
        <f aca="false">IF(Q881="No",P881,0)</f>
        <v>0</v>
      </c>
    </row>
    <row r="882" customFormat="false" ht="15" hidden="false" customHeight="false" outlineLevel="0" collapsed="false">
      <c r="A882" s="5" t="s">
        <v>1016</v>
      </c>
      <c r="B882" s="5" t="s">
        <v>60</v>
      </c>
      <c r="C882" s="7" t="n">
        <v>45706</v>
      </c>
      <c r="D882" s="8" t="str">
        <f aca="false">INDEX(Dim_Supplier!$C$2:$C$21,MATCH(B882,Dim_Supplier!$A$2:$A$21,0))</f>
        <v>Packaging</v>
      </c>
      <c r="E882" s="8" t="str">
        <f aca="false">INDEX(Dim_Supplier!$B$2:$B$21,MATCH(B882,Dim_Supplier!$A$2:$A$21,0))</f>
        <v>Maple Leaf Box &amp; Crate</v>
      </c>
      <c r="F882" s="5" t="s">
        <v>137</v>
      </c>
      <c r="G882" s="5" t="s">
        <v>125</v>
      </c>
      <c r="H882" s="8" t="n">
        <f aca="false">INDEX(Lookup_Tables!$B$2:$B$5,MATCH(D882,Lookup_Tables!$A$2:$A$5,0))</f>
        <v>14</v>
      </c>
      <c r="I882" s="9" t="n">
        <f aca="false">C882+H882</f>
        <v>45720</v>
      </c>
      <c r="J882" s="5" t="n">
        <v>1</v>
      </c>
      <c r="K882" s="9" t="n">
        <f aca="false">I882+J882</f>
        <v>45721</v>
      </c>
      <c r="L882" s="5" t="n">
        <v>4510</v>
      </c>
      <c r="M882" s="10" t="n">
        <f aca="false">INDEX(Dim_Supplier!$F$2:$F$21,MATCH(B882,Dim_Supplier!$A$2:$A$21,0))</f>
        <v>3.1</v>
      </c>
      <c r="N882" s="11" t="n">
        <v>0.0364</v>
      </c>
      <c r="O882" s="10" t="n">
        <f aca="false">M882*(1+N882)</f>
        <v>3.21284</v>
      </c>
      <c r="P882" s="10" t="n">
        <f aca="false">O882*L882</f>
        <v>14489.9084</v>
      </c>
      <c r="Q882" s="5" t="s">
        <v>113</v>
      </c>
      <c r="R882" s="5" t="n">
        <v>0</v>
      </c>
      <c r="S882" s="5" t="n">
        <v>30</v>
      </c>
      <c r="T882" s="12" t="n">
        <f aca="false">(O882-M882)/M882</f>
        <v>0.0363999999999999</v>
      </c>
      <c r="U882" s="8" t="n">
        <f aca="false">IF(AND(K882&lt;=I882,R882=0),1,0)</f>
        <v>0</v>
      </c>
      <c r="V882" s="10" t="n">
        <f aca="false">IF(Q882="No",P882,0)</f>
        <v>0</v>
      </c>
    </row>
    <row r="883" customFormat="false" ht="15" hidden="false" customHeight="false" outlineLevel="0" collapsed="false">
      <c r="A883" s="5" t="s">
        <v>1017</v>
      </c>
      <c r="B883" s="5" t="s">
        <v>84</v>
      </c>
      <c r="C883" s="7" t="n">
        <v>45419</v>
      </c>
      <c r="D883" s="8" t="str">
        <f aca="false">INDEX(Dim_Supplier!$C$2:$C$21,MATCH(B883,Dim_Supplier!$A$2:$A$21,0))</f>
        <v>Logistics</v>
      </c>
      <c r="E883" s="8" t="str">
        <f aca="false">INDEX(Dim_Supplier!$B$2:$B$21,MATCH(B883,Dim_Supplier!$A$2:$A$21,0))</f>
        <v>Trans-Canada Carriers</v>
      </c>
      <c r="F883" s="5" t="s">
        <v>237</v>
      </c>
      <c r="G883" s="5" t="s">
        <v>112</v>
      </c>
      <c r="H883" s="8" t="n">
        <f aca="false">INDEX(Lookup_Tables!$B$2:$B$5,MATCH(D883,Lookup_Tables!$A$2:$A$5,0))</f>
        <v>5</v>
      </c>
      <c r="I883" s="9" t="n">
        <f aca="false">C883+H883</f>
        <v>45424</v>
      </c>
      <c r="J883" s="5" t="n">
        <v>5</v>
      </c>
      <c r="K883" s="9" t="n">
        <f aca="false">I883+J883</f>
        <v>45429</v>
      </c>
      <c r="L883" s="5" t="n">
        <v>17</v>
      </c>
      <c r="M883" s="10" t="n">
        <f aca="false">INDEX(Dim_Supplier!$F$2:$F$21,MATCH(B883,Dim_Supplier!$A$2:$A$21,0))</f>
        <v>210</v>
      </c>
      <c r="N883" s="11" t="n">
        <v>0.1501</v>
      </c>
      <c r="O883" s="10" t="n">
        <f aca="false">M883*(1+N883)</f>
        <v>241.521</v>
      </c>
      <c r="P883" s="10" t="n">
        <f aca="false">O883*L883</f>
        <v>4105.857</v>
      </c>
      <c r="Q883" s="5" t="s">
        <v>133</v>
      </c>
      <c r="R883" s="5" t="n">
        <v>0</v>
      </c>
      <c r="S883" s="5" t="n">
        <v>30</v>
      </c>
      <c r="T883" s="12" t="n">
        <f aca="false">(O883-M883)/M883</f>
        <v>0.1501</v>
      </c>
      <c r="U883" s="8" t="n">
        <f aca="false">IF(AND(K883&lt;=I883,R883=0),1,0)</f>
        <v>0</v>
      </c>
      <c r="V883" s="10" t="n">
        <f aca="false">IF(Q883="No",P883,0)</f>
        <v>4105.857</v>
      </c>
    </row>
    <row r="884" customFormat="false" ht="15" hidden="false" customHeight="false" outlineLevel="0" collapsed="false">
      <c r="A884" s="5" t="s">
        <v>1018</v>
      </c>
      <c r="B884" s="5" t="s">
        <v>75</v>
      </c>
      <c r="C884" s="7" t="n">
        <v>45942</v>
      </c>
      <c r="D884" s="8" t="str">
        <f aca="false">INDEX(Dim_Supplier!$C$2:$C$21,MATCH(B884,Dim_Supplier!$A$2:$A$21,0))</f>
        <v>MRO</v>
      </c>
      <c r="E884" s="8" t="str">
        <f aca="false">INDEX(Dim_Supplier!$B$2:$B$21,MATCH(B884,Dim_Supplier!$A$2:$A$21,0))</f>
        <v>Sterling Lubricants Inc.</v>
      </c>
      <c r="F884" s="5" t="s">
        <v>111</v>
      </c>
      <c r="G884" s="5" t="s">
        <v>129</v>
      </c>
      <c r="H884" s="8" t="n">
        <f aca="false">INDEX(Lookup_Tables!$B$2:$B$5,MATCH(D884,Lookup_Tables!$A$2:$A$5,0))</f>
        <v>10</v>
      </c>
      <c r="I884" s="9" t="n">
        <f aca="false">C884+H884</f>
        <v>45952</v>
      </c>
      <c r="J884" s="5" t="n">
        <v>-4</v>
      </c>
      <c r="K884" s="9" t="n">
        <f aca="false">I884+J884</f>
        <v>45948</v>
      </c>
      <c r="L884" s="5" t="n">
        <v>193</v>
      </c>
      <c r="M884" s="10" t="n">
        <f aca="false">INDEX(Dim_Supplier!$F$2:$F$21,MATCH(B884,Dim_Supplier!$A$2:$A$21,0))</f>
        <v>27.1</v>
      </c>
      <c r="N884" s="11" t="n">
        <v>-0.0171</v>
      </c>
      <c r="O884" s="10" t="n">
        <f aca="false">M884*(1+N884)</f>
        <v>26.63659</v>
      </c>
      <c r="P884" s="10" t="n">
        <f aca="false">O884*L884</f>
        <v>5140.86187</v>
      </c>
      <c r="Q884" s="5" t="s">
        <v>113</v>
      </c>
      <c r="R884" s="5" t="n">
        <v>0</v>
      </c>
      <c r="S884" s="5" t="n">
        <v>60</v>
      </c>
      <c r="T884" s="12" t="n">
        <f aca="false">(O884-M884)/M884</f>
        <v>-0.0171</v>
      </c>
      <c r="U884" s="8" t="n">
        <f aca="false">IF(AND(K884&lt;=I884,R884=0),1,0)</f>
        <v>1</v>
      </c>
      <c r="V884" s="10" t="n">
        <f aca="false">IF(Q884="No",P884,0)</f>
        <v>0</v>
      </c>
    </row>
    <row r="885" customFormat="false" ht="15" hidden="false" customHeight="false" outlineLevel="0" collapsed="false">
      <c r="A885" s="5" t="s">
        <v>1019</v>
      </c>
      <c r="B885" s="5" t="s">
        <v>57</v>
      </c>
      <c r="C885" s="7" t="n">
        <v>46015</v>
      </c>
      <c r="D885" s="8" t="str">
        <f aca="false">INDEX(Dim_Supplier!$C$2:$C$21,MATCH(B885,Dim_Supplier!$A$2:$A$21,0))</f>
        <v>Packaging</v>
      </c>
      <c r="E885" s="8" t="str">
        <f aca="false">INDEX(Dim_Supplier!$B$2:$B$21,MATCH(B885,Dim_Supplier!$A$2:$A$21,0))</f>
        <v>Great Lakes Packaging Co.</v>
      </c>
      <c r="F885" s="5" t="s">
        <v>117</v>
      </c>
      <c r="G885" s="5" t="s">
        <v>112</v>
      </c>
      <c r="H885" s="8" t="n">
        <f aca="false">INDEX(Lookup_Tables!$B$2:$B$5,MATCH(D885,Lookup_Tables!$A$2:$A$5,0))</f>
        <v>14</v>
      </c>
      <c r="I885" s="9" t="n">
        <f aca="false">C885+H885</f>
        <v>46029</v>
      </c>
      <c r="J885" s="5" t="n">
        <v>-3</v>
      </c>
      <c r="K885" s="9" t="n">
        <f aca="false">I885+J885</f>
        <v>46026</v>
      </c>
      <c r="L885" s="5" t="n">
        <v>1707</v>
      </c>
      <c r="M885" s="10" t="n">
        <f aca="false">INDEX(Dim_Supplier!$F$2:$F$21,MATCH(B885,Dim_Supplier!$A$2:$A$21,0))</f>
        <v>4.35</v>
      </c>
      <c r="N885" s="11" t="n">
        <v>0.032</v>
      </c>
      <c r="O885" s="10" t="n">
        <f aca="false">M885*(1+N885)</f>
        <v>4.4892</v>
      </c>
      <c r="P885" s="10" t="n">
        <f aca="false">O885*L885</f>
        <v>7663.0644</v>
      </c>
      <c r="Q885" s="5" t="s">
        <v>113</v>
      </c>
      <c r="R885" s="5" t="n">
        <v>0</v>
      </c>
      <c r="S885" s="5" t="n">
        <v>60</v>
      </c>
      <c r="T885" s="12" t="n">
        <f aca="false">(O885-M885)/M885</f>
        <v>0.032</v>
      </c>
      <c r="U885" s="8" t="n">
        <f aca="false">IF(AND(K885&lt;=I885,R885=0),1,0)</f>
        <v>1</v>
      </c>
      <c r="V885" s="10" t="n">
        <f aca="false">IF(Q885="No",P885,0)</f>
        <v>0</v>
      </c>
    </row>
    <row r="886" customFormat="false" ht="15" hidden="false" customHeight="false" outlineLevel="0" collapsed="false">
      <c r="A886" s="5" t="s">
        <v>1020</v>
      </c>
      <c r="B886" s="5" t="s">
        <v>82</v>
      </c>
      <c r="C886" s="7" t="n">
        <v>45304</v>
      </c>
      <c r="D886" s="8" t="str">
        <f aca="false">INDEX(Dim_Supplier!$C$2:$C$21,MATCH(B886,Dim_Supplier!$A$2:$A$21,0))</f>
        <v>Logistics</v>
      </c>
      <c r="E886" s="8" t="str">
        <f aca="false">INDEX(Dim_Supplier!$B$2:$B$21,MATCH(B886,Dim_Supplier!$A$2:$A$21,0))</f>
        <v>Maple Route Logistics</v>
      </c>
      <c r="F886" s="5" t="s">
        <v>124</v>
      </c>
      <c r="G886" s="5" t="s">
        <v>129</v>
      </c>
      <c r="H886" s="8" t="n">
        <f aca="false">INDEX(Lookup_Tables!$B$2:$B$5,MATCH(D886,Lookup_Tables!$A$2:$A$5,0))</f>
        <v>5</v>
      </c>
      <c r="I886" s="9" t="n">
        <f aca="false">C886+H886</f>
        <v>45309</v>
      </c>
      <c r="J886" s="5" t="n">
        <v>-4</v>
      </c>
      <c r="K886" s="9" t="n">
        <f aca="false">I886+J886</f>
        <v>45305</v>
      </c>
      <c r="L886" s="5" t="n">
        <v>26</v>
      </c>
      <c r="M886" s="10" t="n">
        <f aca="false">INDEX(Dim_Supplier!$F$2:$F$21,MATCH(B886,Dim_Supplier!$A$2:$A$21,0))</f>
        <v>285</v>
      </c>
      <c r="N886" s="11" t="n">
        <v>-0.0051</v>
      </c>
      <c r="O886" s="10" t="n">
        <f aca="false">M886*(1+N886)</f>
        <v>283.5465</v>
      </c>
      <c r="P886" s="10" t="n">
        <f aca="false">O886*L886</f>
        <v>7372.209</v>
      </c>
      <c r="Q886" s="5" t="s">
        <v>113</v>
      </c>
      <c r="R886" s="5" t="n">
        <v>0</v>
      </c>
      <c r="S886" s="5" t="n">
        <v>30</v>
      </c>
      <c r="T886" s="12" t="n">
        <f aca="false">(O886-M886)/M886</f>
        <v>-0.00510000000000007</v>
      </c>
      <c r="U886" s="8" t="n">
        <f aca="false">IF(AND(K886&lt;=I886,R886=0),1,0)</f>
        <v>1</v>
      </c>
      <c r="V886" s="10" t="n">
        <f aca="false">IF(Q886="No",P886,0)</f>
        <v>0</v>
      </c>
    </row>
    <row r="887" customFormat="false" ht="15" hidden="false" customHeight="false" outlineLevel="0" collapsed="false">
      <c r="A887" s="5" t="s">
        <v>1021</v>
      </c>
      <c r="B887" s="5" t="s">
        <v>86</v>
      </c>
      <c r="C887" s="7" t="n">
        <v>46189</v>
      </c>
      <c r="D887" s="8" t="str">
        <f aca="false">INDEX(Dim_Supplier!$C$2:$C$21,MATCH(B887,Dim_Supplier!$A$2:$A$21,0))</f>
        <v>Logistics</v>
      </c>
      <c r="E887" s="8" t="str">
        <f aca="false">INDEX(Dim_Supplier!$B$2:$B$21,MATCH(B887,Dim_Supplier!$A$2:$A$21,0))</f>
        <v>Blue Water Customs Brokerage</v>
      </c>
      <c r="F887" s="5" t="s">
        <v>237</v>
      </c>
      <c r="G887" s="5" t="s">
        <v>112</v>
      </c>
      <c r="H887" s="8" t="n">
        <f aca="false">INDEX(Lookup_Tables!$B$2:$B$5,MATCH(D887,Lookup_Tables!$A$2:$A$5,0))</f>
        <v>5</v>
      </c>
      <c r="I887" s="9" t="n">
        <f aca="false">C887+H887</f>
        <v>46194</v>
      </c>
      <c r="J887" s="5" t="n">
        <v>-1</v>
      </c>
      <c r="K887" s="9" t="n">
        <f aca="false">I887+J887</f>
        <v>46193</v>
      </c>
      <c r="L887" s="5" t="n">
        <v>20</v>
      </c>
      <c r="M887" s="10" t="n">
        <f aca="false">INDEX(Dim_Supplier!$F$2:$F$21,MATCH(B887,Dim_Supplier!$A$2:$A$21,0))</f>
        <v>175</v>
      </c>
      <c r="N887" s="11" t="n">
        <v>-0.0034</v>
      </c>
      <c r="O887" s="10" t="n">
        <f aca="false">M887*(1+N887)</f>
        <v>174.405</v>
      </c>
      <c r="P887" s="10" t="n">
        <f aca="false">O887*L887</f>
        <v>3488.1</v>
      </c>
      <c r="Q887" s="5" t="s">
        <v>113</v>
      </c>
      <c r="R887" s="5" t="n">
        <v>0</v>
      </c>
      <c r="S887" s="5" t="n">
        <v>60</v>
      </c>
      <c r="T887" s="12" t="n">
        <f aca="false">(O887-M887)/M887</f>
        <v>-0.00339999999999999</v>
      </c>
      <c r="U887" s="8" t="n">
        <f aca="false">IF(AND(K887&lt;=I887,R887=0),1,0)</f>
        <v>1</v>
      </c>
      <c r="V887" s="10" t="n">
        <f aca="false">IF(Q887="No",P887,0)</f>
        <v>0</v>
      </c>
    </row>
    <row r="888" customFormat="false" ht="15" hidden="false" customHeight="false" outlineLevel="0" collapsed="false">
      <c r="A888" s="5" t="s">
        <v>1022</v>
      </c>
      <c r="B888" s="5" t="s">
        <v>68</v>
      </c>
      <c r="C888" s="7" t="n">
        <v>46043</v>
      </c>
      <c r="D888" s="8" t="str">
        <f aca="false">INDEX(Dim_Supplier!$C$2:$C$21,MATCH(B888,Dim_Supplier!$A$2:$A$21,0))</f>
        <v>MRO</v>
      </c>
      <c r="E888" s="8" t="str">
        <f aca="false">INDEX(Dim_Supplier!$B$2:$B$21,MATCH(B888,Dim_Supplier!$A$2:$A$21,0))</f>
        <v>Precision Tool &amp; Supply</v>
      </c>
      <c r="F888" s="5" t="s">
        <v>179</v>
      </c>
      <c r="G888" s="5" t="s">
        <v>129</v>
      </c>
      <c r="H888" s="8" t="n">
        <f aca="false">INDEX(Lookup_Tables!$B$2:$B$5,MATCH(D888,Lookup_Tables!$A$2:$A$5,0))</f>
        <v>10</v>
      </c>
      <c r="I888" s="9" t="n">
        <f aca="false">C888+H888</f>
        <v>46053</v>
      </c>
      <c r="J888" s="5" t="n">
        <v>-1</v>
      </c>
      <c r="K888" s="9" t="n">
        <f aca="false">I888+J888</f>
        <v>46052</v>
      </c>
      <c r="L888" s="5" t="n">
        <v>93</v>
      </c>
      <c r="M888" s="10" t="n">
        <f aca="false">INDEX(Dim_Supplier!$F$2:$F$21,MATCH(B888,Dim_Supplier!$A$2:$A$21,0))</f>
        <v>22.4</v>
      </c>
      <c r="N888" s="11" t="n">
        <v>0.0265</v>
      </c>
      <c r="O888" s="10" t="n">
        <f aca="false">M888*(1+N888)</f>
        <v>22.9936</v>
      </c>
      <c r="P888" s="10" t="n">
        <f aca="false">O888*L888</f>
        <v>2138.4048</v>
      </c>
      <c r="Q888" s="5" t="s">
        <v>113</v>
      </c>
      <c r="R888" s="5" t="n">
        <v>0</v>
      </c>
      <c r="S888" s="5" t="n">
        <v>30</v>
      </c>
      <c r="T888" s="12" t="n">
        <f aca="false">(O888-M888)/M888</f>
        <v>0.0264999999999999</v>
      </c>
      <c r="U888" s="8" t="n">
        <f aca="false">IF(AND(K888&lt;=I888,R888=0),1,0)</f>
        <v>1</v>
      </c>
      <c r="V888" s="10" t="n">
        <f aca="false">IF(Q888="No",P888,0)</f>
        <v>0</v>
      </c>
    </row>
    <row r="889" customFormat="false" ht="15" hidden="false" customHeight="false" outlineLevel="0" collapsed="false">
      <c r="A889" s="5" t="s">
        <v>1023</v>
      </c>
      <c r="B889" s="5" t="s">
        <v>77</v>
      </c>
      <c r="C889" s="7" t="n">
        <v>46007</v>
      </c>
      <c r="D889" s="8" t="str">
        <f aca="false">INDEX(Dim_Supplier!$C$2:$C$21,MATCH(B889,Dim_Supplier!$A$2:$A$21,0))</f>
        <v>MRO</v>
      </c>
      <c r="E889" s="8" t="str">
        <f aca="false">INDEX(Dim_Supplier!$B$2:$B$21,MATCH(B889,Dim_Supplier!$A$2:$A$21,0))</f>
        <v>Apex Industrial Supply</v>
      </c>
      <c r="F889" s="5" t="s">
        <v>111</v>
      </c>
      <c r="G889" s="5" t="s">
        <v>129</v>
      </c>
      <c r="H889" s="8" t="n">
        <f aca="false">INDEX(Lookup_Tables!$B$2:$B$5,MATCH(D889,Lookup_Tables!$A$2:$A$5,0))</f>
        <v>10</v>
      </c>
      <c r="I889" s="9" t="n">
        <f aca="false">C889+H889</f>
        <v>46017</v>
      </c>
      <c r="J889" s="5" t="n">
        <v>3</v>
      </c>
      <c r="K889" s="9" t="n">
        <f aca="false">I889+J889</f>
        <v>46020</v>
      </c>
      <c r="L889" s="5" t="n">
        <v>5</v>
      </c>
      <c r="M889" s="10" t="n">
        <f aca="false">INDEX(Dim_Supplier!$F$2:$F$21,MATCH(B889,Dim_Supplier!$A$2:$A$21,0))</f>
        <v>24.6</v>
      </c>
      <c r="N889" s="11" t="n">
        <v>0.047</v>
      </c>
      <c r="O889" s="10" t="n">
        <f aca="false">M889*(1+N889)</f>
        <v>25.7562</v>
      </c>
      <c r="P889" s="10" t="n">
        <f aca="false">O889*L889</f>
        <v>128.781</v>
      </c>
      <c r="Q889" s="5" t="s">
        <v>113</v>
      </c>
      <c r="R889" s="5" t="n">
        <v>0</v>
      </c>
      <c r="S889" s="5" t="n">
        <v>30</v>
      </c>
      <c r="T889" s="12" t="n">
        <f aca="false">(O889-M889)/M889</f>
        <v>0.0469999999999999</v>
      </c>
      <c r="U889" s="8" t="n">
        <f aca="false">IF(AND(K889&lt;=I889,R889=0),1,0)</f>
        <v>0</v>
      </c>
      <c r="V889" s="10" t="n">
        <f aca="false">IF(Q889="No",P889,0)</f>
        <v>0</v>
      </c>
    </row>
    <row r="890" customFormat="false" ht="15" hidden="false" customHeight="false" outlineLevel="0" collapsed="false">
      <c r="A890" s="5" t="s">
        <v>1024</v>
      </c>
      <c r="B890" s="5" t="s">
        <v>62</v>
      </c>
      <c r="C890" s="7" t="n">
        <v>45587</v>
      </c>
      <c r="D890" s="8" t="str">
        <f aca="false">INDEX(Dim_Supplier!$C$2:$C$21,MATCH(B890,Dim_Supplier!$A$2:$A$21,0))</f>
        <v>Packaging</v>
      </c>
      <c r="E890" s="8" t="str">
        <f aca="false">INDEX(Dim_Supplier!$B$2:$B$21,MATCH(B890,Dim_Supplier!$A$2:$A$21,0))</f>
        <v>Trillium Packaging Solutions</v>
      </c>
      <c r="F890" s="5" t="s">
        <v>137</v>
      </c>
      <c r="G890" s="5" t="s">
        <v>112</v>
      </c>
      <c r="H890" s="8" t="n">
        <f aca="false">INDEX(Lookup_Tables!$B$2:$B$5,MATCH(D890,Lookup_Tables!$A$2:$A$5,0))</f>
        <v>14</v>
      </c>
      <c r="I890" s="9" t="n">
        <f aca="false">C890+H890</f>
        <v>45601</v>
      </c>
      <c r="J890" s="5" t="n">
        <v>-2</v>
      </c>
      <c r="K890" s="9" t="n">
        <f aca="false">I890+J890</f>
        <v>45599</v>
      </c>
      <c r="L890" s="5" t="n">
        <v>1600</v>
      </c>
      <c r="M890" s="10" t="n">
        <f aca="false">INDEX(Dim_Supplier!$F$2:$F$21,MATCH(B890,Dim_Supplier!$A$2:$A$21,0))</f>
        <v>5.6</v>
      </c>
      <c r="N890" s="11" t="n">
        <v>0.0315</v>
      </c>
      <c r="O890" s="10" t="n">
        <f aca="false">M890*(1+N890)</f>
        <v>5.7764</v>
      </c>
      <c r="P890" s="10" t="n">
        <f aca="false">O890*L890</f>
        <v>9242.24</v>
      </c>
      <c r="Q890" s="5" t="s">
        <v>113</v>
      </c>
      <c r="R890" s="5" t="n">
        <v>0</v>
      </c>
      <c r="S890" s="5" t="n">
        <v>60</v>
      </c>
      <c r="T890" s="12" t="n">
        <f aca="false">(O890-M890)/M890</f>
        <v>0.0315</v>
      </c>
      <c r="U890" s="8" t="n">
        <f aca="false">IF(AND(K890&lt;=I890,R890=0),1,0)</f>
        <v>1</v>
      </c>
      <c r="V890" s="10" t="n">
        <f aca="false">IF(Q890="No",P890,0)</f>
        <v>0</v>
      </c>
    </row>
    <row r="891" customFormat="false" ht="15" hidden="false" customHeight="false" outlineLevel="0" collapsed="false">
      <c r="A891" s="5" t="s">
        <v>1025</v>
      </c>
      <c r="B891" s="5" t="s">
        <v>62</v>
      </c>
      <c r="C891" s="7" t="n">
        <v>46125</v>
      </c>
      <c r="D891" s="8" t="str">
        <f aca="false">INDEX(Dim_Supplier!$C$2:$C$21,MATCH(B891,Dim_Supplier!$A$2:$A$21,0))</f>
        <v>Packaging</v>
      </c>
      <c r="E891" s="8" t="str">
        <f aca="false">INDEX(Dim_Supplier!$B$2:$B$21,MATCH(B891,Dim_Supplier!$A$2:$A$21,0))</f>
        <v>Trillium Packaging Solutions</v>
      </c>
      <c r="F891" s="5" t="s">
        <v>158</v>
      </c>
      <c r="G891" s="5" t="s">
        <v>112</v>
      </c>
      <c r="H891" s="8" t="n">
        <f aca="false">INDEX(Lookup_Tables!$B$2:$B$5,MATCH(D891,Lookup_Tables!$A$2:$A$5,0))</f>
        <v>14</v>
      </c>
      <c r="I891" s="9" t="n">
        <f aca="false">C891+H891</f>
        <v>46139</v>
      </c>
      <c r="J891" s="5" t="n">
        <v>-2</v>
      </c>
      <c r="K891" s="9" t="n">
        <f aca="false">I891+J891</f>
        <v>46137</v>
      </c>
      <c r="L891" s="5" t="n">
        <v>2071</v>
      </c>
      <c r="M891" s="10" t="n">
        <f aca="false">INDEX(Dim_Supplier!$F$2:$F$21,MATCH(B891,Dim_Supplier!$A$2:$A$21,0))</f>
        <v>5.6</v>
      </c>
      <c r="N891" s="11" t="n">
        <v>0.0517</v>
      </c>
      <c r="O891" s="10" t="n">
        <f aca="false">M891*(1+N891)</f>
        <v>5.88952</v>
      </c>
      <c r="P891" s="10" t="n">
        <f aca="false">O891*L891</f>
        <v>12197.19592</v>
      </c>
      <c r="Q891" s="5" t="s">
        <v>113</v>
      </c>
      <c r="R891" s="5" t="n">
        <v>0</v>
      </c>
      <c r="S891" s="5" t="n">
        <v>30</v>
      </c>
      <c r="T891" s="12" t="n">
        <f aca="false">(O891-M891)/M891</f>
        <v>0.0517000000000001</v>
      </c>
      <c r="U891" s="8" t="n">
        <f aca="false">IF(AND(K891&lt;=I891,R891=0),1,0)</f>
        <v>1</v>
      </c>
      <c r="V891" s="10" t="n">
        <f aca="false">IF(Q891="No",P891,0)</f>
        <v>0</v>
      </c>
    </row>
    <row r="892" customFormat="false" ht="15" hidden="false" customHeight="false" outlineLevel="0" collapsed="false">
      <c r="A892" s="5" t="s">
        <v>1026</v>
      </c>
      <c r="B892" s="5" t="s">
        <v>71</v>
      </c>
      <c r="C892" s="7" t="n">
        <v>45931</v>
      </c>
      <c r="D892" s="8" t="str">
        <f aca="false">INDEX(Dim_Supplier!$C$2:$C$21,MATCH(B892,Dim_Supplier!$A$2:$A$21,0))</f>
        <v>MRO</v>
      </c>
      <c r="E892" s="8" t="str">
        <f aca="false">INDEX(Dim_Supplier!$B$2:$B$21,MATCH(B892,Dim_Supplier!$A$2:$A$21,0))</f>
        <v>CanSafe Equipment Ltd.</v>
      </c>
      <c r="F892" s="5" t="s">
        <v>127</v>
      </c>
      <c r="G892" s="5" t="s">
        <v>112</v>
      </c>
      <c r="H892" s="8" t="n">
        <f aca="false">INDEX(Lookup_Tables!$B$2:$B$5,MATCH(D892,Lookup_Tables!$A$2:$A$5,0))</f>
        <v>10</v>
      </c>
      <c r="I892" s="9" t="n">
        <f aca="false">C892+H892</f>
        <v>45941</v>
      </c>
      <c r="J892" s="5" t="n">
        <v>0</v>
      </c>
      <c r="K892" s="9" t="n">
        <f aca="false">I892+J892</f>
        <v>45941</v>
      </c>
      <c r="L892" s="5" t="n">
        <v>36</v>
      </c>
      <c r="M892" s="10" t="n">
        <f aca="false">INDEX(Dim_Supplier!$F$2:$F$21,MATCH(B892,Dim_Supplier!$A$2:$A$21,0))</f>
        <v>18.75</v>
      </c>
      <c r="N892" s="11" t="n">
        <v>0.0341</v>
      </c>
      <c r="O892" s="10" t="n">
        <f aca="false">M892*(1+N892)</f>
        <v>19.389375</v>
      </c>
      <c r="P892" s="10" t="n">
        <f aca="false">O892*L892</f>
        <v>698.0175</v>
      </c>
      <c r="Q892" s="5" t="s">
        <v>113</v>
      </c>
      <c r="R892" s="5" t="n">
        <v>0</v>
      </c>
      <c r="S892" s="5" t="n">
        <v>45</v>
      </c>
      <c r="T892" s="12" t="n">
        <f aca="false">(O892-M892)/M892</f>
        <v>0.0341000000000001</v>
      </c>
      <c r="U892" s="8" t="n">
        <f aca="false">IF(AND(K892&lt;=I892,R892=0),1,0)</f>
        <v>1</v>
      </c>
      <c r="V892" s="10" t="n">
        <f aca="false">IF(Q892="No",P892,0)</f>
        <v>0</v>
      </c>
    </row>
    <row r="893" customFormat="false" ht="15" hidden="false" customHeight="false" outlineLevel="0" collapsed="false">
      <c r="A893" s="5" t="s">
        <v>1027</v>
      </c>
      <c r="B893" s="5" t="s">
        <v>64</v>
      </c>
      <c r="C893" s="7" t="n">
        <v>45980</v>
      </c>
      <c r="D893" s="8" t="str">
        <f aca="false">INDEX(Dim_Supplier!$C$2:$C$21,MATCH(B893,Dim_Supplier!$A$2:$A$21,0))</f>
        <v>Packaging</v>
      </c>
      <c r="E893" s="8" t="str">
        <f aca="false">INDEX(Dim_Supplier!$B$2:$B$21,MATCH(B893,Dim_Supplier!$A$2:$A$21,0))</f>
        <v>Huron Pallet Works</v>
      </c>
      <c r="F893" s="5" t="s">
        <v>117</v>
      </c>
      <c r="G893" s="5" t="s">
        <v>129</v>
      </c>
      <c r="H893" s="8" t="n">
        <f aca="false">INDEX(Lookup_Tables!$B$2:$B$5,MATCH(D893,Lookup_Tables!$A$2:$A$5,0))</f>
        <v>14</v>
      </c>
      <c r="I893" s="9" t="n">
        <f aca="false">C893+H893</f>
        <v>45994</v>
      </c>
      <c r="J893" s="5" t="n">
        <v>8</v>
      </c>
      <c r="K893" s="9" t="n">
        <f aca="false">I893+J893</f>
        <v>46002</v>
      </c>
      <c r="L893" s="5" t="n">
        <v>559</v>
      </c>
      <c r="M893" s="10" t="n">
        <f aca="false">INDEX(Dim_Supplier!$F$2:$F$21,MATCH(B893,Dim_Supplier!$A$2:$A$21,0))</f>
        <v>2.25</v>
      </c>
      <c r="N893" s="11" t="n">
        <v>0.1525</v>
      </c>
      <c r="O893" s="10" t="n">
        <f aca="false">M893*(1+N893)</f>
        <v>2.593125</v>
      </c>
      <c r="P893" s="10" t="n">
        <f aca="false">O893*L893</f>
        <v>1449.556875</v>
      </c>
      <c r="Q893" s="5" t="s">
        <v>133</v>
      </c>
      <c r="R893" s="5" t="n">
        <v>0</v>
      </c>
      <c r="S893" s="5" t="n">
        <v>30</v>
      </c>
      <c r="T893" s="12" t="n">
        <f aca="false">(O893-M893)/M893</f>
        <v>0.1525</v>
      </c>
      <c r="U893" s="8" t="n">
        <f aca="false">IF(AND(K893&lt;=I893,R893=0),1,0)</f>
        <v>0</v>
      </c>
      <c r="V893" s="10" t="n">
        <f aca="false">IF(Q893="No",P893,0)</f>
        <v>1449.556875</v>
      </c>
    </row>
    <row r="894" customFormat="false" ht="15" hidden="false" customHeight="false" outlineLevel="0" collapsed="false">
      <c r="A894" s="5" t="s">
        <v>1028</v>
      </c>
      <c r="B894" s="5" t="s">
        <v>52</v>
      </c>
      <c r="C894" s="7" t="n">
        <v>46102</v>
      </c>
      <c r="D894" s="8" t="str">
        <f aca="false">INDEX(Dim_Supplier!$C$2:$C$21,MATCH(B894,Dim_Supplier!$A$2:$A$21,0))</f>
        <v>Raw Materials</v>
      </c>
      <c r="E894" s="8" t="str">
        <f aca="false">INDEX(Dim_Supplier!$B$2:$B$21,MATCH(B894,Dim_Supplier!$A$2:$A$21,0))</f>
        <v>Laurentian Metals Inc.</v>
      </c>
      <c r="F894" s="5" t="s">
        <v>148</v>
      </c>
      <c r="G894" s="5" t="s">
        <v>125</v>
      </c>
      <c r="H894" s="8" t="n">
        <f aca="false">INDEX(Lookup_Tables!$B$2:$B$5,MATCH(D894,Lookup_Tables!$A$2:$A$5,0))</f>
        <v>21</v>
      </c>
      <c r="I894" s="9" t="n">
        <f aca="false">C894+H894</f>
        <v>46123</v>
      </c>
      <c r="J894" s="5" t="n">
        <v>-4</v>
      </c>
      <c r="K894" s="9" t="n">
        <f aca="false">I894+J894</f>
        <v>46119</v>
      </c>
      <c r="L894" s="5" t="n">
        <v>1659</v>
      </c>
      <c r="M894" s="10" t="n">
        <f aca="false">INDEX(Dim_Supplier!$F$2:$F$21,MATCH(B894,Dim_Supplier!$A$2:$A$21,0))</f>
        <v>61.2</v>
      </c>
      <c r="N894" s="11" t="n">
        <v>-0.0155</v>
      </c>
      <c r="O894" s="10" t="n">
        <f aca="false">M894*(1+N894)</f>
        <v>60.2514</v>
      </c>
      <c r="P894" s="10" t="n">
        <f aca="false">O894*L894</f>
        <v>99957.0726</v>
      </c>
      <c r="Q894" s="5" t="s">
        <v>113</v>
      </c>
      <c r="R894" s="5" t="n">
        <v>0</v>
      </c>
      <c r="S894" s="5" t="n">
        <v>45</v>
      </c>
      <c r="T894" s="12" t="n">
        <f aca="false">(O894-M894)/M894</f>
        <v>-0.0155</v>
      </c>
      <c r="U894" s="8" t="n">
        <f aca="false">IF(AND(K894&lt;=I894,R894=0),1,0)</f>
        <v>1</v>
      </c>
      <c r="V894" s="10" t="n">
        <f aca="false">IF(Q894="No",P894,0)</f>
        <v>0</v>
      </c>
    </row>
    <row r="895" customFormat="false" ht="15" hidden="false" customHeight="false" outlineLevel="0" collapsed="false">
      <c r="A895" s="5" t="s">
        <v>1029</v>
      </c>
      <c r="B895" s="5" t="s">
        <v>71</v>
      </c>
      <c r="C895" s="7" t="n">
        <v>45636</v>
      </c>
      <c r="D895" s="8" t="str">
        <f aca="false">INDEX(Dim_Supplier!$C$2:$C$21,MATCH(B895,Dim_Supplier!$A$2:$A$21,0))</f>
        <v>MRO</v>
      </c>
      <c r="E895" s="8" t="str">
        <f aca="false">INDEX(Dim_Supplier!$B$2:$B$21,MATCH(B895,Dim_Supplier!$A$2:$A$21,0))</f>
        <v>CanSafe Equipment Ltd.</v>
      </c>
      <c r="F895" s="5" t="s">
        <v>111</v>
      </c>
      <c r="G895" s="5" t="s">
        <v>120</v>
      </c>
      <c r="H895" s="8" t="n">
        <f aca="false">INDEX(Lookup_Tables!$B$2:$B$5,MATCH(D895,Lookup_Tables!$A$2:$A$5,0))</f>
        <v>10</v>
      </c>
      <c r="I895" s="9" t="n">
        <f aca="false">C895+H895</f>
        <v>45646</v>
      </c>
      <c r="J895" s="5" t="n">
        <v>3</v>
      </c>
      <c r="K895" s="9" t="n">
        <f aca="false">I895+J895</f>
        <v>45649</v>
      </c>
      <c r="L895" s="5" t="n">
        <v>97</v>
      </c>
      <c r="M895" s="10" t="n">
        <f aca="false">INDEX(Dim_Supplier!$F$2:$F$21,MATCH(B895,Dim_Supplier!$A$2:$A$21,0))</f>
        <v>18.75</v>
      </c>
      <c r="N895" s="11" t="n">
        <v>0.0299</v>
      </c>
      <c r="O895" s="10" t="n">
        <f aca="false">M895*(1+N895)</f>
        <v>19.310625</v>
      </c>
      <c r="P895" s="10" t="n">
        <f aca="false">O895*L895</f>
        <v>1873.130625</v>
      </c>
      <c r="Q895" s="5" t="s">
        <v>113</v>
      </c>
      <c r="R895" s="5" t="n">
        <v>0</v>
      </c>
      <c r="S895" s="5" t="n">
        <v>30</v>
      </c>
      <c r="T895" s="12" t="n">
        <f aca="false">(O895-M895)/M895</f>
        <v>0.0299000000000001</v>
      </c>
      <c r="U895" s="8" t="n">
        <f aca="false">IF(AND(K895&lt;=I895,R895=0),1,0)</f>
        <v>0</v>
      </c>
      <c r="V895" s="10" t="n">
        <f aca="false">IF(Q895="No",P895,0)</f>
        <v>0</v>
      </c>
    </row>
    <row r="896" customFormat="false" ht="15" hidden="false" customHeight="false" outlineLevel="0" collapsed="false">
      <c r="A896" s="5" t="s">
        <v>1030</v>
      </c>
      <c r="B896" s="5" t="s">
        <v>57</v>
      </c>
      <c r="C896" s="7" t="n">
        <v>45630</v>
      </c>
      <c r="D896" s="8" t="str">
        <f aca="false">INDEX(Dim_Supplier!$C$2:$C$21,MATCH(B896,Dim_Supplier!$A$2:$A$21,0))</f>
        <v>Packaging</v>
      </c>
      <c r="E896" s="8" t="str">
        <f aca="false">INDEX(Dim_Supplier!$B$2:$B$21,MATCH(B896,Dim_Supplier!$A$2:$A$21,0))</f>
        <v>Great Lakes Packaging Co.</v>
      </c>
      <c r="F896" s="5" t="s">
        <v>117</v>
      </c>
      <c r="G896" s="5" t="s">
        <v>129</v>
      </c>
      <c r="H896" s="8" t="n">
        <f aca="false">INDEX(Lookup_Tables!$B$2:$B$5,MATCH(D896,Lookup_Tables!$A$2:$A$5,0))</f>
        <v>14</v>
      </c>
      <c r="I896" s="9" t="n">
        <f aca="false">C896+H896</f>
        <v>45644</v>
      </c>
      <c r="J896" s="5" t="n">
        <v>-4</v>
      </c>
      <c r="K896" s="9" t="n">
        <f aca="false">I896+J896</f>
        <v>45640</v>
      </c>
      <c r="L896" s="5" t="n">
        <v>1637</v>
      </c>
      <c r="M896" s="10" t="n">
        <f aca="false">INDEX(Dim_Supplier!$F$2:$F$21,MATCH(B896,Dim_Supplier!$A$2:$A$21,0))</f>
        <v>4.35</v>
      </c>
      <c r="N896" s="11" t="n">
        <v>0.0183</v>
      </c>
      <c r="O896" s="10" t="n">
        <f aca="false">M896*(1+N896)</f>
        <v>4.429605</v>
      </c>
      <c r="P896" s="10" t="n">
        <f aca="false">O896*L896</f>
        <v>7251.263385</v>
      </c>
      <c r="Q896" s="5" t="s">
        <v>113</v>
      </c>
      <c r="R896" s="5" t="n">
        <v>0</v>
      </c>
      <c r="S896" s="5" t="n">
        <v>45</v>
      </c>
      <c r="T896" s="12" t="n">
        <f aca="false">(O896-M896)/M896</f>
        <v>0.0183</v>
      </c>
      <c r="U896" s="8" t="n">
        <f aca="false">IF(AND(K896&lt;=I896,R896=0),1,0)</f>
        <v>1</v>
      </c>
      <c r="V896" s="10" t="n">
        <f aca="false">IF(Q896="No",P896,0)</f>
        <v>0</v>
      </c>
    </row>
    <row r="897" customFormat="false" ht="15" hidden="false" customHeight="false" outlineLevel="0" collapsed="false">
      <c r="A897" s="5" t="s">
        <v>1031</v>
      </c>
      <c r="B897" s="5" t="s">
        <v>86</v>
      </c>
      <c r="C897" s="7" t="n">
        <v>46061</v>
      </c>
      <c r="D897" s="8" t="str">
        <f aca="false">INDEX(Dim_Supplier!$C$2:$C$21,MATCH(B897,Dim_Supplier!$A$2:$A$21,0))</f>
        <v>Logistics</v>
      </c>
      <c r="E897" s="8" t="str">
        <f aca="false">INDEX(Dim_Supplier!$B$2:$B$21,MATCH(B897,Dim_Supplier!$A$2:$A$21,0))</f>
        <v>Blue Water Customs Brokerage</v>
      </c>
      <c r="F897" s="5" t="s">
        <v>154</v>
      </c>
      <c r="G897" s="5" t="s">
        <v>120</v>
      </c>
      <c r="H897" s="8" t="n">
        <f aca="false">INDEX(Lookup_Tables!$B$2:$B$5,MATCH(D897,Lookup_Tables!$A$2:$A$5,0))</f>
        <v>5</v>
      </c>
      <c r="I897" s="9" t="n">
        <f aca="false">C897+H897</f>
        <v>46066</v>
      </c>
      <c r="J897" s="5" t="n">
        <v>-4</v>
      </c>
      <c r="K897" s="9" t="n">
        <f aca="false">I897+J897</f>
        <v>46062</v>
      </c>
      <c r="L897" s="5" t="n">
        <v>31</v>
      </c>
      <c r="M897" s="10" t="n">
        <f aca="false">INDEX(Dim_Supplier!$F$2:$F$21,MATCH(B897,Dim_Supplier!$A$2:$A$21,0))</f>
        <v>175</v>
      </c>
      <c r="N897" s="11" t="n">
        <v>0.0191</v>
      </c>
      <c r="O897" s="10" t="n">
        <f aca="false">M897*(1+N897)</f>
        <v>178.3425</v>
      </c>
      <c r="P897" s="10" t="n">
        <f aca="false">O897*L897</f>
        <v>5528.6175</v>
      </c>
      <c r="Q897" s="5" t="s">
        <v>113</v>
      </c>
      <c r="R897" s="5" t="n">
        <v>0</v>
      </c>
      <c r="S897" s="5" t="n">
        <v>30</v>
      </c>
      <c r="T897" s="12" t="n">
        <f aca="false">(O897-M897)/M897</f>
        <v>0.0190999999999998</v>
      </c>
      <c r="U897" s="8" t="n">
        <f aca="false">IF(AND(K897&lt;=I897,R897=0),1,0)</f>
        <v>1</v>
      </c>
      <c r="V897" s="10" t="n">
        <f aca="false">IF(Q897="No",P897,0)</f>
        <v>0</v>
      </c>
    </row>
    <row r="898" customFormat="false" ht="15" hidden="false" customHeight="false" outlineLevel="0" collapsed="false">
      <c r="A898" s="5" t="s">
        <v>1032</v>
      </c>
      <c r="B898" s="5" t="s">
        <v>71</v>
      </c>
      <c r="C898" s="7" t="n">
        <v>46124</v>
      </c>
      <c r="D898" s="8" t="str">
        <f aca="false">INDEX(Dim_Supplier!$C$2:$C$21,MATCH(B898,Dim_Supplier!$A$2:$A$21,0))</f>
        <v>MRO</v>
      </c>
      <c r="E898" s="8" t="str">
        <f aca="false">INDEX(Dim_Supplier!$B$2:$B$21,MATCH(B898,Dim_Supplier!$A$2:$A$21,0))</f>
        <v>CanSafe Equipment Ltd.</v>
      </c>
      <c r="F898" s="5" t="s">
        <v>111</v>
      </c>
      <c r="G898" s="5" t="s">
        <v>129</v>
      </c>
      <c r="H898" s="8" t="n">
        <f aca="false">INDEX(Lookup_Tables!$B$2:$B$5,MATCH(D898,Lookup_Tables!$A$2:$A$5,0))</f>
        <v>10</v>
      </c>
      <c r="I898" s="9" t="n">
        <f aca="false">C898+H898</f>
        <v>46134</v>
      </c>
      <c r="J898" s="5" t="n">
        <v>-4</v>
      </c>
      <c r="K898" s="9" t="n">
        <f aca="false">I898+J898</f>
        <v>46130</v>
      </c>
      <c r="L898" s="5" t="n">
        <v>193</v>
      </c>
      <c r="M898" s="10" t="n">
        <f aca="false">INDEX(Dim_Supplier!$F$2:$F$21,MATCH(B898,Dim_Supplier!$A$2:$A$21,0))</f>
        <v>18.75</v>
      </c>
      <c r="N898" s="11" t="n">
        <v>-0.0003</v>
      </c>
      <c r="O898" s="10" t="n">
        <f aca="false">M898*(1+N898)</f>
        <v>18.744375</v>
      </c>
      <c r="P898" s="10" t="n">
        <f aca="false">O898*L898</f>
        <v>3617.664375</v>
      </c>
      <c r="Q898" s="5" t="s">
        <v>113</v>
      </c>
      <c r="R898" s="5" t="n">
        <v>0</v>
      </c>
      <c r="S898" s="5" t="n">
        <v>45</v>
      </c>
      <c r="T898" s="12" t="n">
        <f aca="false">(O898-M898)/M898</f>
        <v>-0.000299999999999917</v>
      </c>
      <c r="U898" s="8" t="n">
        <f aca="false">IF(AND(K898&lt;=I898,R898=0),1,0)</f>
        <v>1</v>
      </c>
      <c r="V898" s="10" t="n">
        <f aca="false">IF(Q898="No",P898,0)</f>
        <v>0</v>
      </c>
    </row>
    <row r="899" customFormat="false" ht="15" hidden="false" customHeight="false" outlineLevel="0" collapsed="false">
      <c r="A899" s="5" t="s">
        <v>1033</v>
      </c>
      <c r="B899" s="5" t="s">
        <v>60</v>
      </c>
      <c r="C899" s="7" t="n">
        <v>45919</v>
      </c>
      <c r="D899" s="8" t="str">
        <f aca="false">INDEX(Dim_Supplier!$C$2:$C$21,MATCH(B899,Dim_Supplier!$A$2:$A$21,0))</f>
        <v>Packaging</v>
      </c>
      <c r="E899" s="8" t="str">
        <f aca="false">INDEX(Dim_Supplier!$B$2:$B$21,MATCH(B899,Dim_Supplier!$A$2:$A$21,0))</f>
        <v>Maple Leaf Box &amp; Crate</v>
      </c>
      <c r="F899" s="5" t="s">
        <v>117</v>
      </c>
      <c r="G899" s="5" t="s">
        <v>120</v>
      </c>
      <c r="H899" s="8" t="n">
        <f aca="false">INDEX(Lookup_Tables!$B$2:$B$5,MATCH(D899,Lookup_Tables!$A$2:$A$5,0))</f>
        <v>14</v>
      </c>
      <c r="I899" s="9" t="n">
        <f aca="false">C899+H899</f>
        <v>45933</v>
      </c>
      <c r="J899" s="5" t="n">
        <v>-4</v>
      </c>
      <c r="K899" s="9" t="n">
        <f aca="false">I899+J899</f>
        <v>45929</v>
      </c>
      <c r="L899" s="5" t="n">
        <v>4400</v>
      </c>
      <c r="M899" s="10" t="n">
        <f aca="false">INDEX(Dim_Supplier!$F$2:$F$21,MATCH(B899,Dim_Supplier!$A$2:$A$21,0))</f>
        <v>3.1</v>
      </c>
      <c r="N899" s="11" t="n">
        <v>0.0603</v>
      </c>
      <c r="O899" s="10" t="n">
        <f aca="false">M899*(1+N899)</f>
        <v>3.28693</v>
      </c>
      <c r="P899" s="10" t="n">
        <f aca="false">O899*L899</f>
        <v>14462.492</v>
      </c>
      <c r="Q899" s="5" t="s">
        <v>133</v>
      </c>
      <c r="R899" s="5" t="n">
        <v>0</v>
      </c>
      <c r="S899" s="5" t="n">
        <v>60</v>
      </c>
      <c r="T899" s="12" t="n">
        <f aca="false">(O899-M899)/M899</f>
        <v>0.0603000000000001</v>
      </c>
      <c r="U899" s="8" t="n">
        <f aca="false">IF(AND(K899&lt;=I899,R899=0),1,0)</f>
        <v>1</v>
      </c>
      <c r="V899" s="10" t="n">
        <f aca="false">IF(Q899="No",P899,0)</f>
        <v>14462.492</v>
      </c>
    </row>
    <row r="900" customFormat="false" ht="15" hidden="false" customHeight="false" outlineLevel="0" collapsed="false">
      <c r="A900" s="5" t="s">
        <v>1034</v>
      </c>
      <c r="B900" s="5" t="s">
        <v>77</v>
      </c>
      <c r="C900" s="7" t="n">
        <v>45592</v>
      </c>
      <c r="D900" s="8" t="str">
        <f aca="false">INDEX(Dim_Supplier!$C$2:$C$21,MATCH(B900,Dim_Supplier!$A$2:$A$21,0))</f>
        <v>MRO</v>
      </c>
      <c r="E900" s="8" t="str">
        <f aca="false">INDEX(Dim_Supplier!$B$2:$B$21,MATCH(B900,Dim_Supplier!$A$2:$A$21,0))</f>
        <v>Apex Industrial Supply</v>
      </c>
      <c r="F900" s="5" t="s">
        <v>132</v>
      </c>
      <c r="G900" s="5" t="s">
        <v>112</v>
      </c>
      <c r="H900" s="8" t="n">
        <f aca="false">INDEX(Lookup_Tables!$B$2:$B$5,MATCH(D900,Lookup_Tables!$A$2:$A$5,0))</f>
        <v>10</v>
      </c>
      <c r="I900" s="9" t="n">
        <f aca="false">C900+H900</f>
        <v>45602</v>
      </c>
      <c r="J900" s="5" t="n">
        <v>-2</v>
      </c>
      <c r="K900" s="9" t="n">
        <f aca="false">I900+J900</f>
        <v>45600</v>
      </c>
      <c r="L900" s="5" t="n">
        <v>151</v>
      </c>
      <c r="M900" s="10" t="n">
        <f aca="false">INDEX(Dim_Supplier!$F$2:$F$21,MATCH(B900,Dim_Supplier!$A$2:$A$21,0))</f>
        <v>24.6</v>
      </c>
      <c r="N900" s="11" t="n">
        <v>0.0108</v>
      </c>
      <c r="O900" s="10" t="n">
        <f aca="false">M900*(1+N900)</f>
        <v>24.86568</v>
      </c>
      <c r="P900" s="10" t="n">
        <f aca="false">O900*L900</f>
        <v>3754.71768</v>
      </c>
      <c r="Q900" s="5" t="s">
        <v>113</v>
      </c>
      <c r="R900" s="5" t="n">
        <v>0</v>
      </c>
      <c r="S900" s="5" t="n">
        <v>30</v>
      </c>
      <c r="T900" s="12" t="n">
        <f aca="false">(O900-M900)/M900</f>
        <v>0.0108</v>
      </c>
      <c r="U900" s="8" t="n">
        <f aca="false">IF(AND(K900&lt;=I900,R900=0),1,0)</f>
        <v>1</v>
      </c>
      <c r="V900" s="10" t="n">
        <f aca="false">IF(Q900="No",P900,0)</f>
        <v>0</v>
      </c>
    </row>
    <row r="901" customFormat="false" ht="15" hidden="false" customHeight="false" outlineLevel="0" collapsed="false">
      <c r="A901" s="5" t="s">
        <v>1035</v>
      </c>
      <c r="B901" s="5" t="s">
        <v>66</v>
      </c>
      <c r="C901" s="7" t="n">
        <v>45381</v>
      </c>
      <c r="D901" s="8" t="str">
        <f aca="false">INDEX(Dim_Supplier!$C$2:$C$21,MATCH(B901,Dim_Supplier!$A$2:$A$21,0))</f>
        <v>Packaging</v>
      </c>
      <c r="E901" s="8" t="str">
        <f aca="false">INDEX(Dim_Supplier!$B$2:$B$21,MATCH(B901,Dim_Supplier!$A$2:$A$21,0))</f>
        <v>EverGreen Wrap Industries</v>
      </c>
      <c r="F901" s="5" t="s">
        <v>119</v>
      </c>
      <c r="G901" s="5" t="s">
        <v>125</v>
      </c>
      <c r="H901" s="8" t="n">
        <f aca="false">INDEX(Lookup_Tables!$B$2:$B$5,MATCH(D901,Lookup_Tables!$A$2:$A$5,0))</f>
        <v>14</v>
      </c>
      <c r="I901" s="9" t="n">
        <f aca="false">C901+H901</f>
        <v>45395</v>
      </c>
      <c r="J901" s="5" t="n">
        <v>0</v>
      </c>
      <c r="K901" s="9" t="n">
        <f aca="false">I901+J901</f>
        <v>45395</v>
      </c>
      <c r="L901" s="5" t="n">
        <v>1447</v>
      </c>
      <c r="M901" s="10" t="n">
        <f aca="false">INDEX(Dim_Supplier!$F$2:$F$21,MATCH(B901,Dim_Supplier!$A$2:$A$21,0))</f>
        <v>6.8</v>
      </c>
      <c r="N901" s="11" t="n">
        <v>0.0789</v>
      </c>
      <c r="O901" s="10" t="n">
        <f aca="false">M901*(1+N901)</f>
        <v>7.33652</v>
      </c>
      <c r="P901" s="10" t="n">
        <f aca="false">O901*L901</f>
        <v>10615.94444</v>
      </c>
      <c r="Q901" s="5" t="s">
        <v>113</v>
      </c>
      <c r="R901" s="5" t="n">
        <v>0</v>
      </c>
      <c r="S901" s="5" t="n">
        <v>30</v>
      </c>
      <c r="T901" s="12" t="n">
        <f aca="false">(O901-M901)/M901</f>
        <v>0.0788999999999999</v>
      </c>
      <c r="U901" s="8" t="n">
        <f aca="false">IF(AND(K901&lt;=I901,R901=0),1,0)</f>
        <v>1</v>
      </c>
      <c r="V901" s="10" t="n">
        <f aca="false">IF(Q901="No",P901,0)</f>
        <v>0</v>
      </c>
    </row>
    <row r="902" customFormat="false" ht="15" hidden="false" customHeight="false" outlineLevel="0" collapsed="false">
      <c r="A902" s="5" t="s">
        <v>1036</v>
      </c>
      <c r="B902" s="5" t="s">
        <v>49</v>
      </c>
      <c r="C902" s="7" t="n">
        <v>45967</v>
      </c>
      <c r="D902" s="8" t="str">
        <f aca="false">INDEX(Dim_Supplier!$C$2:$C$21,MATCH(B902,Dim_Supplier!$A$2:$A$21,0))</f>
        <v>Raw Materials</v>
      </c>
      <c r="E902" s="8" t="str">
        <f aca="false">INDEX(Dim_Supplier!$B$2:$B$21,MATCH(B902,Dim_Supplier!$A$2:$A$21,0))</f>
        <v>Great Lakes Polymer Co.</v>
      </c>
      <c r="F902" s="5" t="s">
        <v>148</v>
      </c>
      <c r="G902" s="5" t="s">
        <v>129</v>
      </c>
      <c r="H902" s="8" t="n">
        <f aca="false">INDEX(Lookup_Tables!$B$2:$B$5,MATCH(D902,Lookup_Tables!$A$2:$A$5,0))</f>
        <v>21</v>
      </c>
      <c r="I902" s="9" t="n">
        <f aca="false">C902+H902</f>
        <v>45988</v>
      </c>
      <c r="J902" s="5" t="n">
        <v>1</v>
      </c>
      <c r="K902" s="9" t="n">
        <f aca="false">I902+J902</f>
        <v>45989</v>
      </c>
      <c r="L902" s="5" t="n">
        <v>428</v>
      </c>
      <c r="M902" s="10" t="n">
        <f aca="false">INDEX(Dim_Supplier!$F$2:$F$21,MATCH(B902,Dim_Supplier!$A$2:$A$21,0))</f>
        <v>32.75</v>
      </c>
      <c r="N902" s="11" t="n">
        <v>0.1326</v>
      </c>
      <c r="O902" s="10" t="n">
        <f aca="false">M902*(1+N902)</f>
        <v>37.09265</v>
      </c>
      <c r="P902" s="10" t="n">
        <f aca="false">O902*L902</f>
        <v>15875.6542</v>
      </c>
      <c r="Q902" s="5" t="s">
        <v>133</v>
      </c>
      <c r="R902" s="5" t="n">
        <v>0</v>
      </c>
      <c r="S902" s="5" t="n">
        <v>30</v>
      </c>
      <c r="T902" s="12" t="n">
        <f aca="false">(O902-M902)/M902</f>
        <v>0.1326</v>
      </c>
      <c r="U902" s="8" t="n">
        <f aca="false">IF(AND(K902&lt;=I902,R902=0),1,0)</f>
        <v>0</v>
      </c>
      <c r="V902" s="10" t="n">
        <f aca="false">IF(Q902="No",P902,0)</f>
        <v>15875.6542</v>
      </c>
    </row>
    <row r="903" customFormat="false" ht="15" hidden="false" customHeight="false" outlineLevel="0" collapsed="false">
      <c r="A903" s="5" t="s">
        <v>1037</v>
      </c>
      <c r="B903" s="5" t="s">
        <v>54</v>
      </c>
      <c r="C903" s="7" t="n">
        <v>46028</v>
      </c>
      <c r="D903" s="8" t="str">
        <f aca="false">INDEX(Dim_Supplier!$C$2:$C$21,MATCH(B903,Dim_Supplier!$A$2:$A$21,0))</f>
        <v>Raw Materials</v>
      </c>
      <c r="E903" s="8" t="str">
        <f aca="false">INDEX(Dim_Supplier!$B$2:$B$21,MATCH(B903,Dim_Supplier!$A$2:$A$21,0))</f>
        <v>Northern Resin Solutions</v>
      </c>
      <c r="F903" s="5" t="s">
        <v>139</v>
      </c>
      <c r="G903" s="5" t="s">
        <v>125</v>
      </c>
      <c r="H903" s="8" t="n">
        <f aca="false">INDEX(Lookup_Tables!$B$2:$B$5,MATCH(D903,Lookup_Tables!$A$2:$A$5,0))</f>
        <v>21</v>
      </c>
      <c r="I903" s="9" t="n">
        <f aca="false">C903+H903</f>
        <v>46049</v>
      </c>
      <c r="J903" s="5" t="n">
        <v>2</v>
      </c>
      <c r="K903" s="9" t="n">
        <f aca="false">I903+J903</f>
        <v>46051</v>
      </c>
      <c r="L903" s="5" t="n">
        <v>1462</v>
      </c>
      <c r="M903" s="10" t="n">
        <f aca="false">INDEX(Dim_Supplier!$F$2:$F$21,MATCH(B903,Dim_Supplier!$A$2:$A$21,0))</f>
        <v>38.9</v>
      </c>
      <c r="N903" s="11" t="n">
        <v>0.0411</v>
      </c>
      <c r="O903" s="10" t="n">
        <f aca="false">M903*(1+N903)</f>
        <v>40.49879</v>
      </c>
      <c r="P903" s="10" t="n">
        <f aca="false">O903*L903</f>
        <v>59209.23098</v>
      </c>
      <c r="Q903" s="5" t="s">
        <v>113</v>
      </c>
      <c r="R903" s="5" t="n">
        <v>0</v>
      </c>
      <c r="S903" s="5" t="n">
        <v>45</v>
      </c>
      <c r="T903" s="12" t="n">
        <f aca="false">(O903-M903)/M903</f>
        <v>0.0410999999999998</v>
      </c>
      <c r="U903" s="8" t="n">
        <f aca="false">IF(AND(K903&lt;=I903,R903=0),1,0)</f>
        <v>0</v>
      </c>
      <c r="V903" s="10" t="n">
        <f aca="false">IF(Q903="No",P903,0)</f>
        <v>0</v>
      </c>
    </row>
    <row r="904" customFormat="false" ht="15" hidden="false" customHeight="false" outlineLevel="0" collapsed="false">
      <c r="A904" s="5" t="s">
        <v>1038</v>
      </c>
      <c r="B904" s="5" t="s">
        <v>46</v>
      </c>
      <c r="C904" s="7" t="n">
        <v>46000</v>
      </c>
      <c r="D904" s="8" t="str">
        <f aca="false">INDEX(Dim_Supplier!$C$2:$C$21,MATCH(B904,Dim_Supplier!$A$2:$A$21,0))</f>
        <v>Raw Materials</v>
      </c>
      <c r="E904" s="8" t="str">
        <f aca="false">INDEX(Dim_Supplier!$B$2:$B$21,MATCH(B904,Dim_Supplier!$A$2:$A$21,0))</f>
        <v>Niagara Alloy Supply</v>
      </c>
      <c r="F904" s="5" t="s">
        <v>139</v>
      </c>
      <c r="G904" s="5" t="s">
        <v>112</v>
      </c>
      <c r="H904" s="8" t="n">
        <f aca="false">INDEX(Lookup_Tables!$B$2:$B$5,MATCH(D904,Lookup_Tables!$A$2:$A$5,0))</f>
        <v>21</v>
      </c>
      <c r="I904" s="9" t="n">
        <f aca="false">C904+H904</f>
        <v>46021</v>
      </c>
      <c r="J904" s="5" t="n">
        <v>2</v>
      </c>
      <c r="K904" s="9" t="n">
        <f aca="false">I904+J904</f>
        <v>46023</v>
      </c>
      <c r="L904" s="5" t="n">
        <v>1330</v>
      </c>
      <c r="M904" s="10" t="n">
        <f aca="false">INDEX(Dim_Supplier!$F$2:$F$21,MATCH(B904,Dim_Supplier!$A$2:$A$21,0))</f>
        <v>46.5</v>
      </c>
      <c r="N904" s="11" t="n">
        <v>0.0158</v>
      </c>
      <c r="O904" s="10" t="n">
        <f aca="false">M904*(1+N904)</f>
        <v>47.2347</v>
      </c>
      <c r="P904" s="10" t="n">
        <f aca="false">O904*L904</f>
        <v>62822.151</v>
      </c>
      <c r="Q904" s="5" t="s">
        <v>113</v>
      </c>
      <c r="R904" s="5" t="n">
        <v>0</v>
      </c>
      <c r="S904" s="5" t="n">
        <v>60</v>
      </c>
      <c r="T904" s="12" t="n">
        <f aca="false">(O904-M904)/M904</f>
        <v>0.0158000000000001</v>
      </c>
      <c r="U904" s="8" t="n">
        <f aca="false">IF(AND(K904&lt;=I904,R904=0),1,0)</f>
        <v>0</v>
      </c>
      <c r="V904" s="10" t="n">
        <f aca="false">IF(Q904="No",P904,0)</f>
        <v>0</v>
      </c>
    </row>
    <row r="905" customFormat="false" ht="15" hidden="false" customHeight="false" outlineLevel="0" collapsed="false">
      <c r="A905" s="5" t="s">
        <v>1039</v>
      </c>
      <c r="B905" s="5" t="s">
        <v>77</v>
      </c>
      <c r="C905" s="7" t="n">
        <v>46034</v>
      </c>
      <c r="D905" s="8" t="str">
        <f aca="false">INDEX(Dim_Supplier!$C$2:$C$21,MATCH(B905,Dim_Supplier!$A$2:$A$21,0))</f>
        <v>MRO</v>
      </c>
      <c r="E905" s="8" t="str">
        <f aca="false">INDEX(Dim_Supplier!$B$2:$B$21,MATCH(B905,Dim_Supplier!$A$2:$A$21,0))</f>
        <v>Apex Industrial Supply</v>
      </c>
      <c r="F905" s="5" t="s">
        <v>179</v>
      </c>
      <c r="G905" s="5" t="s">
        <v>125</v>
      </c>
      <c r="H905" s="8" t="n">
        <f aca="false">INDEX(Lookup_Tables!$B$2:$B$5,MATCH(D905,Lookup_Tables!$A$2:$A$5,0))</f>
        <v>10</v>
      </c>
      <c r="I905" s="9" t="n">
        <f aca="false">C905+H905</f>
        <v>46044</v>
      </c>
      <c r="J905" s="5" t="n">
        <v>0</v>
      </c>
      <c r="K905" s="9" t="n">
        <f aca="false">I905+J905</f>
        <v>46044</v>
      </c>
      <c r="L905" s="5" t="n">
        <v>34</v>
      </c>
      <c r="M905" s="10" t="n">
        <f aca="false">INDEX(Dim_Supplier!$F$2:$F$21,MATCH(B905,Dim_Supplier!$A$2:$A$21,0))</f>
        <v>24.6</v>
      </c>
      <c r="N905" s="11" t="n">
        <v>0.0367</v>
      </c>
      <c r="O905" s="10" t="n">
        <f aca="false">M905*(1+N905)</f>
        <v>25.50282</v>
      </c>
      <c r="P905" s="10" t="n">
        <f aca="false">O905*L905</f>
        <v>867.09588</v>
      </c>
      <c r="Q905" s="5" t="s">
        <v>113</v>
      </c>
      <c r="R905" s="5" t="n">
        <v>0</v>
      </c>
      <c r="S905" s="5" t="n">
        <v>30</v>
      </c>
      <c r="T905" s="12" t="n">
        <f aca="false">(O905-M905)/M905</f>
        <v>0.0366999999999999</v>
      </c>
      <c r="U905" s="8" t="n">
        <f aca="false">IF(AND(K905&lt;=I905,R905=0),1,0)</f>
        <v>1</v>
      </c>
      <c r="V905" s="10" t="n">
        <f aca="false">IF(Q905="No",P905,0)</f>
        <v>0</v>
      </c>
    </row>
    <row r="906" customFormat="false" ht="15" hidden="false" customHeight="false" outlineLevel="0" collapsed="false">
      <c r="A906" s="5" t="s">
        <v>1040</v>
      </c>
      <c r="B906" s="5" t="s">
        <v>71</v>
      </c>
      <c r="C906" s="7" t="n">
        <v>45484</v>
      </c>
      <c r="D906" s="8" t="str">
        <f aca="false">INDEX(Dim_Supplier!$C$2:$C$21,MATCH(B906,Dim_Supplier!$A$2:$A$21,0))</f>
        <v>MRO</v>
      </c>
      <c r="E906" s="8" t="str">
        <f aca="false">INDEX(Dim_Supplier!$B$2:$B$21,MATCH(B906,Dim_Supplier!$A$2:$A$21,0))</f>
        <v>CanSafe Equipment Ltd.</v>
      </c>
      <c r="F906" s="5" t="s">
        <v>127</v>
      </c>
      <c r="G906" s="5" t="s">
        <v>120</v>
      </c>
      <c r="H906" s="8" t="n">
        <f aca="false">INDEX(Lookup_Tables!$B$2:$B$5,MATCH(D906,Lookup_Tables!$A$2:$A$5,0))</f>
        <v>10</v>
      </c>
      <c r="I906" s="9" t="n">
        <f aca="false">C906+H906</f>
        <v>45494</v>
      </c>
      <c r="J906" s="5" t="n">
        <v>0</v>
      </c>
      <c r="K906" s="9" t="n">
        <f aca="false">I906+J906</f>
        <v>45494</v>
      </c>
      <c r="L906" s="5" t="n">
        <v>102</v>
      </c>
      <c r="M906" s="10" t="n">
        <f aca="false">INDEX(Dim_Supplier!$F$2:$F$21,MATCH(B906,Dim_Supplier!$A$2:$A$21,0))</f>
        <v>18.75</v>
      </c>
      <c r="N906" s="11" t="n">
        <v>0.0424</v>
      </c>
      <c r="O906" s="10" t="n">
        <f aca="false">M906*(1+N906)</f>
        <v>19.545</v>
      </c>
      <c r="P906" s="10" t="n">
        <f aca="false">O906*L906</f>
        <v>1993.59</v>
      </c>
      <c r="Q906" s="5" t="s">
        <v>113</v>
      </c>
      <c r="R906" s="5" t="n">
        <v>1</v>
      </c>
      <c r="S906" s="5" t="n">
        <v>45</v>
      </c>
      <c r="T906" s="12" t="n">
        <f aca="false">(O906-M906)/M906</f>
        <v>0.0423999999999999</v>
      </c>
      <c r="U906" s="8" t="n">
        <f aca="false">IF(AND(K906&lt;=I906,R906=0),1,0)</f>
        <v>0</v>
      </c>
      <c r="V906" s="10" t="n">
        <f aca="false">IF(Q906="No",P906,0)</f>
        <v>0</v>
      </c>
    </row>
    <row r="907" customFormat="false" ht="15" hidden="false" customHeight="false" outlineLevel="0" collapsed="false">
      <c r="A907" s="5" t="s">
        <v>1041</v>
      </c>
      <c r="B907" s="5" t="s">
        <v>52</v>
      </c>
      <c r="C907" s="7" t="n">
        <v>45689</v>
      </c>
      <c r="D907" s="8" t="str">
        <f aca="false">INDEX(Dim_Supplier!$C$2:$C$21,MATCH(B907,Dim_Supplier!$A$2:$A$21,0))</f>
        <v>Raw Materials</v>
      </c>
      <c r="E907" s="8" t="str">
        <f aca="false">INDEX(Dim_Supplier!$B$2:$B$21,MATCH(B907,Dim_Supplier!$A$2:$A$21,0))</f>
        <v>Laurentian Metals Inc.</v>
      </c>
      <c r="F907" s="5" t="s">
        <v>142</v>
      </c>
      <c r="G907" s="5" t="s">
        <v>120</v>
      </c>
      <c r="H907" s="8" t="n">
        <f aca="false">INDEX(Lookup_Tables!$B$2:$B$5,MATCH(D907,Lookup_Tables!$A$2:$A$5,0))</f>
        <v>21</v>
      </c>
      <c r="I907" s="9" t="n">
        <f aca="false">C907+H907</f>
        <v>45710</v>
      </c>
      <c r="J907" s="5" t="n">
        <v>-3</v>
      </c>
      <c r="K907" s="9" t="n">
        <f aca="false">I907+J907</f>
        <v>45707</v>
      </c>
      <c r="L907" s="5" t="n">
        <v>1731</v>
      </c>
      <c r="M907" s="10" t="n">
        <f aca="false">INDEX(Dim_Supplier!$F$2:$F$21,MATCH(B907,Dim_Supplier!$A$2:$A$21,0))</f>
        <v>61.2</v>
      </c>
      <c r="N907" s="11" t="n">
        <v>-0.0154</v>
      </c>
      <c r="O907" s="10" t="n">
        <f aca="false">M907*(1+N907)</f>
        <v>60.25752</v>
      </c>
      <c r="P907" s="10" t="n">
        <f aca="false">O907*L907</f>
        <v>104305.76712</v>
      </c>
      <c r="Q907" s="5" t="s">
        <v>113</v>
      </c>
      <c r="R907" s="5" t="n">
        <v>0</v>
      </c>
      <c r="S907" s="5" t="n">
        <v>45</v>
      </c>
      <c r="T907" s="12" t="n">
        <f aca="false">(O907-M907)/M907</f>
        <v>-0.0153999999999999</v>
      </c>
      <c r="U907" s="8" t="n">
        <f aca="false">IF(AND(K907&lt;=I907,R907=0),1,0)</f>
        <v>1</v>
      </c>
      <c r="V907" s="10" t="n">
        <f aca="false">IF(Q907="No",P907,0)</f>
        <v>0</v>
      </c>
    </row>
    <row r="908" customFormat="false" ht="15" hidden="false" customHeight="false" outlineLevel="0" collapsed="false">
      <c r="A908" s="5" t="s">
        <v>1042</v>
      </c>
      <c r="B908" s="5" t="s">
        <v>46</v>
      </c>
      <c r="C908" s="7" t="n">
        <v>45301</v>
      </c>
      <c r="D908" s="8" t="str">
        <f aca="false">INDEX(Dim_Supplier!$C$2:$C$21,MATCH(B908,Dim_Supplier!$A$2:$A$21,0))</f>
        <v>Raw Materials</v>
      </c>
      <c r="E908" s="8" t="str">
        <f aca="false">INDEX(Dim_Supplier!$B$2:$B$21,MATCH(B908,Dim_Supplier!$A$2:$A$21,0))</f>
        <v>Niagara Alloy Supply</v>
      </c>
      <c r="F908" s="5" t="s">
        <v>144</v>
      </c>
      <c r="G908" s="5" t="s">
        <v>125</v>
      </c>
      <c r="H908" s="8" t="n">
        <f aca="false">INDEX(Lookup_Tables!$B$2:$B$5,MATCH(D908,Lookup_Tables!$A$2:$A$5,0))</f>
        <v>21</v>
      </c>
      <c r="I908" s="9" t="n">
        <f aca="false">C908+H908</f>
        <v>45322</v>
      </c>
      <c r="J908" s="5" t="n">
        <v>-2</v>
      </c>
      <c r="K908" s="9" t="n">
        <f aca="false">I908+J908</f>
        <v>45320</v>
      </c>
      <c r="L908" s="5" t="n">
        <v>707</v>
      </c>
      <c r="M908" s="10" t="n">
        <f aca="false">INDEX(Dim_Supplier!$F$2:$F$21,MATCH(B908,Dim_Supplier!$A$2:$A$21,0))</f>
        <v>46.5</v>
      </c>
      <c r="N908" s="11" t="n">
        <v>0.0637</v>
      </c>
      <c r="O908" s="10" t="n">
        <f aca="false">M908*(1+N908)</f>
        <v>49.46205</v>
      </c>
      <c r="P908" s="10" t="n">
        <f aca="false">O908*L908</f>
        <v>34969.66935</v>
      </c>
      <c r="Q908" s="5" t="s">
        <v>113</v>
      </c>
      <c r="R908" s="5" t="n">
        <v>0</v>
      </c>
      <c r="S908" s="5" t="n">
        <v>30</v>
      </c>
      <c r="T908" s="12" t="n">
        <f aca="false">(O908-M908)/M908</f>
        <v>0.0637000000000001</v>
      </c>
      <c r="U908" s="8" t="n">
        <f aca="false">IF(AND(K908&lt;=I908,R908=0),1,0)</f>
        <v>1</v>
      </c>
      <c r="V908" s="10" t="n">
        <f aca="false">IF(Q908="No",P908,0)</f>
        <v>0</v>
      </c>
    </row>
    <row r="909" customFormat="false" ht="15" hidden="false" customHeight="false" outlineLevel="0" collapsed="false">
      <c r="A909" s="5" t="s">
        <v>1043</v>
      </c>
      <c r="B909" s="5" t="s">
        <v>71</v>
      </c>
      <c r="C909" s="7" t="n">
        <v>45441</v>
      </c>
      <c r="D909" s="8" t="str">
        <f aca="false">INDEX(Dim_Supplier!$C$2:$C$21,MATCH(B909,Dim_Supplier!$A$2:$A$21,0))</f>
        <v>MRO</v>
      </c>
      <c r="E909" s="8" t="str">
        <f aca="false">INDEX(Dim_Supplier!$B$2:$B$21,MATCH(B909,Dim_Supplier!$A$2:$A$21,0))</f>
        <v>CanSafe Equipment Ltd.</v>
      </c>
      <c r="F909" s="5" t="s">
        <v>127</v>
      </c>
      <c r="G909" s="5" t="s">
        <v>120</v>
      </c>
      <c r="H909" s="8" t="n">
        <f aca="false">INDEX(Lookup_Tables!$B$2:$B$5,MATCH(D909,Lookup_Tables!$A$2:$A$5,0))</f>
        <v>10</v>
      </c>
      <c r="I909" s="9" t="n">
        <f aca="false">C909+H909</f>
        <v>45451</v>
      </c>
      <c r="J909" s="5" t="n">
        <v>-3</v>
      </c>
      <c r="K909" s="9" t="n">
        <f aca="false">I909+J909</f>
        <v>45448</v>
      </c>
      <c r="L909" s="5" t="n">
        <v>36</v>
      </c>
      <c r="M909" s="10" t="n">
        <f aca="false">INDEX(Dim_Supplier!$F$2:$F$21,MATCH(B909,Dim_Supplier!$A$2:$A$21,0))</f>
        <v>18.75</v>
      </c>
      <c r="N909" s="11" t="n">
        <v>0.0868</v>
      </c>
      <c r="O909" s="10" t="n">
        <f aca="false">M909*(1+N909)</f>
        <v>20.3775</v>
      </c>
      <c r="P909" s="10" t="n">
        <f aca="false">O909*L909</f>
        <v>733.59</v>
      </c>
      <c r="Q909" s="5" t="s">
        <v>113</v>
      </c>
      <c r="R909" s="5" t="n">
        <v>0</v>
      </c>
      <c r="S909" s="5" t="n">
        <v>45</v>
      </c>
      <c r="T909" s="12" t="n">
        <f aca="false">(O909-M909)/M909</f>
        <v>0.0868000000000001</v>
      </c>
      <c r="U909" s="8" t="n">
        <f aca="false">IF(AND(K909&lt;=I909,R909=0),1,0)</f>
        <v>1</v>
      </c>
      <c r="V909" s="10" t="n">
        <f aca="false">IF(Q909="No",P909,0)</f>
        <v>0</v>
      </c>
    </row>
    <row r="910" customFormat="false" ht="15" hidden="false" customHeight="false" outlineLevel="0" collapsed="false">
      <c r="A910" s="5" t="s">
        <v>1044</v>
      </c>
      <c r="B910" s="5" t="s">
        <v>71</v>
      </c>
      <c r="C910" s="7" t="n">
        <v>45512</v>
      </c>
      <c r="D910" s="8" t="str">
        <f aca="false">INDEX(Dim_Supplier!$C$2:$C$21,MATCH(B910,Dim_Supplier!$A$2:$A$21,0))</f>
        <v>MRO</v>
      </c>
      <c r="E910" s="8" t="str">
        <f aca="false">INDEX(Dim_Supplier!$B$2:$B$21,MATCH(B910,Dim_Supplier!$A$2:$A$21,0))</f>
        <v>CanSafe Equipment Ltd.</v>
      </c>
      <c r="F910" s="5" t="s">
        <v>179</v>
      </c>
      <c r="G910" s="5" t="s">
        <v>120</v>
      </c>
      <c r="H910" s="8" t="n">
        <f aca="false">INDEX(Lookup_Tables!$B$2:$B$5,MATCH(D910,Lookup_Tables!$A$2:$A$5,0))</f>
        <v>10</v>
      </c>
      <c r="I910" s="9" t="n">
        <f aca="false">C910+H910</f>
        <v>45522</v>
      </c>
      <c r="J910" s="5" t="n">
        <v>-2</v>
      </c>
      <c r="K910" s="9" t="n">
        <f aca="false">I910+J910</f>
        <v>45520</v>
      </c>
      <c r="L910" s="5" t="n">
        <v>90</v>
      </c>
      <c r="M910" s="10" t="n">
        <f aca="false">INDEX(Dim_Supplier!$F$2:$F$21,MATCH(B910,Dim_Supplier!$A$2:$A$21,0))</f>
        <v>18.75</v>
      </c>
      <c r="N910" s="11" t="n">
        <v>0.0114</v>
      </c>
      <c r="O910" s="10" t="n">
        <f aca="false">M910*(1+N910)</f>
        <v>18.96375</v>
      </c>
      <c r="P910" s="10" t="n">
        <f aca="false">O910*L910</f>
        <v>1706.7375</v>
      </c>
      <c r="Q910" s="5" t="s">
        <v>113</v>
      </c>
      <c r="R910" s="5" t="n">
        <v>0</v>
      </c>
      <c r="S910" s="5" t="n">
        <v>60</v>
      </c>
      <c r="T910" s="12" t="n">
        <f aca="false">(O910-M910)/M910</f>
        <v>0.0114000000000001</v>
      </c>
      <c r="U910" s="8" t="n">
        <f aca="false">IF(AND(K910&lt;=I910,R910=0),1,0)</f>
        <v>1</v>
      </c>
      <c r="V910" s="10" t="n">
        <f aca="false">IF(Q910="No",P910,0)</f>
        <v>0</v>
      </c>
    </row>
    <row r="911" customFormat="false" ht="15" hidden="false" customHeight="false" outlineLevel="0" collapsed="false">
      <c r="A911" s="5" t="s">
        <v>1045</v>
      </c>
      <c r="B911" s="5" t="s">
        <v>86</v>
      </c>
      <c r="C911" s="7" t="n">
        <v>45522</v>
      </c>
      <c r="D911" s="8" t="str">
        <f aca="false">INDEX(Dim_Supplier!$C$2:$C$21,MATCH(B911,Dim_Supplier!$A$2:$A$21,0))</f>
        <v>Logistics</v>
      </c>
      <c r="E911" s="8" t="str">
        <f aca="false">INDEX(Dim_Supplier!$B$2:$B$21,MATCH(B911,Dim_Supplier!$A$2:$A$21,0))</f>
        <v>Blue Water Customs Brokerage</v>
      </c>
      <c r="F911" s="5" t="s">
        <v>124</v>
      </c>
      <c r="G911" s="5" t="s">
        <v>112</v>
      </c>
      <c r="H911" s="8" t="n">
        <f aca="false">INDEX(Lookup_Tables!$B$2:$B$5,MATCH(D911,Lookup_Tables!$A$2:$A$5,0))</f>
        <v>5</v>
      </c>
      <c r="I911" s="9" t="n">
        <f aca="false">C911+H911</f>
        <v>45527</v>
      </c>
      <c r="J911" s="5" t="n">
        <v>0</v>
      </c>
      <c r="K911" s="9" t="n">
        <f aca="false">I911+J911</f>
        <v>45527</v>
      </c>
      <c r="L911" s="5" t="n">
        <v>20</v>
      </c>
      <c r="M911" s="10" t="n">
        <f aca="false">INDEX(Dim_Supplier!$F$2:$F$21,MATCH(B911,Dim_Supplier!$A$2:$A$21,0))</f>
        <v>175</v>
      </c>
      <c r="N911" s="11" t="n">
        <v>-0.0153</v>
      </c>
      <c r="O911" s="10" t="n">
        <f aca="false">M911*(1+N911)</f>
        <v>172.3225</v>
      </c>
      <c r="P911" s="10" t="n">
        <f aca="false">O911*L911</f>
        <v>3446.45</v>
      </c>
      <c r="Q911" s="5" t="s">
        <v>133</v>
      </c>
      <c r="R911" s="5" t="n">
        <v>0</v>
      </c>
      <c r="S911" s="5" t="n">
        <v>60</v>
      </c>
      <c r="T911" s="12" t="n">
        <f aca="false">(O911-M911)/M911</f>
        <v>-0.0153000000000001</v>
      </c>
      <c r="U911" s="8" t="n">
        <f aca="false">IF(AND(K911&lt;=I911,R911=0),1,0)</f>
        <v>1</v>
      </c>
      <c r="V911" s="10" t="n">
        <f aca="false">IF(Q911="No",P911,0)</f>
        <v>3446.45</v>
      </c>
    </row>
    <row r="912" customFormat="false" ht="15" hidden="false" customHeight="false" outlineLevel="0" collapsed="false">
      <c r="A912" s="5" t="s">
        <v>1046</v>
      </c>
      <c r="B912" s="5" t="s">
        <v>88</v>
      </c>
      <c r="C912" s="7" t="n">
        <v>45853</v>
      </c>
      <c r="D912" s="8" t="str">
        <f aca="false">INDEX(Dim_Supplier!$C$2:$C$21,MATCH(B912,Dim_Supplier!$A$2:$A$21,0))</f>
        <v>Logistics</v>
      </c>
      <c r="E912" s="8" t="str">
        <f aca="false">INDEX(Dim_Supplier!$B$2:$B$21,MATCH(B912,Dim_Supplier!$A$2:$A$21,0))</f>
        <v>Summit Last-Mile Delivery</v>
      </c>
      <c r="F912" s="5" t="s">
        <v>237</v>
      </c>
      <c r="G912" s="5" t="s">
        <v>120</v>
      </c>
      <c r="H912" s="8" t="n">
        <f aca="false">INDEX(Lookup_Tables!$B$2:$B$5,MATCH(D912,Lookup_Tables!$A$2:$A$5,0))</f>
        <v>5</v>
      </c>
      <c r="I912" s="9" t="n">
        <f aca="false">C912+H912</f>
        <v>45858</v>
      </c>
      <c r="J912" s="5" t="n">
        <v>-3</v>
      </c>
      <c r="K912" s="9" t="n">
        <f aca="false">I912+J912</f>
        <v>45855</v>
      </c>
      <c r="L912" s="5" t="n">
        <v>23</v>
      </c>
      <c r="M912" s="10" t="n">
        <f aca="false">INDEX(Dim_Supplier!$F$2:$F$21,MATCH(B912,Dim_Supplier!$A$2:$A$21,0))</f>
        <v>95</v>
      </c>
      <c r="N912" s="11" t="n">
        <v>0.0506</v>
      </c>
      <c r="O912" s="10" t="n">
        <f aca="false">M912*(1+N912)</f>
        <v>99.807</v>
      </c>
      <c r="P912" s="10" t="n">
        <f aca="false">O912*L912</f>
        <v>2295.561</v>
      </c>
      <c r="Q912" s="5" t="s">
        <v>113</v>
      </c>
      <c r="R912" s="5" t="n">
        <v>0</v>
      </c>
      <c r="S912" s="5" t="n">
        <v>45</v>
      </c>
      <c r="T912" s="12" t="n">
        <f aca="false">(O912-M912)/M912</f>
        <v>0.0506</v>
      </c>
      <c r="U912" s="8" t="n">
        <f aca="false">IF(AND(K912&lt;=I912,R912=0),1,0)</f>
        <v>1</v>
      </c>
      <c r="V912" s="10" t="n">
        <f aca="false">IF(Q912="No",P912,0)</f>
        <v>0</v>
      </c>
    </row>
    <row r="913" customFormat="false" ht="15" hidden="false" customHeight="false" outlineLevel="0" collapsed="false">
      <c r="A913" s="5" t="s">
        <v>1047</v>
      </c>
      <c r="B913" s="5" t="s">
        <v>54</v>
      </c>
      <c r="C913" s="7" t="n">
        <v>46005</v>
      </c>
      <c r="D913" s="8" t="str">
        <f aca="false">INDEX(Dim_Supplier!$C$2:$C$21,MATCH(B913,Dim_Supplier!$A$2:$A$21,0))</f>
        <v>Raw Materials</v>
      </c>
      <c r="E913" s="8" t="str">
        <f aca="false">INDEX(Dim_Supplier!$B$2:$B$21,MATCH(B913,Dim_Supplier!$A$2:$A$21,0))</f>
        <v>Northern Resin Solutions</v>
      </c>
      <c r="F913" s="5" t="s">
        <v>115</v>
      </c>
      <c r="G913" s="5" t="s">
        <v>125</v>
      </c>
      <c r="H913" s="8" t="n">
        <f aca="false">INDEX(Lookup_Tables!$B$2:$B$5,MATCH(D913,Lookup_Tables!$A$2:$A$5,0))</f>
        <v>21</v>
      </c>
      <c r="I913" s="9" t="n">
        <f aca="false">C913+H913</f>
        <v>46026</v>
      </c>
      <c r="J913" s="5" t="n">
        <v>0</v>
      </c>
      <c r="K913" s="9" t="n">
        <f aca="false">I913+J913</f>
        <v>46026</v>
      </c>
      <c r="L913" s="5" t="n">
        <v>1720</v>
      </c>
      <c r="M913" s="10" t="n">
        <f aca="false">INDEX(Dim_Supplier!$F$2:$F$21,MATCH(B913,Dim_Supplier!$A$2:$A$21,0))</f>
        <v>38.9</v>
      </c>
      <c r="N913" s="11" t="n">
        <v>0.0601</v>
      </c>
      <c r="O913" s="10" t="n">
        <f aca="false">M913*(1+N913)</f>
        <v>41.23789</v>
      </c>
      <c r="P913" s="10" t="n">
        <f aca="false">O913*L913</f>
        <v>70929.1708</v>
      </c>
      <c r="Q913" s="5" t="s">
        <v>113</v>
      </c>
      <c r="R913" s="5" t="n">
        <v>0</v>
      </c>
      <c r="S913" s="5" t="n">
        <v>60</v>
      </c>
      <c r="T913" s="12" t="n">
        <f aca="false">(O913-M913)/M913</f>
        <v>0.0601</v>
      </c>
      <c r="U913" s="8" t="n">
        <f aca="false">IF(AND(K913&lt;=I913,R913=0),1,0)</f>
        <v>1</v>
      </c>
      <c r="V913" s="10" t="n">
        <f aca="false">IF(Q913="No",P913,0)</f>
        <v>0</v>
      </c>
    </row>
    <row r="914" customFormat="false" ht="15" hidden="false" customHeight="false" outlineLevel="0" collapsed="false">
      <c r="A914" s="5" t="s">
        <v>1048</v>
      </c>
      <c r="B914" s="5" t="s">
        <v>75</v>
      </c>
      <c r="C914" s="7" t="n">
        <v>45760</v>
      </c>
      <c r="D914" s="8" t="str">
        <f aca="false">INDEX(Dim_Supplier!$C$2:$C$21,MATCH(B914,Dim_Supplier!$A$2:$A$21,0))</f>
        <v>MRO</v>
      </c>
      <c r="E914" s="8" t="str">
        <f aca="false">INDEX(Dim_Supplier!$B$2:$B$21,MATCH(B914,Dim_Supplier!$A$2:$A$21,0))</f>
        <v>Sterling Lubricants Inc.</v>
      </c>
      <c r="F914" s="5" t="s">
        <v>164</v>
      </c>
      <c r="G914" s="5" t="s">
        <v>112</v>
      </c>
      <c r="H914" s="8" t="n">
        <f aca="false">INDEX(Lookup_Tables!$B$2:$B$5,MATCH(D914,Lookup_Tables!$A$2:$A$5,0))</f>
        <v>10</v>
      </c>
      <c r="I914" s="9" t="n">
        <f aca="false">C914+H914</f>
        <v>45770</v>
      </c>
      <c r="J914" s="5" t="n">
        <v>-4</v>
      </c>
      <c r="K914" s="9" t="n">
        <f aca="false">I914+J914</f>
        <v>45766</v>
      </c>
      <c r="L914" s="5" t="n">
        <v>42</v>
      </c>
      <c r="M914" s="10" t="n">
        <f aca="false">INDEX(Dim_Supplier!$F$2:$F$21,MATCH(B914,Dim_Supplier!$A$2:$A$21,0))</f>
        <v>27.1</v>
      </c>
      <c r="N914" s="11" t="n">
        <v>0.0282</v>
      </c>
      <c r="O914" s="10" t="n">
        <f aca="false">M914*(1+N914)</f>
        <v>27.86422</v>
      </c>
      <c r="P914" s="10" t="n">
        <f aca="false">O914*L914</f>
        <v>1170.29724</v>
      </c>
      <c r="Q914" s="5" t="s">
        <v>113</v>
      </c>
      <c r="R914" s="5" t="n">
        <v>0</v>
      </c>
      <c r="S914" s="5" t="n">
        <v>30</v>
      </c>
      <c r="T914" s="12" t="n">
        <f aca="false">(O914-M914)/M914</f>
        <v>0.0282000000000001</v>
      </c>
      <c r="U914" s="8" t="n">
        <f aca="false">IF(AND(K914&lt;=I914,R914=0),1,0)</f>
        <v>1</v>
      </c>
      <c r="V914" s="10" t="n">
        <f aca="false">IF(Q914="No",P914,0)</f>
        <v>0</v>
      </c>
    </row>
    <row r="915" customFormat="false" ht="15" hidden="false" customHeight="false" outlineLevel="0" collapsed="false">
      <c r="A915" s="5" t="s">
        <v>1049</v>
      </c>
      <c r="B915" s="5" t="s">
        <v>73</v>
      </c>
      <c r="C915" s="7" t="n">
        <v>45662</v>
      </c>
      <c r="D915" s="8" t="str">
        <f aca="false">INDEX(Dim_Supplier!$C$2:$C$21,MATCH(B915,Dim_Supplier!$A$2:$A$21,0))</f>
        <v>MRO</v>
      </c>
      <c r="E915" s="8" t="str">
        <f aca="false">INDEX(Dim_Supplier!$B$2:$B$21,MATCH(B915,Dim_Supplier!$A$2:$A$21,0))</f>
        <v>Frontier MRO Solutions</v>
      </c>
      <c r="F915" s="5" t="s">
        <v>132</v>
      </c>
      <c r="G915" s="5" t="s">
        <v>129</v>
      </c>
      <c r="H915" s="8" t="n">
        <f aca="false">INDEX(Lookup_Tables!$B$2:$B$5,MATCH(D915,Lookup_Tables!$A$2:$A$5,0))</f>
        <v>10</v>
      </c>
      <c r="I915" s="9" t="n">
        <f aca="false">C915+H915</f>
        <v>45672</v>
      </c>
      <c r="J915" s="5" t="n">
        <v>2</v>
      </c>
      <c r="K915" s="9" t="n">
        <f aca="false">I915+J915</f>
        <v>45674</v>
      </c>
      <c r="L915" s="5" t="n">
        <v>42</v>
      </c>
      <c r="M915" s="10" t="n">
        <f aca="false">INDEX(Dim_Supplier!$F$2:$F$21,MATCH(B915,Dim_Supplier!$A$2:$A$21,0))</f>
        <v>15.9</v>
      </c>
      <c r="N915" s="11" t="n">
        <v>0.0962</v>
      </c>
      <c r="O915" s="10" t="n">
        <f aca="false">M915*(1+N915)</f>
        <v>17.42958</v>
      </c>
      <c r="P915" s="10" t="n">
        <f aca="false">O915*L915</f>
        <v>732.04236</v>
      </c>
      <c r="Q915" s="5" t="s">
        <v>113</v>
      </c>
      <c r="R915" s="5" t="n">
        <v>0</v>
      </c>
      <c r="S915" s="5" t="n">
        <v>45</v>
      </c>
      <c r="T915" s="12" t="n">
        <f aca="false">(O915-M915)/M915</f>
        <v>0.0962000000000001</v>
      </c>
      <c r="U915" s="8" t="n">
        <f aca="false">IF(AND(K915&lt;=I915,R915=0),1,0)</f>
        <v>0</v>
      </c>
      <c r="V915" s="10" t="n">
        <f aca="false">IF(Q915="No",P915,0)</f>
        <v>0</v>
      </c>
    </row>
    <row r="916" customFormat="false" ht="15" hidden="false" customHeight="false" outlineLevel="0" collapsed="false">
      <c r="A916" s="5" t="s">
        <v>1050</v>
      </c>
      <c r="B916" s="5" t="s">
        <v>49</v>
      </c>
      <c r="C916" s="7" t="n">
        <v>45349</v>
      </c>
      <c r="D916" s="8" t="str">
        <f aca="false">INDEX(Dim_Supplier!$C$2:$C$21,MATCH(B916,Dim_Supplier!$A$2:$A$21,0))</f>
        <v>Raw Materials</v>
      </c>
      <c r="E916" s="8" t="str">
        <f aca="false">INDEX(Dim_Supplier!$B$2:$B$21,MATCH(B916,Dim_Supplier!$A$2:$A$21,0))</f>
        <v>Great Lakes Polymer Co.</v>
      </c>
      <c r="F916" s="5" t="s">
        <v>148</v>
      </c>
      <c r="G916" s="5" t="s">
        <v>120</v>
      </c>
      <c r="H916" s="8" t="n">
        <f aca="false">INDEX(Lookup_Tables!$B$2:$B$5,MATCH(D916,Lookup_Tables!$A$2:$A$5,0))</f>
        <v>21</v>
      </c>
      <c r="I916" s="9" t="n">
        <f aca="false">C916+H916</f>
        <v>45370</v>
      </c>
      <c r="J916" s="5" t="n">
        <v>5</v>
      </c>
      <c r="K916" s="9" t="n">
        <f aca="false">I916+J916</f>
        <v>45375</v>
      </c>
      <c r="L916" s="5" t="n">
        <v>207</v>
      </c>
      <c r="M916" s="10" t="n">
        <f aca="false">INDEX(Dim_Supplier!$F$2:$F$21,MATCH(B916,Dim_Supplier!$A$2:$A$21,0))</f>
        <v>32.75</v>
      </c>
      <c r="N916" s="11" t="n">
        <v>0.118</v>
      </c>
      <c r="O916" s="10" t="n">
        <f aca="false">M916*(1+N916)</f>
        <v>36.6145</v>
      </c>
      <c r="P916" s="10" t="n">
        <f aca="false">O916*L916</f>
        <v>7579.2015</v>
      </c>
      <c r="Q916" s="5" t="s">
        <v>113</v>
      </c>
      <c r="R916" s="5" t="n">
        <v>0</v>
      </c>
      <c r="S916" s="5" t="n">
        <v>30</v>
      </c>
      <c r="T916" s="12" t="n">
        <f aca="false">(O916-M916)/M916</f>
        <v>0.118</v>
      </c>
      <c r="U916" s="8" t="n">
        <f aca="false">IF(AND(K916&lt;=I916,R916=0),1,0)</f>
        <v>0</v>
      </c>
      <c r="V916" s="10" t="n">
        <f aca="false">IF(Q916="No",P916,0)</f>
        <v>0</v>
      </c>
    </row>
    <row r="917" customFormat="false" ht="15" hidden="false" customHeight="false" outlineLevel="0" collapsed="false">
      <c r="A917" s="5" t="s">
        <v>1051</v>
      </c>
      <c r="B917" s="5" t="s">
        <v>62</v>
      </c>
      <c r="C917" s="7" t="n">
        <v>45444</v>
      </c>
      <c r="D917" s="8" t="str">
        <f aca="false">INDEX(Dim_Supplier!$C$2:$C$21,MATCH(B917,Dim_Supplier!$A$2:$A$21,0))</f>
        <v>Packaging</v>
      </c>
      <c r="E917" s="8" t="str">
        <f aca="false">INDEX(Dim_Supplier!$B$2:$B$21,MATCH(B917,Dim_Supplier!$A$2:$A$21,0))</f>
        <v>Trillium Packaging Solutions</v>
      </c>
      <c r="F917" s="5" t="s">
        <v>137</v>
      </c>
      <c r="G917" s="5" t="s">
        <v>112</v>
      </c>
      <c r="H917" s="8" t="n">
        <f aca="false">INDEX(Lookup_Tables!$B$2:$B$5,MATCH(D917,Lookup_Tables!$A$2:$A$5,0))</f>
        <v>14</v>
      </c>
      <c r="I917" s="9" t="n">
        <f aca="false">C917+H917</f>
        <v>45458</v>
      </c>
      <c r="J917" s="5" t="n">
        <v>-2</v>
      </c>
      <c r="K917" s="9" t="n">
        <f aca="false">I917+J917</f>
        <v>45456</v>
      </c>
      <c r="L917" s="5" t="n">
        <v>4502</v>
      </c>
      <c r="M917" s="10" t="n">
        <f aca="false">INDEX(Dim_Supplier!$F$2:$F$21,MATCH(B917,Dim_Supplier!$A$2:$A$21,0))</f>
        <v>5.6</v>
      </c>
      <c r="N917" s="11" t="n">
        <v>0.0231</v>
      </c>
      <c r="O917" s="10" t="n">
        <f aca="false">M917*(1+N917)</f>
        <v>5.72936</v>
      </c>
      <c r="P917" s="10" t="n">
        <f aca="false">O917*L917</f>
        <v>25793.57872</v>
      </c>
      <c r="Q917" s="5" t="s">
        <v>113</v>
      </c>
      <c r="R917" s="5" t="n">
        <v>0</v>
      </c>
      <c r="S917" s="5" t="n">
        <v>30</v>
      </c>
      <c r="T917" s="12" t="n">
        <f aca="false">(O917-M917)/M917</f>
        <v>0.0230999999999999</v>
      </c>
      <c r="U917" s="8" t="n">
        <f aca="false">IF(AND(K917&lt;=I917,R917=0),1,0)</f>
        <v>1</v>
      </c>
      <c r="V917" s="10" t="n">
        <f aca="false">IF(Q917="No",P917,0)</f>
        <v>0</v>
      </c>
    </row>
    <row r="918" customFormat="false" ht="15" hidden="false" customHeight="false" outlineLevel="0" collapsed="false">
      <c r="A918" s="5" t="s">
        <v>1052</v>
      </c>
      <c r="B918" s="5" t="s">
        <v>77</v>
      </c>
      <c r="C918" s="7" t="n">
        <v>46086</v>
      </c>
      <c r="D918" s="8" t="str">
        <f aca="false">INDEX(Dim_Supplier!$C$2:$C$21,MATCH(B918,Dim_Supplier!$A$2:$A$21,0))</f>
        <v>MRO</v>
      </c>
      <c r="E918" s="8" t="str">
        <f aca="false">INDEX(Dim_Supplier!$B$2:$B$21,MATCH(B918,Dim_Supplier!$A$2:$A$21,0))</f>
        <v>Apex Industrial Supply</v>
      </c>
      <c r="F918" s="5" t="s">
        <v>127</v>
      </c>
      <c r="G918" s="5" t="s">
        <v>125</v>
      </c>
      <c r="H918" s="8" t="n">
        <f aca="false">INDEX(Lookup_Tables!$B$2:$B$5,MATCH(D918,Lookup_Tables!$A$2:$A$5,0))</f>
        <v>10</v>
      </c>
      <c r="I918" s="9" t="n">
        <f aca="false">C918+H918</f>
        <v>46096</v>
      </c>
      <c r="J918" s="5" t="n">
        <v>1</v>
      </c>
      <c r="K918" s="9" t="n">
        <f aca="false">I918+J918</f>
        <v>46097</v>
      </c>
      <c r="L918" s="5" t="n">
        <v>75</v>
      </c>
      <c r="M918" s="10" t="n">
        <f aca="false">INDEX(Dim_Supplier!$F$2:$F$21,MATCH(B918,Dim_Supplier!$A$2:$A$21,0))</f>
        <v>24.6</v>
      </c>
      <c r="N918" s="11" t="n">
        <v>0.0282</v>
      </c>
      <c r="O918" s="10" t="n">
        <f aca="false">M918*(1+N918)</f>
        <v>25.29372</v>
      </c>
      <c r="P918" s="10" t="n">
        <f aca="false">O918*L918</f>
        <v>1897.029</v>
      </c>
      <c r="Q918" s="5" t="s">
        <v>113</v>
      </c>
      <c r="R918" s="5" t="n">
        <v>0</v>
      </c>
      <c r="S918" s="5" t="n">
        <v>30</v>
      </c>
      <c r="T918" s="12" t="n">
        <f aca="false">(O918-M918)/M918</f>
        <v>0.0282</v>
      </c>
      <c r="U918" s="8" t="n">
        <f aca="false">IF(AND(K918&lt;=I918,R918=0),1,0)</f>
        <v>0</v>
      </c>
      <c r="V918" s="10" t="n">
        <f aca="false">IF(Q918="No",P918,0)</f>
        <v>0</v>
      </c>
    </row>
    <row r="919" customFormat="false" ht="15" hidden="false" customHeight="false" outlineLevel="0" collapsed="false">
      <c r="A919" s="5" t="s">
        <v>1053</v>
      </c>
      <c r="B919" s="5" t="s">
        <v>46</v>
      </c>
      <c r="C919" s="7" t="n">
        <v>45416</v>
      </c>
      <c r="D919" s="8" t="str">
        <f aca="false">INDEX(Dim_Supplier!$C$2:$C$21,MATCH(B919,Dim_Supplier!$A$2:$A$21,0))</f>
        <v>Raw Materials</v>
      </c>
      <c r="E919" s="8" t="str">
        <f aca="false">INDEX(Dim_Supplier!$B$2:$B$21,MATCH(B919,Dim_Supplier!$A$2:$A$21,0))</f>
        <v>Niagara Alloy Supply</v>
      </c>
      <c r="F919" s="5" t="s">
        <v>142</v>
      </c>
      <c r="G919" s="5" t="s">
        <v>112</v>
      </c>
      <c r="H919" s="8" t="n">
        <f aca="false">INDEX(Lookup_Tables!$B$2:$B$5,MATCH(D919,Lookup_Tables!$A$2:$A$5,0))</f>
        <v>21</v>
      </c>
      <c r="I919" s="9" t="n">
        <f aca="false">C919+H919</f>
        <v>45437</v>
      </c>
      <c r="J919" s="5" t="n">
        <v>2</v>
      </c>
      <c r="K919" s="9" t="n">
        <f aca="false">I919+J919</f>
        <v>45439</v>
      </c>
      <c r="L919" s="5" t="n">
        <v>1272</v>
      </c>
      <c r="M919" s="10" t="n">
        <f aca="false">INDEX(Dim_Supplier!$F$2:$F$21,MATCH(B919,Dim_Supplier!$A$2:$A$21,0))</f>
        <v>46.5</v>
      </c>
      <c r="N919" s="11" t="n">
        <v>0.0338</v>
      </c>
      <c r="O919" s="10" t="n">
        <f aca="false">M919*(1+N919)</f>
        <v>48.0717</v>
      </c>
      <c r="P919" s="10" t="n">
        <f aca="false">O919*L919</f>
        <v>61147.2024</v>
      </c>
      <c r="Q919" s="5" t="s">
        <v>113</v>
      </c>
      <c r="R919" s="5" t="n">
        <v>0</v>
      </c>
      <c r="S919" s="5" t="n">
        <v>30</v>
      </c>
      <c r="T919" s="12" t="n">
        <f aca="false">(O919-M919)/M919</f>
        <v>0.0338</v>
      </c>
      <c r="U919" s="8" t="n">
        <f aca="false">IF(AND(K919&lt;=I919,R919=0),1,0)</f>
        <v>0</v>
      </c>
      <c r="V919" s="10" t="n">
        <f aca="false">IF(Q919="No",P919,0)</f>
        <v>0</v>
      </c>
    </row>
    <row r="920" customFormat="false" ht="15" hidden="false" customHeight="false" outlineLevel="0" collapsed="false">
      <c r="A920" s="5" t="s">
        <v>1054</v>
      </c>
      <c r="B920" s="5" t="s">
        <v>71</v>
      </c>
      <c r="C920" s="7" t="n">
        <v>45685</v>
      </c>
      <c r="D920" s="8" t="str">
        <f aca="false">INDEX(Dim_Supplier!$C$2:$C$21,MATCH(B920,Dim_Supplier!$A$2:$A$21,0))</f>
        <v>MRO</v>
      </c>
      <c r="E920" s="8" t="str">
        <f aca="false">INDEX(Dim_Supplier!$B$2:$B$21,MATCH(B920,Dim_Supplier!$A$2:$A$21,0))</f>
        <v>CanSafe Equipment Ltd.</v>
      </c>
      <c r="F920" s="5" t="s">
        <v>179</v>
      </c>
      <c r="G920" s="5" t="s">
        <v>125</v>
      </c>
      <c r="H920" s="8" t="n">
        <f aca="false">INDEX(Lookup_Tables!$B$2:$B$5,MATCH(D920,Lookup_Tables!$A$2:$A$5,0))</f>
        <v>10</v>
      </c>
      <c r="I920" s="9" t="n">
        <f aca="false">C920+H920</f>
        <v>45695</v>
      </c>
      <c r="J920" s="5" t="n">
        <v>-1</v>
      </c>
      <c r="K920" s="9" t="n">
        <f aca="false">I920+J920</f>
        <v>45694</v>
      </c>
      <c r="L920" s="5" t="n">
        <v>88</v>
      </c>
      <c r="M920" s="10" t="n">
        <f aca="false">INDEX(Dim_Supplier!$F$2:$F$21,MATCH(B920,Dim_Supplier!$A$2:$A$21,0))</f>
        <v>18.75</v>
      </c>
      <c r="N920" s="11" t="n">
        <v>0.0399</v>
      </c>
      <c r="O920" s="10" t="n">
        <f aca="false">M920*(1+N920)</f>
        <v>19.498125</v>
      </c>
      <c r="P920" s="10" t="n">
        <f aca="false">O920*L920</f>
        <v>1715.835</v>
      </c>
      <c r="Q920" s="5" t="s">
        <v>113</v>
      </c>
      <c r="R920" s="5" t="n">
        <v>0</v>
      </c>
      <c r="S920" s="5" t="n">
        <v>45</v>
      </c>
      <c r="T920" s="12" t="n">
        <f aca="false">(O920-M920)/M920</f>
        <v>0.0399000000000001</v>
      </c>
      <c r="U920" s="8" t="n">
        <f aca="false">IF(AND(K920&lt;=I920,R920=0),1,0)</f>
        <v>1</v>
      </c>
      <c r="V920" s="10" t="n">
        <f aca="false">IF(Q920="No",P920,0)</f>
        <v>0</v>
      </c>
    </row>
    <row r="921" customFormat="false" ht="15" hidden="false" customHeight="false" outlineLevel="0" collapsed="false">
      <c r="A921" s="5" t="s">
        <v>1055</v>
      </c>
      <c r="B921" s="5" t="s">
        <v>52</v>
      </c>
      <c r="C921" s="7" t="n">
        <v>46124</v>
      </c>
      <c r="D921" s="8" t="str">
        <f aca="false">INDEX(Dim_Supplier!$C$2:$C$21,MATCH(B921,Dim_Supplier!$A$2:$A$21,0))</f>
        <v>Raw Materials</v>
      </c>
      <c r="E921" s="8" t="str">
        <f aca="false">INDEX(Dim_Supplier!$B$2:$B$21,MATCH(B921,Dim_Supplier!$A$2:$A$21,0))</f>
        <v>Laurentian Metals Inc.</v>
      </c>
      <c r="F921" s="5" t="s">
        <v>148</v>
      </c>
      <c r="G921" s="5" t="s">
        <v>125</v>
      </c>
      <c r="H921" s="8" t="n">
        <f aca="false">INDEX(Lookup_Tables!$B$2:$B$5,MATCH(D921,Lookup_Tables!$A$2:$A$5,0))</f>
        <v>21</v>
      </c>
      <c r="I921" s="9" t="n">
        <f aca="false">C921+H921</f>
        <v>46145</v>
      </c>
      <c r="J921" s="5" t="n">
        <v>-4</v>
      </c>
      <c r="K921" s="9" t="n">
        <f aca="false">I921+J921</f>
        <v>46141</v>
      </c>
      <c r="L921" s="5" t="n">
        <v>1763</v>
      </c>
      <c r="M921" s="10" t="n">
        <f aca="false">INDEX(Dim_Supplier!$F$2:$F$21,MATCH(B921,Dim_Supplier!$A$2:$A$21,0))</f>
        <v>61.2</v>
      </c>
      <c r="N921" s="11" t="n">
        <v>0.0114</v>
      </c>
      <c r="O921" s="10" t="n">
        <f aca="false">M921*(1+N921)</f>
        <v>61.89768</v>
      </c>
      <c r="P921" s="10" t="n">
        <f aca="false">O921*L921</f>
        <v>109125.60984</v>
      </c>
      <c r="Q921" s="5" t="s">
        <v>113</v>
      </c>
      <c r="R921" s="5" t="n">
        <v>0</v>
      </c>
      <c r="S921" s="5" t="n">
        <v>60</v>
      </c>
      <c r="T921" s="12" t="n">
        <f aca="false">(O921-M921)/M921</f>
        <v>0.0114000000000001</v>
      </c>
      <c r="U921" s="8" t="n">
        <f aca="false">IF(AND(K921&lt;=I921,R921=0),1,0)</f>
        <v>1</v>
      </c>
      <c r="V921" s="10" t="n">
        <f aca="false">IF(Q921="No",P921,0)</f>
        <v>0</v>
      </c>
    </row>
    <row r="922" customFormat="false" ht="15" hidden="false" customHeight="false" outlineLevel="0" collapsed="false">
      <c r="A922" s="5" t="s">
        <v>1056</v>
      </c>
      <c r="B922" s="5" t="s">
        <v>68</v>
      </c>
      <c r="C922" s="7" t="n">
        <v>46130</v>
      </c>
      <c r="D922" s="8" t="str">
        <f aca="false">INDEX(Dim_Supplier!$C$2:$C$21,MATCH(B922,Dim_Supplier!$A$2:$A$21,0))</f>
        <v>MRO</v>
      </c>
      <c r="E922" s="8" t="str">
        <f aca="false">INDEX(Dim_Supplier!$B$2:$B$21,MATCH(B922,Dim_Supplier!$A$2:$A$21,0))</f>
        <v>Precision Tool &amp; Supply</v>
      </c>
      <c r="F922" s="5" t="s">
        <v>127</v>
      </c>
      <c r="G922" s="5" t="s">
        <v>112</v>
      </c>
      <c r="H922" s="8" t="n">
        <f aca="false">INDEX(Lookup_Tables!$B$2:$B$5,MATCH(D922,Lookup_Tables!$A$2:$A$5,0))</f>
        <v>10</v>
      </c>
      <c r="I922" s="9" t="n">
        <f aca="false">C922+H922</f>
        <v>46140</v>
      </c>
      <c r="J922" s="5" t="n">
        <v>1</v>
      </c>
      <c r="K922" s="9" t="n">
        <f aca="false">I922+J922</f>
        <v>46141</v>
      </c>
      <c r="L922" s="5" t="n">
        <v>51</v>
      </c>
      <c r="M922" s="10" t="n">
        <f aca="false">INDEX(Dim_Supplier!$F$2:$F$21,MATCH(B922,Dim_Supplier!$A$2:$A$21,0))</f>
        <v>22.4</v>
      </c>
      <c r="N922" s="11" t="n">
        <v>0.0009</v>
      </c>
      <c r="O922" s="10" t="n">
        <f aca="false">M922*(1+N922)</f>
        <v>22.42016</v>
      </c>
      <c r="P922" s="10" t="n">
        <f aca="false">O922*L922</f>
        <v>1143.42816</v>
      </c>
      <c r="Q922" s="5" t="s">
        <v>113</v>
      </c>
      <c r="R922" s="5" t="n">
        <v>0</v>
      </c>
      <c r="S922" s="5" t="n">
        <v>30</v>
      </c>
      <c r="T922" s="12" t="n">
        <f aca="false">(O922-M922)/M922</f>
        <v>0.000899999999999869</v>
      </c>
      <c r="U922" s="8" t="n">
        <f aca="false">IF(AND(K922&lt;=I922,R922=0),1,0)</f>
        <v>0</v>
      </c>
      <c r="V922" s="10" t="n">
        <f aca="false">IF(Q922="No",P922,0)</f>
        <v>0</v>
      </c>
    </row>
    <row r="923" customFormat="false" ht="15" hidden="false" customHeight="false" outlineLevel="0" collapsed="false">
      <c r="A923" s="5" t="s">
        <v>1057</v>
      </c>
      <c r="B923" s="5" t="s">
        <v>62</v>
      </c>
      <c r="C923" s="7" t="n">
        <v>45613</v>
      </c>
      <c r="D923" s="8" t="str">
        <f aca="false">INDEX(Dim_Supplier!$C$2:$C$21,MATCH(B923,Dim_Supplier!$A$2:$A$21,0))</f>
        <v>Packaging</v>
      </c>
      <c r="E923" s="8" t="str">
        <f aca="false">INDEX(Dim_Supplier!$B$2:$B$21,MATCH(B923,Dim_Supplier!$A$2:$A$21,0))</f>
        <v>Trillium Packaging Solutions</v>
      </c>
      <c r="F923" s="5" t="s">
        <v>117</v>
      </c>
      <c r="G923" s="5" t="s">
        <v>129</v>
      </c>
      <c r="H923" s="8" t="n">
        <f aca="false">INDEX(Lookup_Tables!$B$2:$B$5,MATCH(D923,Lookup_Tables!$A$2:$A$5,0))</f>
        <v>14</v>
      </c>
      <c r="I923" s="9" t="n">
        <f aca="false">C923+H923</f>
        <v>45627</v>
      </c>
      <c r="J923" s="5" t="n">
        <v>-2</v>
      </c>
      <c r="K923" s="9" t="n">
        <f aca="false">I923+J923</f>
        <v>45625</v>
      </c>
      <c r="L923" s="5" t="n">
        <v>1820</v>
      </c>
      <c r="M923" s="10" t="n">
        <f aca="false">INDEX(Dim_Supplier!$F$2:$F$21,MATCH(B923,Dim_Supplier!$A$2:$A$21,0))</f>
        <v>5.6</v>
      </c>
      <c r="N923" s="11" t="n">
        <v>0.0298</v>
      </c>
      <c r="O923" s="10" t="n">
        <f aca="false">M923*(1+N923)</f>
        <v>5.76688</v>
      </c>
      <c r="P923" s="10" t="n">
        <f aca="false">O923*L923</f>
        <v>10495.7216</v>
      </c>
      <c r="Q923" s="5" t="s">
        <v>113</v>
      </c>
      <c r="R923" s="5" t="n">
        <v>0</v>
      </c>
      <c r="S923" s="5" t="n">
        <v>45</v>
      </c>
      <c r="T923" s="12" t="n">
        <f aca="false">(O923-M923)/M923</f>
        <v>0.0298</v>
      </c>
      <c r="U923" s="8" t="n">
        <f aca="false">IF(AND(K923&lt;=I923,R923=0),1,0)</f>
        <v>1</v>
      </c>
      <c r="V923" s="10" t="n">
        <f aca="false">IF(Q923="No",P923,0)</f>
        <v>0</v>
      </c>
    </row>
    <row r="924" customFormat="false" ht="15" hidden="false" customHeight="false" outlineLevel="0" collapsed="false">
      <c r="A924" s="5" t="s">
        <v>1058</v>
      </c>
      <c r="B924" s="5" t="s">
        <v>41</v>
      </c>
      <c r="C924" s="7" t="n">
        <v>45419</v>
      </c>
      <c r="D924" s="8" t="str">
        <f aca="false">INDEX(Dim_Supplier!$C$2:$C$21,MATCH(B924,Dim_Supplier!$A$2:$A$21,0))</f>
        <v>Raw Materials</v>
      </c>
      <c r="E924" s="8" t="str">
        <f aca="false">INDEX(Dim_Supplier!$B$2:$B$21,MATCH(B924,Dim_Supplier!$A$2:$A$21,0))</f>
        <v>Ontario Steel Partners</v>
      </c>
      <c r="F924" s="5" t="s">
        <v>144</v>
      </c>
      <c r="G924" s="5" t="s">
        <v>120</v>
      </c>
      <c r="H924" s="8" t="n">
        <f aca="false">INDEX(Lookup_Tables!$B$2:$B$5,MATCH(D924,Lookup_Tables!$A$2:$A$5,0))</f>
        <v>21</v>
      </c>
      <c r="I924" s="9" t="n">
        <f aca="false">C924+H924</f>
        <v>45440</v>
      </c>
      <c r="J924" s="5" t="n">
        <v>-4</v>
      </c>
      <c r="K924" s="9" t="n">
        <f aca="false">I924+J924</f>
        <v>45436</v>
      </c>
      <c r="L924" s="5" t="n">
        <v>966</v>
      </c>
      <c r="M924" s="10" t="n">
        <f aca="false">INDEX(Dim_Supplier!$F$2:$F$21,MATCH(B924,Dim_Supplier!$A$2:$A$21,0))</f>
        <v>58</v>
      </c>
      <c r="N924" s="11" t="n">
        <v>0.029</v>
      </c>
      <c r="O924" s="10" t="n">
        <f aca="false">M924*(1+N924)</f>
        <v>59.682</v>
      </c>
      <c r="P924" s="10" t="n">
        <f aca="false">O924*L924</f>
        <v>57652.812</v>
      </c>
      <c r="Q924" s="5" t="s">
        <v>133</v>
      </c>
      <c r="R924" s="5" t="n">
        <v>0</v>
      </c>
      <c r="S924" s="5" t="n">
        <v>30</v>
      </c>
      <c r="T924" s="12" t="n">
        <f aca="false">(O924-M924)/M924</f>
        <v>0.0289999999999999</v>
      </c>
      <c r="U924" s="8" t="n">
        <f aca="false">IF(AND(K924&lt;=I924,R924=0),1,0)</f>
        <v>1</v>
      </c>
      <c r="V924" s="10" t="n">
        <f aca="false">IF(Q924="No",P924,0)</f>
        <v>57652.812</v>
      </c>
    </row>
    <row r="925" customFormat="false" ht="15" hidden="false" customHeight="false" outlineLevel="0" collapsed="false">
      <c r="A925" s="5" t="s">
        <v>1059</v>
      </c>
      <c r="B925" s="5" t="s">
        <v>41</v>
      </c>
      <c r="C925" s="7" t="n">
        <v>45823</v>
      </c>
      <c r="D925" s="8" t="str">
        <f aca="false">INDEX(Dim_Supplier!$C$2:$C$21,MATCH(B925,Dim_Supplier!$A$2:$A$21,0))</f>
        <v>Raw Materials</v>
      </c>
      <c r="E925" s="8" t="str">
        <f aca="false">INDEX(Dim_Supplier!$B$2:$B$21,MATCH(B925,Dim_Supplier!$A$2:$A$21,0))</f>
        <v>Ontario Steel Partners</v>
      </c>
      <c r="F925" s="5" t="s">
        <v>139</v>
      </c>
      <c r="G925" s="5" t="s">
        <v>125</v>
      </c>
      <c r="H925" s="8" t="n">
        <f aca="false">INDEX(Lookup_Tables!$B$2:$B$5,MATCH(D925,Lookup_Tables!$A$2:$A$5,0))</f>
        <v>21</v>
      </c>
      <c r="I925" s="9" t="n">
        <f aca="false">C925+H925</f>
        <v>45844</v>
      </c>
      <c r="J925" s="5" t="n">
        <v>-2</v>
      </c>
      <c r="K925" s="9" t="n">
        <f aca="false">I925+J925</f>
        <v>45842</v>
      </c>
      <c r="L925" s="5" t="n">
        <v>740</v>
      </c>
      <c r="M925" s="10" t="n">
        <f aca="false">INDEX(Dim_Supplier!$F$2:$F$21,MATCH(B925,Dim_Supplier!$A$2:$A$21,0))</f>
        <v>58</v>
      </c>
      <c r="N925" s="11" t="n">
        <v>0.0279</v>
      </c>
      <c r="O925" s="10" t="n">
        <f aca="false">M925*(1+N925)</f>
        <v>59.6182</v>
      </c>
      <c r="P925" s="10" t="n">
        <f aca="false">O925*L925</f>
        <v>44117.468</v>
      </c>
      <c r="Q925" s="5" t="s">
        <v>113</v>
      </c>
      <c r="R925" s="5" t="n">
        <v>0</v>
      </c>
      <c r="S925" s="5" t="n">
        <v>30</v>
      </c>
      <c r="T925" s="12" t="n">
        <f aca="false">(O925-M925)/M925</f>
        <v>0.0279</v>
      </c>
      <c r="U925" s="8" t="n">
        <f aca="false">IF(AND(K925&lt;=I925,R925=0),1,0)</f>
        <v>1</v>
      </c>
      <c r="V925" s="10" t="n">
        <f aca="false">IF(Q925="No",P925,0)</f>
        <v>0</v>
      </c>
    </row>
    <row r="926" customFormat="false" ht="15" hidden="false" customHeight="false" outlineLevel="0" collapsed="false">
      <c r="A926" s="5" t="s">
        <v>1060</v>
      </c>
      <c r="B926" s="5" t="s">
        <v>68</v>
      </c>
      <c r="C926" s="7" t="n">
        <v>45506</v>
      </c>
      <c r="D926" s="8" t="str">
        <f aca="false">INDEX(Dim_Supplier!$C$2:$C$21,MATCH(B926,Dim_Supplier!$A$2:$A$21,0))</f>
        <v>MRO</v>
      </c>
      <c r="E926" s="8" t="str">
        <f aca="false">INDEX(Dim_Supplier!$B$2:$B$21,MATCH(B926,Dim_Supplier!$A$2:$A$21,0))</f>
        <v>Precision Tool &amp; Supply</v>
      </c>
      <c r="F926" s="5" t="s">
        <v>127</v>
      </c>
      <c r="G926" s="5" t="s">
        <v>129</v>
      </c>
      <c r="H926" s="8" t="n">
        <f aca="false">INDEX(Lookup_Tables!$B$2:$B$5,MATCH(D926,Lookup_Tables!$A$2:$A$5,0))</f>
        <v>10</v>
      </c>
      <c r="I926" s="9" t="n">
        <f aca="false">C926+H926</f>
        <v>45516</v>
      </c>
      <c r="J926" s="5" t="n">
        <v>-3</v>
      </c>
      <c r="K926" s="9" t="n">
        <f aca="false">I926+J926</f>
        <v>45513</v>
      </c>
      <c r="L926" s="5" t="n">
        <v>81</v>
      </c>
      <c r="M926" s="10" t="n">
        <f aca="false">INDEX(Dim_Supplier!$F$2:$F$21,MATCH(B926,Dim_Supplier!$A$2:$A$21,0))</f>
        <v>22.4</v>
      </c>
      <c r="N926" s="11" t="n">
        <v>0.0229</v>
      </c>
      <c r="O926" s="10" t="n">
        <f aca="false">M926*(1+N926)</f>
        <v>22.91296</v>
      </c>
      <c r="P926" s="10" t="n">
        <f aca="false">O926*L926</f>
        <v>1855.94976</v>
      </c>
      <c r="Q926" s="5" t="s">
        <v>113</v>
      </c>
      <c r="R926" s="5" t="n">
        <v>0</v>
      </c>
      <c r="S926" s="5" t="n">
        <v>30</v>
      </c>
      <c r="T926" s="12" t="n">
        <f aca="false">(O926-M926)/M926</f>
        <v>0.0229</v>
      </c>
      <c r="U926" s="8" t="n">
        <f aca="false">IF(AND(K926&lt;=I926,R926=0),1,0)</f>
        <v>1</v>
      </c>
      <c r="V926" s="10" t="n">
        <f aca="false">IF(Q926="No",P926,0)</f>
        <v>0</v>
      </c>
    </row>
    <row r="927" customFormat="false" ht="15" hidden="false" customHeight="false" outlineLevel="0" collapsed="false">
      <c r="A927" s="5" t="s">
        <v>1061</v>
      </c>
      <c r="B927" s="5" t="s">
        <v>68</v>
      </c>
      <c r="C927" s="7" t="n">
        <v>45897</v>
      </c>
      <c r="D927" s="8" t="str">
        <f aca="false">INDEX(Dim_Supplier!$C$2:$C$21,MATCH(B927,Dim_Supplier!$A$2:$A$21,0))</f>
        <v>MRO</v>
      </c>
      <c r="E927" s="8" t="str">
        <f aca="false">INDEX(Dim_Supplier!$B$2:$B$21,MATCH(B927,Dim_Supplier!$A$2:$A$21,0))</f>
        <v>Precision Tool &amp; Supply</v>
      </c>
      <c r="F927" s="5" t="s">
        <v>111</v>
      </c>
      <c r="G927" s="5" t="s">
        <v>120</v>
      </c>
      <c r="H927" s="8" t="n">
        <f aca="false">INDEX(Lookup_Tables!$B$2:$B$5,MATCH(D927,Lookup_Tables!$A$2:$A$5,0))</f>
        <v>10</v>
      </c>
      <c r="I927" s="9" t="n">
        <f aca="false">C927+H927</f>
        <v>45907</v>
      </c>
      <c r="J927" s="5" t="n">
        <v>-1</v>
      </c>
      <c r="K927" s="9" t="n">
        <f aca="false">I927+J927</f>
        <v>45906</v>
      </c>
      <c r="L927" s="5" t="n">
        <v>24</v>
      </c>
      <c r="M927" s="10" t="n">
        <f aca="false">INDEX(Dim_Supplier!$F$2:$F$21,MATCH(B927,Dim_Supplier!$A$2:$A$21,0))</f>
        <v>22.4</v>
      </c>
      <c r="N927" s="11" t="n">
        <v>0.0302</v>
      </c>
      <c r="O927" s="10" t="n">
        <f aca="false">M927*(1+N927)</f>
        <v>23.07648</v>
      </c>
      <c r="P927" s="10" t="n">
        <f aca="false">O927*L927</f>
        <v>553.83552</v>
      </c>
      <c r="Q927" s="5" t="s">
        <v>113</v>
      </c>
      <c r="R927" s="5" t="n">
        <v>0</v>
      </c>
      <c r="S927" s="5" t="n">
        <v>45</v>
      </c>
      <c r="T927" s="12" t="n">
        <f aca="false">(O927-M927)/M927</f>
        <v>0.0302000000000001</v>
      </c>
      <c r="U927" s="8" t="n">
        <f aca="false">IF(AND(K927&lt;=I927,R927=0),1,0)</f>
        <v>1</v>
      </c>
      <c r="V927" s="10" t="n">
        <f aca="false">IF(Q927="No",P927,0)</f>
        <v>0</v>
      </c>
    </row>
    <row r="928" customFormat="false" ht="15" hidden="false" customHeight="false" outlineLevel="0" collapsed="false">
      <c r="A928" s="5" t="s">
        <v>1062</v>
      </c>
      <c r="B928" s="5" t="s">
        <v>49</v>
      </c>
      <c r="C928" s="7" t="n">
        <v>45759</v>
      </c>
      <c r="D928" s="8" t="str">
        <f aca="false">INDEX(Dim_Supplier!$C$2:$C$21,MATCH(B928,Dim_Supplier!$A$2:$A$21,0))</f>
        <v>Raw Materials</v>
      </c>
      <c r="E928" s="8" t="str">
        <f aca="false">INDEX(Dim_Supplier!$B$2:$B$21,MATCH(B928,Dim_Supplier!$A$2:$A$21,0))</f>
        <v>Great Lakes Polymer Co.</v>
      </c>
      <c r="F928" s="5" t="s">
        <v>148</v>
      </c>
      <c r="G928" s="5" t="s">
        <v>120</v>
      </c>
      <c r="H928" s="8" t="n">
        <f aca="false">INDEX(Lookup_Tables!$B$2:$B$5,MATCH(D928,Lookup_Tables!$A$2:$A$5,0))</f>
        <v>21</v>
      </c>
      <c r="I928" s="9" t="n">
        <f aca="false">C928+H928</f>
        <v>45780</v>
      </c>
      <c r="J928" s="5" t="n">
        <v>2</v>
      </c>
      <c r="K928" s="9" t="n">
        <f aca="false">I928+J928</f>
        <v>45782</v>
      </c>
      <c r="L928" s="5" t="n">
        <v>393</v>
      </c>
      <c r="M928" s="10" t="n">
        <f aca="false">INDEX(Dim_Supplier!$F$2:$F$21,MATCH(B928,Dim_Supplier!$A$2:$A$21,0))</f>
        <v>32.75</v>
      </c>
      <c r="N928" s="11" t="n">
        <v>0.0775</v>
      </c>
      <c r="O928" s="10" t="n">
        <f aca="false">M928*(1+N928)</f>
        <v>35.288125</v>
      </c>
      <c r="P928" s="10" t="n">
        <f aca="false">O928*L928</f>
        <v>13868.233125</v>
      </c>
      <c r="Q928" s="5" t="s">
        <v>113</v>
      </c>
      <c r="R928" s="5" t="n">
        <v>0</v>
      </c>
      <c r="S928" s="5" t="n">
        <v>45</v>
      </c>
      <c r="T928" s="12" t="n">
        <f aca="false">(O928-M928)/M928</f>
        <v>0.0774999999999998</v>
      </c>
      <c r="U928" s="8" t="n">
        <f aca="false">IF(AND(K928&lt;=I928,R928=0),1,0)</f>
        <v>0</v>
      </c>
      <c r="V928" s="10" t="n">
        <f aca="false">IF(Q928="No",P928,0)</f>
        <v>0</v>
      </c>
    </row>
    <row r="929" customFormat="false" ht="15" hidden="false" customHeight="false" outlineLevel="0" collapsed="false">
      <c r="A929" s="5" t="s">
        <v>1063</v>
      </c>
      <c r="B929" s="5" t="s">
        <v>88</v>
      </c>
      <c r="C929" s="7" t="n">
        <v>46005</v>
      </c>
      <c r="D929" s="8" t="str">
        <f aca="false">INDEX(Dim_Supplier!$C$2:$C$21,MATCH(B929,Dim_Supplier!$A$2:$A$21,0))</f>
        <v>Logistics</v>
      </c>
      <c r="E929" s="8" t="str">
        <f aca="false">INDEX(Dim_Supplier!$B$2:$B$21,MATCH(B929,Dim_Supplier!$A$2:$A$21,0))</f>
        <v>Summit Last-Mile Delivery</v>
      </c>
      <c r="F929" s="5" t="s">
        <v>154</v>
      </c>
      <c r="G929" s="5" t="s">
        <v>120</v>
      </c>
      <c r="H929" s="8" t="n">
        <f aca="false">INDEX(Lookup_Tables!$B$2:$B$5,MATCH(D929,Lookup_Tables!$A$2:$A$5,0))</f>
        <v>5</v>
      </c>
      <c r="I929" s="9" t="n">
        <f aca="false">C929+H929</f>
        <v>46010</v>
      </c>
      <c r="J929" s="5" t="n">
        <v>-4</v>
      </c>
      <c r="K929" s="9" t="n">
        <f aca="false">I929+J929</f>
        <v>46006</v>
      </c>
      <c r="L929" s="5" t="n">
        <v>33</v>
      </c>
      <c r="M929" s="10" t="n">
        <f aca="false">INDEX(Dim_Supplier!$F$2:$F$21,MATCH(B929,Dim_Supplier!$A$2:$A$21,0))</f>
        <v>95</v>
      </c>
      <c r="N929" s="11" t="n">
        <v>0.0288</v>
      </c>
      <c r="O929" s="10" t="n">
        <f aca="false">M929*(1+N929)</f>
        <v>97.736</v>
      </c>
      <c r="P929" s="10" t="n">
        <f aca="false">O929*L929</f>
        <v>3225.288</v>
      </c>
      <c r="Q929" s="5" t="s">
        <v>113</v>
      </c>
      <c r="R929" s="5" t="n">
        <v>0</v>
      </c>
      <c r="S929" s="5" t="n">
        <v>30</v>
      </c>
      <c r="T929" s="12" t="n">
        <f aca="false">(O929-M929)/M929</f>
        <v>0.0287999999999999</v>
      </c>
      <c r="U929" s="8" t="n">
        <f aca="false">IF(AND(K929&lt;=I929,R929=0),1,0)</f>
        <v>1</v>
      </c>
      <c r="V929" s="10" t="n">
        <f aca="false">IF(Q929="No",P929,0)</f>
        <v>0</v>
      </c>
    </row>
    <row r="930" customFormat="false" ht="15" hidden="false" customHeight="false" outlineLevel="0" collapsed="false">
      <c r="A930" s="5" t="s">
        <v>1064</v>
      </c>
      <c r="B930" s="5" t="s">
        <v>88</v>
      </c>
      <c r="C930" s="7" t="n">
        <v>45736</v>
      </c>
      <c r="D930" s="8" t="str">
        <f aca="false">INDEX(Dim_Supplier!$C$2:$C$21,MATCH(B930,Dim_Supplier!$A$2:$A$21,0))</f>
        <v>Logistics</v>
      </c>
      <c r="E930" s="8" t="str">
        <f aca="false">INDEX(Dim_Supplier!$B$2:$B$21,MATCH(B930,Dim_Supplier!$A$2:$A$21,0))</f>
        <v>Summit Last-Mile Delivery</v>
      </c>
      <c r="F930" s="5" t="s">
        <v>237</v>
      </c>
      <c r="G930" s="5" t="s">
        <v>129</v>
      </c>
      <c r="H930" s="8" t="n">
        <f aca="false">INDEX(Lookup_Tables!$B$2:$B$5,MATCH(D930,Lookup_Tables!$A$2:$A$5,0))</f>
        <v>5</v>
      </c>
      <c r="I930" s="9" t="n">
        <f aca="false">C930+H930</f>
        <v>45741</v>
      </c>
      <c r="J930" s="5" t="n">
        <v>0</v>
      </c>
      <c r="K930" s="9" t="n">
        <f aca="false">I930+J930</f>
        <v>45741</v>
      </c>
      <c r="L930" s="5" t="n">
        <v>18</v>
      </c>
      <c r="M930" s="10" t="n">
        <f aca="false">INDEX(Dim_Supplier!$F$2:$F$21,MATCH(B930,Dim_Supplier!$A$2:$A$21,0))</f>
        <v>95</v>
      </c>
      <c r="N930" s="11" t="n">
        <v>0.0366</v>
      </c>
      <c r="O930" s="10" t="n">
        <f aca="false">M930*(1+N930)</f>
        <v>98.477</v>
      </c>
      <c r="P930" s="10" t="n">
        <f aca="false">O930*L930</f>
        <v>1772.586</v>
      </c>
      <c r="Q930" s="5" t="s">
        <v>113</v>
      </c>
      <c r="R930" s="5" t="n">
        <v>0</v>
      </c>
      <c r="S930" s="5" t="n">
        <v>45</v>
      </c>
      <c r="T930" s="12" t="n">
        <f aca="false">(O930-M930)/M930</f>
        <v>0.0366</v>
      </c>
      <c r="U930" s="8" t="n">
        <f aca="false">IF(AND(K930&lt;=I930,R930=0),1,0)</f>
        <v>1</v>
      </c>
      <c r="V930" s="10" t="n">
        <f aca="false">IF(Q930="No",P930,0)</f>
        <v>0</v>
      </c>
    </row>
    <row r="931" customFormat="false" ht="15" hidden="false" customHeight="false" outlineLevel="0" collapsed="false">
      <c r="A931" s="5" t="s">
        <v>1065</v>
      </c>
      <c r="B931" s="5" t="s">
        <v>41</v>
      </c>
      <c r="C931" s="7" t="n">
        <v>45947</v>
      </c>
      <c r="D931" s="8" t="str">
        <f aca="false">INDEX(Dim_Supplier!$C$2:$C$21,MATCH(B931,Dim_Supplier!$A$2:$A$21,0))</f>
        <v>Raw Materials</v>
      </c>
      <c r="E931" s="8" t="str">
        <f aca="false">INDEX(Dim_Supplier!$B$2:$B$21,MATCH(B931,Dim_Supplier!$A$2:$A$21,0))</f>
        <v>Ontario Steel Partners</v>
      </c>
      <c r="F931" s="5" t="s">
        <v>148</v>
      </c>
      <c r="G931" s="5" t="s">
        <v>120</v>
      </c>
      <c r="H931" s="8" t="n">
        <f aca="false">INDEX(Lookup_Tables!$B$2:$B$5,MATCH(D931,Lookup_Tables!$A$2:$A$5,0))</f>
        <v>21</v>
      </c>
      <c r="I931" s="9" t="n">
        <f aca="false">C931+H931</f>
        <v>45968</v>
      </c>
      <c r="J931" s="5" t="n">
        <v>0</v>
      </c>
      <c r="K931" s="9" t="n">
        <f aca="false">I931+J931</f>
        <v>45968</v>
      </c>
      <c r="L931" s="5" t="n">
        <v>399</v>
      </c>
      <c r="M931" s="10" t="n">
        <f aca="false">INDEX(Dim_Supplier!$F$2:$F$21,MATCH(B931,Dim_Supplier!$A$2:$A$21,0))</f>
        <v>58</v>
      </c>
      <c r="N931" s="11" t="n">
        <v>-0.0087</v>
      </c>
      <c r="O931" s="10" t="n">
        <f aca="false">M931*(1+N931)</f>
        <v>57.4954</v>
      </c>
      <c r="P931" s="10" t="n">
        <f aca="false">O931*L931</f>
        <v>22940.6646</v>
      </c>
      <c r="Q931" s="5" t="s">
        <v>113</v>
      </c>
      <c r="R931" s="5" t="n">
        <v>0</v>
      </c>
      <c r="S931" s="5" t="n">
        <v>30</v>
      </c>
      <c r="T931" s="12" t="n">
        <f aca="false">(O931-M931)/M931</f>
        <v>-0.00870000000000006</v>
      </c>
      <c r="U931" s="8" t="n">
        <f aca="false">IF(AND(K931&lt;=I931,R931=0),1,0)</f>
        <v>1</v>
      </c>
      <c r="V931" s="10" t="n">
        <f aca="false">IF(Q931="No",P931,0)</f>
        <v>0</v>
      </c>
    </row>
    <row r="932" customFormat="false" ht="15" hidden="false" customHeight="false" outlineLevel="0" collapsed="false">
      <c r="A932" s="5" t="s">
        <v>1066</v>
      </c>
      <c r="B932" s="5" t="s">
        <v>60</v>
      </c>
      <c r="C932" s="7" t="n">
        <v>45519</v>
      </c>
      <c r="D932" s="8" t="str">
        <f aca="false">INDEX(Dim_Supplier!$C$2:$C$21,MATCH(B932,Dim_Supplier!$A$2:$A$21,0))</f>
        <v>Packaging</v>
      </c>
      <c r="E932" s="8" t="str">
        <f aca="false">INDEX(Dim_Supplier!$B$2:$B$21,MATCH(B932,Dim_Supplier!$A$2:$A$21,0))</f>
        <v>Maple Leaf Box &amp; Crate</v>
      </c>
      <c r="F932" s="5" t="s">
        <v>137</v>
      </c>
      <c r="G932" s="5" t="s">
        <v>129</v>
      </c>
      <c r="H932" s="8" t="n">
        <f aca="false">INDEX(Lookup_Tables!$B$2:$B$5,MATCH(D932,Lookup_Tables!$A$2:$A$5,0))</f>
        <v>14</v>
      </c>
      <c r="I932" s="9" t="n">
        <f aca="false">C932+H932</f>
        <v>45533</v>
      </c>
      <c r="J932" s="5" t="n">
        <v>-1</v>
      </c>
      <c r="K932" s="9" t="n">
        <f aca="false">I932+J932</f>
        <v>45532</v>
      </c>
      <c r="L932" s="5" t="n">
        <v>4812</v>
      </c>
      <c r="M932" s="10" t="n">
        <f aca="false">INDEX(Dim_Supplier!$F$2:$F$21,MATCH(B932,Dim_Supplier!$A$2:$A$21,0))</f>
        <v>3.1</v>
      </c>
      <c r="N932" s="11" t="n">
        <v>0.0299</v>
      </c>
      <c r="O932" s="10" t="n">
        <f aca="false">M932*(1+N932)</f>
        <v>3.19269</v>
      </c>
      <c r="P932" s="10" t="n">
        <f aca="false">O932*L932</f>
        <v>15363.22428</v>
      </c>
      <c r="Q932" s="5" t="s">
        <v>113</v>
      </c>
      <c r="R932" s="5" t="n">
        <v>0</v>
      </c>
      <c r="S932" s="5" t="n">
        <v>60</v>
      </c>
      <c r="T932" s="12" t="n">
        <f aca="false">(O932-M932)/M932</f>
        <v>0.0299000000000001</v>
      </c>
      <c r="U932" s="8" t="n">
        <f aca="false">IF(AND(K932&lt;=I932,R932=0),1,0)</f>
        <v>1</v>
      </c>
      <c r="V932" s="10" t="n">
        <f aca="false">IF(Q932="No",P932,0)</f>
        <v>0</v>
      </c>
    </row>
    <row r="933" customFormat="false" ht="15" hidden="false" customHeight="false" outlineLevel="0" collapsed="false">
      <c r="A933" s="5" t="s">
        <v>1067</v>
      </c>
      <c r="B933" s="5" t="s">
        <v>66</v>
      </c>
      <c r="C933" s="7" t="n">
        <v>45833</v>
      </c>
      <c r="D933" s="8" t="str">
        <f aca="false">INDEX(Dim_Supplier!$C$2:$C$21,MATCH(B933,Dim_Supplier!$A$2:$A$21,0))</f>
        <v>Packaging</v>
      </c>
      <c r="E933" s="8" t="str">
        <f aca="false">INDEX(Dim_Supplier!$B$2:$B$21,MATCH(B933,Dim_Supplier!$A$2:$A$21,0))</f>
        <v>EverGreen Wrap Industries</v>
      </c>
      <c r="F933" s="5" t="s">
        <v>119</v>
      </c>
      <c r="G933" s="5" t="s">
        <v>120</v>
      </c>
      <c r="H933" s="8" t="n">
        <f aca="false">INDEX(Lookup_Tables!$B$2:$B$5,MATCH(D933,Lookup_Tables!$A$2:$A$5,0))</f>
        <v>14</v>
      </c>
      <c r="I933" s="9" t="n">
        <f aca="false">C933+H933</f>
        <v>45847</v>
      </c>
      <c r="J933" s="5" t="n">
        <v>-4</v>
      </c>
      <c r="K933" s="9" t="n">
        <f aca="false">I933+J933</f>
        <v>45843</v>
      </c>
      <c r="L933" s="5" t="n">
        <v>892</v>
      </c>
      <c r="M933" s="10" t="n">
        <f aca="false">INDEX(Dim_Supplier!$F$2:$F$21,MATCH(B933,Dim_Supplier!$A$2:$A$21,0))</f>
        <v>6.8</v>
      </c>
      <c r="N933" s="11" t="n">
        <v>0.0513</v>
      </c>
      <c r="O933" s="10" t="n">
        <f aca="false">M933*(1+N933)</f>
        <v>7.14884</v>
      </c>
      <c r="P933" s="10" t="n">
        <f aca="false">O933*L933</f>
        <v>6376.76528</v>
      </c>
      <c r="Q933" s="5" t="s">
        <v>113</v>
      </c>
      <c r="R933" s="5" t="n">
        <v>0</v>
      </c>
      <c r="S933" s="5" t="n">
        <v>30</v>
      </c>
      <c r="T933" s="12" t="n">
        <f aca="false">(O933-M933)/M933</f>
        <v>0.0512999999999999</v>
      </c>
      <c r="U933" s="8" t="n">
        <f aca="false">IF(AND(K933&lt;=I933,R933=0),1,0)</f>
        <v>1</v>
      </c>
      <c r="V933" s="10" t="n">
        <f aca="false">IF(Q933="No",P933,0)</f>
        <v>0</v>
      </c>
    </row>
    <row r="934" customFormat="false" ht="15" hidden="false" customHeight="false" outlineLevel="0" collapsed="false">
      <c r="A934" s="5" t="s">
        <v>1068</v>
      </c>
      <c r="B934" s="5" t="s">
        <v>57</v>
      </c>
      <c r="C934" s="7" t="n">
        <v>46051</v>
      </c>
      <c r="D934" s="8" t="str">
        <f aca="false">INDEX(Dim_Supplier!$C$2:$C$21,MATCH(B934,Dim_Supplier!$A$2:$A$21,0))</f>
        <v>Packaging</v>
      </c>
      <c r="E934" s="8" t="str">
        <f aca="false">INDEX(Dim_Supplier!$B$2:$B$21,MATCH(B934,Dim_Supplier!$A$2:$A$21,0))</f>
        <v>Great Lakes Packaging Co.</v>
      </c>
      <c r="F934" s="5" t="s">
        <v>122</v>
      </c>
      <c r="G934" s="5" t="s">
        <v>125</v>
      </c>
      <c r="H934" s="8" t="n">
        <f aca="false">INDEX(Lookup_Tables!$B$2:$B$5,MATCH(D934,Lookup_Tables!$A$2:$A$5,0))</f>
        <v>14</v>
      </c>
      <c r="I934" s="9" t="n">
        <f aca="false">C934+H934</f>
        <v>46065</v>
      </c>
      <c r="J934" s="5" t="n">
        <v>-4</v>
      </c>
      <c r="K934" s="9" t="n">
        <f aca="false">I934+J934</f>
        <v>46061</v>
      </c>
      <c r="L934" s="5" t="n">
        <v>577</v>
      </c>
      <c r="M934" s="10" t="n">
        <f aca="false">INDEX(Dim_Supplier!$F$2:$F$21,MATCH(B934,Dim_Supplier!$A$2:$A$21,0))</f>
        <v>4.35</v>
      </c>
      <c r="N934" s="11" t="n">
        <v>0.0115</v>
      </c>
      <c r="O934" s="10" t="n">
        <f aca="false">M934*(1+N934)</f>
        <v>4.400025</v>
      </c>
      <c r="P934" s="10" t="n">
        <f aca="false">O934*L934</f>
        <v>2538.814425</v>
      </c>
      <c r="Q934" s="5" t="s">
        <v>113</v>
      </c>
      <c r="R934" s="5" t="n">
        <v>0</v>
      </c>
      <c r="S934" s="5" t="n">
        <v>45</v>
      </c>
      <c r="T934" s="12" t="n">
        <f aca="false">(O934-M934)/M934</f>
        <v>0.0115000000000002</v>
      </c>
      <c r="U934" s="8" t="n">
        <f aca="false">IF(AND(K934&lt;=I934,R934=0),1,0)</f>
        <v>1</v>
      </c>
      <c r="V934" s="10" t="n">
        <f aca="false">IF(Q934="No",P934,0)</f>
        <v>0</v>
      </c>
    </row>
    <row r="935" customFormat="false" ht="15" hidden="false" customHeight="false" outlineLevel="0" collapsed="false">
      <c r="A935" s="5" t="s">
        <v>1069</v>
      </c>
      <c r="B935" s="5" t="s">
        <v>46</v>
      </c>
      <c r="C935" s="7" t="n">
        <v>45873</v>
      </c>
      <c r="D935" s="8" t="str">
        <f aca="false">INDEX(Dim_Supplier!$C$2:$C$21,MATCH(B935,Dim_Supplier!$A$2:$A$21,0))</f>
        <v>Raw Materials</v>
      </c>
      <c r="E935" s="8" t="str">
        <f aca="false">INDEX(Dim_Supplier!$B$2:$B$21,MATCH(B935,Dim_Supplier!$A$2:$A$21,0))</f>
        <v>Niagara Alloy Supply</v>
      </c>
      <c r="F935" s="5" t="s">
        <v>139</v>
      </c>
      <c r="G935" s="5" t="s">
        <v>129</v>
      </c>
      <c r="H935" s="8" t="n">
        <f aca="false">INDEX(Lookup_Tables!$B$2:$B$5,MATCH(D935,Lookup_Tables!$A$2:$A$5,0))</f>
        <v>21</v>
      </c>
      <c r="I935" s="9" t="n">
        <f aca="false">C935+H935</f>
        <v>45894</v>
      </c>
      <c r="J935" s="5" t="n">
        <v>1</v>
      </c>
      <c r="K935" s="9" t="n">
        <f aca="false">I935+J935</f>
        <v>45895</v>
      </c>
      <c r="L935" s="5" t="n">
        <v>858</v>
      </c>
      <c r="M935" s="10" t="n">
        <f aca="false">INDEX(Dim_Supplier!$F$2:$F$21,MATCH(B935,Dim_Supplier!$A$2:$A$21,0))</f>
        <v>46.5</v>
      </c>
      <c r="N935" s="11" t="n">
        <v>0.016</v>
      </c>
      <c r="O935" s="10" t="n">
        <f aca="false">M935*(1+N935)</f>
        <v>47.244</v>
      </c>
      <c r="P935" s="10" t="n">
        <f aca="false">O935*L935</f>
        <v>40535.352</v>
      </c>
      <c r="Q935" s="5" t="s">
        <v>113</v>
      </c>
      <c r="R935" s="5" t="n">
        <v>0</v>
      </c>
      <c r="S935" s="5" t="n">
        <v>45</v>
      </c>
      <c r="T935" s="12" t="n">
        <f aca="false">(O935-M935)/M935</f>
        <v>0.016</v>
      </c>
      <c r="U935" s="8" t="n">
        <f aca="false">IF(AND(K935&lt;=I935,R935=0),1,0)</f>
        <v>0</v>
      </c>
      <c r="V935" s="10" t="n">
        <f aca="false">IF(Q935="No",P935,0)</f>
        <v>0</v>
      </c>
    </row>
    <row r="936" customFormat="false" ht="15" hidden="false" customHeight="false" outlineLevel="0" collapsed="false">
      <c r="A936" s="5" t="s">
        <v>1070</v>
      </c>
      <c r="B936" s="5" t="s">
        <v>75</v>
      </c>
      <c r="C936" s="7" t="n">
        <v>45479</v>
      </c>
      <c r="D936" s="8" t="str">
        <f aca="false">INDEX(Dim_Supplier!$C$2:$C$21,MATCH(B936,Dim_Supplier!$A$2:$A$21,0))</f>
        <v>MRO</v>
      </c>
      <c r="E936" s="8" t="str">
        <f aca="false">INDEX(Dim_Supplier!$B$2:$B$21,MATCH(B936,Dim_Supplier!$A$2:$A$21,0))</f>
        <v>Sterling Lubricants Inc.</v>
      </c>
      <c r="F936" s="5" t="s">
        <v>179</v>
      </c>
      <c r="G936" s="5" t="s">
        <v>120</v>
      </c>
      <c r="H936" s="8" t="n">
        <f aca="false">INDEX(Lookup_Tables!$B$2:$B$5,MATCH(D936,Lookup_Tables!$A$2:$A$5,0))</f>
        <v>10</v>
      </c>
      <c r="I936" s="9" t="n">
        <f aca="false">C936+H936</f>
        <v>45489</v>
      </c>
      <c r="J936" s="5" t="n">
        <v>-2</v>
      </c>
      <c r="K936" s="9" t="n">
        <f aca="false">I936+J936</f>
        <v>45487</v>
      </c>
      <c r="L936" s="5" t="n">
        <v>75</v>
      </c>
      <c r="M936" s="10" t="n">
        <f aca="false">INDEX(Dim_Supplier!$F$2:$F$21,MATCH(B936,Dim_Supplier!$A$2:$A$21,0))</f>
        <v>27.1</v>
      </c>
      <c r="N936" s="11" t="n">
        <v>-0.0025</v>
      </c>
      <c r="O936" s="10" t="n">
        <f aca="false">M936*(1+N936)</f>
        <v>27.03225</v>
      </c>
      <c r="P936" s="10" t="n">
        <f aca="false">O936*L936</f>
        <v>2027.41875</v>
      </c>
      <c r="Q936" s="5" t="s">
        <v>133</v>
      </c>
      <c r="R936" s="5" t="n">
        <v>0</v>
      </c>
      <c r="S936" s="5" t="n">
        <v>45</v>
      </c>
      <c r="T936" s="12" t="n">
        <f aca="false">(O936-M936)/M936</f>
        <v>-0.00250000000000001</v>
      </c>
      <c r="U936" s="8" t="n">
        <f aca="false">IF(AND(K936&lt;=I936,R936=0),1,0)</f>
        <v>1</v>
      </c>
      <c r="V936" s="10" t="n">
        <f aca="false">IF(Q936="No",P936,0)</f>
        <v>2027.41875</v>
      </c>
    </row>
    <row r="937" customFormat="false" ht="15" hidden="false" customHeight="false" outlineLevel="0" collapsed="false">
      <c r="A937" s="5" t="s">
        <v>1071</v>
      </c>
      <c r="B937" s="5" t="s">
        <v>86</v>
      </c>
      <c r="C937" s="7" t="n">
        <v>45526</v>
      </c>
      <c r="D937" s="8" t="str">
        <f aca="false">INDEX(Dim_Supplier!$C$2:$C$21,MATCH(B937,Dim_Supplier!$A$2:$A$21,0))</f>
        <v>Logistics</v>
      </c>
      <c r="E937" s="8" t="str">
        <f aca="false">INDEX(Dim_Supplier!$B$2:$B$21,MATCH(B937,Dim_Supplier!$A$2:$A$21,0))</f>
        <v>Blue Water Customs Brokerage</v>
      </c>
      <c r="F937" s="5" t="s">
        <v>146</v>
      </c>
      <c r="G937" s="5" t="s">
        <v>129</v>
      </c>
      <c r="H937" s="8" t="n">
        <f aca="false">INDEX(Lookup_Tables!$B$2:$B$5,MATCH(D937,Lookup_Tables!$A$2:$A$5,0))</f>
        <v>5</v>
      </c>
      <c r="I937" s="9" t="n">
        <f aca="false">C937+H937</f>
        <v>45531</v>
      </c>
      <c r="J937" s="5" t="n">
        <v>0</v>
      </c>
      <c r="K937" s="9" t="n">
        <f aca="false">I937+J937</f>
        <v>45531</v>
      </c>
      <c r="L937" s="5" t="n">
        <v>21</v>
      </c>
      <c r="M937" s="10" t="n">
        <f aca="false">INDEX(Dim_Supplier!$F$2:$F$21,MATCH(B937,Dim_Supplier!$A$2:$A$21,0))</f>
        <v>175</v>
      </c>
      <c r="N937" s="11" t="n">
        <v>0.0034</v>
      </c>
      <c r="O937" s="10" t="n">
        <f aca="false">M937*(1+N937)</f>
        <v>175.595</v>
      </c>
      <c r="P937" s="10" t="n">
        <f aca="false">O937*L937</f>
        <v>3687.495</v>
      </c>
      <c r="Q937" s="5" t="s">
        <v>113</v>
      </c>
      <c r="R937" s="5" t="n">
        <v>0</v>
      </c>
      <c r="S937" s="5" t="n">
        <v>30</v>
      </c>
      <c r="T937" s="12" t="n">
        <f aca="false">(O937-M937)/M937</f>
        <v>0.00339999999999999</v>
      </c>
      <c r="U937" s="8" t="n">
        <f aca="false">IF(AND(K937&lt;=I937,R937=0),1,0)</f>
        <v>1</v>
      </c>
      <c r="V937" s="10" t="n">
        <f aca="false">IF(Q937="No",P937,0)</f>
        <v>0</v>
      </c>
    </row>
    <row r="938" customFormat="false" ht="15" hidden="false" customHeight="false" outlineLevel="0" collapsed="false">
      <c r="A938" s="5" t="s">
        <v>1072</v>
      </c>
      <c r="B938" s="5" t="s">
        <v>52</v>
      </c>
      <c r="C938" s="7" t="n">
        <v>45387</v>
      </c>
      <c r="D938" s="8" t="str">
        <f aca="false">INDEX(Dim_Supplier!$C$2:$C$21,MATCH(B938,Dim_Supplier!$A$2:$A$21,0))</f>
        <v>Raw Materials</v>
      </c>
      <c r="E938" s="8" t="str">
        <f aca="false">INDEX(Dim_Supplier!$B$2:$B$21,MATCH(B938,Dim_Supplier!$A$2:$A$21,0))</f>
        <v>Laurentian Metals Inc.</v>
      </c>
      <c r="F938" s="5" t="s">
        <v>115</v>
      </c>
      <c r="G938" s="5" t="s">
        <v>129</v>
      </c>
      <c r="H938" s="8" t="n">
        <f aca="false">INDEX(Lookup_Tables!$B$2:$B$5,MATCH(D938,Lookup_Tables!$A$2:$A$5,0))</f>
        <v>21</v>
      </c>
      <c r="I938" s="9" t="n">
        <f aca="false">C938+H938</f>
        <v>45408</v>
      </c>
      <c r="J938" s="5" t="n">
        <v>-2</v>
      </c>
      <c r="K938" s="9" t="n">
        <f aca="false">I938+J938</f>
        <v>45406</v>
      </c>
      <c r="L938" s="5" t="n">
        <v>1109</v>
      </c>
      <c r="M938" s="10" t="n">
        <f aca="false">INDEX(Dim_Supplier!$F$2:$F$21,MATCH(B938,Dim_Supplier!$A$2:$A$21,0))</f>
        <v>61.2</v>
      </c>
      <c r="N938" s="11" t="n">
        <v>0.0283</v>
      </c>
      <c r="O938" s="10" t="n">
        <f aca="false">M938*(1+N938)</f>
        <v>62.93196</v>
      </c>
      <c r="P938" s="10" t="n">
        <f aca="false">O938*L938</f>
        <v>69791.54364</v>
      </c>
      <c r="Q938" s="5" t="s">
        <v>113</v>
      </c>
      <c r="R938" s="5" t="n">
        <v>0</v>
      </c>
      <c r="S938" s="5" t="n">
        <v>60</v>
      </c>
      <c r="T938" s="12" t="n">
        <f aca="false">(O938-M938)/M938</f>
        <v>0.0283</v>
      </c>
      <c r="U938" s="8" t="n">
        <f aca="false">IF(AND(K938&lt;=I938,R938=0),1,0)</f>
        <v>1</v>
      </c>
      <c r="V938" s="10" t="n">
        <f aca="false">IF(Q938="No",P938,0)</f>
        <v>0</v>
      </c>
    </row>
    <row r="939" customFormat="false" ht="15" hidden="false" customHeight="false" outlineLevel="0" collapsed="false">
      <c r="A939" s="5" t="s">
        <v>1073</v>
      </c>
      <c r="B939" s="5" t="s">
        <v>75</v>
      </c>
      <c r="C939" s="7" t="n">
        <v>46040</v>
      </c>
      <c r="D939" s="8" t="str">
        <f aca="false">INDEX(Dim_Supplier!$C$2:$C$21,MATCH(B939,Dim_Supplier!$A$2:$A$21,0))</f>
        <v>MRO</v>
      </c>
      <c r="E939" s="8" t="str">
        <f aca="false">INDEX(Dim_Supplier!$B$2:$B$21,MATCH(B939,Dim_Supplier!$A$2:$A$21,0))</f>
        <v>Sterling Lubricants Inc.</v>
      </c>
      <c r="F939" s="5" t="s">
        <v>164</v>
      </c>
      <c r="G939" s="5" t="s">
        <v>125</v>
      </c>
      <c r="H939" s="8" t="n">
        <f aca="false">INDEX(Lookup_Tables!$B$2:$B$5,MATCH(D939,Lookup_Tables!$A$2:$A$5,0))</f>
        <v>10</v>
      </c>
      <c r="I939" s="9" t="n">
        <f aca="false">C939+H939</f>
        <v>46050</v>
      </c>
      <c r="J939" s="5" t="n">
        <v>-4</v>
      </c>
      <c r="K939" s="9" t="n">
        <f aca="false">I939+J939</f>
        <v>46046</v>
      </c>
      <c r="L939" s="5" t="n">
        <v>178</v>
      </c>
      <c r="M939" s="10" t="n">
        <f aca="false">INDEX(Dim_Supplier!$F$2:$F$21,MATCH(B939,Dim_Supplier!$A$2:$A$21,0))</f>
        <v>27.1</v>
      </c>
      <c r="N939" s="11" t="n">
        <v>0.0204</v>
      </c>
      <c r="O939" s="10" t="n">
        <f aca="false">M939*(1+N939)</f>
        <v>27.65284</v>
      </c>
      <c r="P939" s="10" t="n">
        <f aca="false">O939*L939</f>
        <v>4922.20552</v>
      </c>
      <c r="Q939" s="5" t="s">
        <v>113</v>
      </c>
      <c r="R939" s="5" t="n">
        <v>0</v>
      </c>
      <c r="S939" s="5" t="n">
        <v>30</v>
      </c>
      <c r="T939" s="12" t="n">
        <f aca="false">(O939-M939)/M939</f>
        <v>0.0204</v>
      </c>
      <c r="U939" s="8" t="n">
        <f aca="false">IF(AND(K939&lt;=I939,R939=0),1,0)</f>
        <v>1</v>
      </c>
      <c r="V939" s="10" t="n">
        <f aca="false">IF(Q939="No",P939,0)</f>
        <v>0</v>
      </c>
    </row>
    <row r="940" customFormat="false" ht="15" hidden="false" customHeight="false" outlineLevel="0" collapsed="false">
      <c r="A940" s="5" t="s">
        <v>1074</v>
      </c>
      <c r="B940" s="5" t="s">
        <v>71</v>
      </c>
      <c r="C940" s="7" t="n">
        <v>46143</v>
      </c>
      <c r="D940" s="8" t="str">
        <f aca="false">INDEX(Dim_Supplier!$C$2:$C$21,MATCH(B940,Dim_Supplier!$A$2:$A$21,0))</f>
        <v>MRO</v>
      </c>
      <c r="E940" s="8" t="str">
        <f aca="false">INDEX(Dim_Supplier!$B$2:$B$21,MATCH(B940,Dim_Supplier!$A$2:$A$21,0))</f>
        <v>CanSafe Equipment Ltd.</v>
      </c>
      <c r="F940" s="5" t="s">
        <v>127</v>
      </c>
      <c r="G940" s="5" t="s">
        <v>125</v>
      </c>
      <c r="H940" s="8" t="n">
        <f aca="false">INDEX(Lookup_Tables!$B$2:$B$5,MATCH(D940,Lookup_Tables!$A$2:$A$5,0))</f>
        <v>10</v>
      </c>
      <c r="I940" s="9" t="n">
        <f aca="false">C940+H940</f>
        <v>46153</v>
      </c>
      <c r="J940" s="5" t="n">
        <v>-2</v>
      </c>
      <c r="K940" s="9" t="n">
        <f aca="false">I940+J940</f>
        <v>46151</v>
      </c>
      <c r="L940" s="5" t="n">
        <v>67</v>
      </c>
      <c r="M940" s="10" t="n">
        <f aca="false">INDEX(Dim_Supplier!$F$2:$F$21,MATCH(B940,Dim_Supplier!$A$2:$A$21,0))</f>
        <v>18.75</v>
      </c>
      <c r="N940" s="11" t="n">
        <v>-0.0018</v>
      </c>
      <c r="O940" s="10" t="n">
        <f aca="false">M940*(1+N940)</f>
        <v>18.71625</v>
      </c>
      <c r="P940" s="10" t="n">
        <f aca="false">O940*L940</f>
        <v>1253.98875</v>
      </c>
      <c r="Q940" s="5" t="s">
        <v>133</v>
      </c>
      <c r="R940" s="5" t="n">
        <v>0</v>
      </c>
      <c r="S940" s="5" t="n">
        <v>60</v>
      </c>
      <c r="T940" s="12" t="n">
        <f aca="false">(O940-M940)/M940</f>
        <v>-0.00180000000000007</v>
      </c>
      <c r="U940" s="8" t="n">
        <f aca="false">IF(AND(K940&lt;=I940,R940=0),1,0)</f>
        <v>1</v>
      </c>
      <c r="V940" s="10" t="n">
        <f aca="false">IF(Q940="No",P940,0)</f>
        <v>1253.98875</v>
      </c>
    </row>
    <row r="941" customFormat="false" ht="15" hidden="false" customHeight="false" outlineLevel="0" collapsed="false">
      <c r="A941" s="5" t="s">
        <v>1075</v>
      </c>
      <c r="B941" s="5" t="s">
        <v>88</v>
      </c>
      <c r="C941" s="7" t="n">
        <v>45832</v>
      </c>
      <c r="D941" s="8" t="str">
        <f aca="false">INDEX(Dim_Supplier!$C$2:$C$21,MATCH(B941,Dim_Supplier!$A$2:$A$21,0))</f>
        <v>Logistics</v>
      </c>
      <c r="E941" s="8" t="str">
        <f aca="false">INDEX(Dim_Supplier!$B$2:$B$21,MATCH(B941,Dim_Supplier!$A$2:$A$21,0))</f>
        <v>Summit Last-Mile Delivery</v>
      </c>
      <c r="F941" s="5" t="s">
        <v>185</v>
      </c>
      <c r="G941" s="5" t="s">
        <v>129</v>
      </c>
      <c r="H941" s="8" t="n">
        <f aca="false">INDEX(Lookup_Tables!$B$2:$B$5,MATCH(D941,Lookup_Tables!$A$2:$A$5,0))</f>
        <v>5</v>
      </c>
      <c r="I941" s="9" t="n">
        <f aca="false">C941+H941</f>
        <v>45837</v>
      </c>
      <c r="J941" s="5" t="n">
        <v>-4</v>
      </c>
      <c r="K941" s="9" t="n">
        <f aca="false">I941+J941</f>
        <v>45833</v>
      </c>
      <c r="L941" s="5" t="n">
        <v>44</v>
      </c>
      <c r="M941" s="10" t="n">
        <f aca="false">INDEX(Dim_Supplier!$F$2:$F$21,MATCH(B941,Dim_Supplier!$A$2:$A$21,0))</f>
        <v>95</v>
      </c>
      <c r="N941" s="11" t="n">
        <v>0.0077</v>
      </c>
      <c r="O941" s="10" t="n">
        <f aca="false">M941*(1+N941)</f>
        <v>95.7315</v>
      </c>
      <c r="P941" s="10" t="n">
        <f aca="false">O941*L941</f>
        <v>4212.186</v>
      </c>
      <c r="Q941" s="5" t="s">
        <v>133</v>
      </c>
      <c r="R941" s="5" t="n">
        <v>0</v>
      </c>
      <c r="S941" s="5" t="n">
        <v>60</v>
      </c>
      <c r="T941" s="12" t="n">
        <f aca="false">(O941-M941)/M941</f>
        <v>0.00769999999999997</v>
      </c>
      <c r="U941" s="8" t="n">
        <f aca="false">IF(AND(K941&lt;=I941,R941=0),1,0)</f>
        <v>1</v>
      </c>
      <c r="V941" s="10" t="n">
        <f aca="false">IF(Q941="No",P941,0)</f>
        <v>4212.186</v>
      </c>
    </row>
    <row r="942" customFormat="false" ht="15" hidden="false" customHeight="false" outlineLevel="0" collapsed="false">
      <c r="A942" s="5" t="s">
        <v>1076</v>
      </c>
      <c r="B942" s="5" t="s">
        <v>49</v>
      </c>
      <c r="C942" s="7" t="n">
        <v>45667</v>
      </c>
      <c r="D942" s="8" t="str">
        <f aca="false">INDEX(Dim_Supplier!$C$2:$C$21,MATCH(B942,Dim_Supplier!$A$2:$A$21,0))</f>
        <v>Raw Materials</v>
      </c>
      <c r="E942" s="8" t="str">
        <f aca="false">INDEX(Dim_Supplier!$B$2:$B$21,MATCH(B942,Dim_Supplier!$A$2:$A$21,0))</f>
        <v>Great Lakes Polymer Co.</v>
      </c>
      <c r="F942" s="5" t="s">
        <v>115</v>
      </c>
      <c r="G942" s="5" t="s">
        <v>120</v>
      </c>
      <c r="H942" s="8" t="n">
        <f aca="false">INDEX(Lookup_Tables!$B$2:$B$5,MATCH(D942,Lookup_Tables!$A$2:$A$5,0))</f>
        <v>21</v>
      </c>
      <c r="I942" s="9" t="n">
        <f aca="false">C942+H942</f>
        <v>45688</v>
      </c>
      <c r="J942" s="5" t="n">
        <v>6</v>
      </c>
      <c r="K942" s="9" t="n">
        <f aca="false">I942+J942</f>
        <v>45694</v>
      </c>
      <c r="L942" s="5" t="n">
        <v>876</v>
      </c>
      <c r="M942" s="10" t="n">
        <f aca="false">INDEX(Dim_Supplier!$F$2:$F$21,MATCH(B942,Dim_Supplier!$A$2:$A$21,0))</f>
        <v>32.75</v>
      </c>
      <c r="N942" s="11" t="n">
        <v>0.1138</v>
      </c>
      <c r="O942" s="10" t="n">
        <f aca="false">M942*(1+N942)</f>
        <v>36.47695</v>
      </c>
      <c r="P942" s="10" t="n">
        <f aca="false">O942*L942</f>
        <v>31953.8082</v>
      </c>
      <c r="Q942" s="5" t="s">
        <v>113</v>
      </c>
      <c r="R942" s="5" t="n">
        <v>0</v>
      </c>
      <c r="S942" s="5" t="n">
        <v>30</v>
      </c>
      <c r="T942" s="12" t="n">
        <f aca="false">(O942-M942)/M942</f>
        <v>0.1138</v>
      </c>
      <c r="U942" s="8" t="n">
        <f aca="false">IF(AND(K942&lt;=I942,R942=0),1,0)</f>
        <v>0</v>
      </c>
      <c r="V942" s="10" t="n">
        <f aca="false">IF(Q942="No",P942,0)</f>
        <v>0</v>
      </c>
    </row>
    <row r="943" customFormat="false" ht="15" hidden="false" customHeight="false" outlineLevel="0" collapsed="false">
      <c r="A943" s="5" t="s">
        <v>1077</v>
      </c>
      <c r="B943" s="5" t="s">
        <v>75</v>
      </c>
      <c r="C943" s="7" t="n">
        <v>46143</v>
      </c>
      <c r="D943" s="8" t="str">
        <f aca="false">INDEX(Dim_Supplier!$C$2:$C$21,MATCH(B943,Dim_Supplier!$A$2:$A$21,0))</f>
        <v>MRO</v>
      </c>
      <c r="E943" s="8" t="str">
        <f aca="false">INDEX(Dim_Supplier!$B$2:$B$21,MATCH(B943,Dim_Supplier!$A$2:$A$21,0))</f>
        <v>Sterling Lubricants Inc.</v>
      </c>
      <c r="F943" s="5" t="s">
        <v>132</v>
      </c>
      <c r="G943" s="5" t="s">
        <v>129</v>
      </c>
      <c r="H943" s="8" t="n">
        <f aca="false">INDEX(Lookup_Tables!$B$2:$B$5,MATCH(D943,Lookup_Tables!$A$2:$A$5,0))</f>
        <v>10</v>
      </c>
      <c r="I943" s="9" t="n">
        <f aca="false">C943+H943</f>
        <v>46153</v>
      </c>
      <c r="J943" s="5" t="n">
        <v>-4</v>
      </c>
      <c r="K943" s="9" t="n">
        <f aca="false">I943+J943</f>
        <v>46149</v>
      </c>
      <c r="L943" s="5" t="n">
        <v>72</v>
      </c>
      <c r="M943" s="10" t="n">
        <f aca="false">INDEX(Dim_Supplier!$F$2:$F$21,MATCH(B943,Dim_Supplier!$A$2:$A$21,0))</f>
        <v>27.1</v>
      </c>
      <c r="N943" s="11" t="n">
        <v>0.0423</v>
      </c>
      <c r="O943" s="10" t="n">
        <f aca="false">M943*(1+N943)</f>
        <v>28.24633</v>
      </c>
      <c r="P943" s="10" t="n">
        <f aca="false">O943*L943</f>
        <v>2033.73576</v>
      </c>
      <c r="Q943" s="5" t="s">
        <v>113</v>
      </c>
      <c r="R943" s="5" t="n">
        <v>0</v>
      </c>
      <c r="S943" s="5" t="n">
        <v>45</v>
      </c>
      <c r="T943" s="12" t="n">
        <f aca="false">(O943-M943)/M943</f>
        <v>0.0423</v>
      </c>
      <c r="U943" s="8" t="n">
        <f aca="false">IF(AND(K943&lt;=I943,R943=0),1,0)</f>
        <v>1</v>
      </c>
      <c r="V943" s="10" t="n">
        <f aca="false">IF(Q943="No",P943,0)</f>
        <v>0</v>
      </c>
    </row>
    <row r="944" customFormat="false" ht="15" hidden="false" customHeight="false" outlineLevel="0" collapsed="false">
      <c r="A944" s="5" t="s">
        <v>1078</v>
      </c>
      <c r="B944" s="5" t="s">
        <v>52</v>
      </c>
      <c r="C944" s="7" t="n">
        <v>45604</v>
      </c>
      <c r="D944" s="8" t="str">
        <f aca="false">INDEX(Dim_Supplier!$C$2:$C$21,MATCH(B944,Dim_Supplier!$A$2:$A$21,0))</f>
        <v>Raw Materials</v>
      </c>
      <c r="E944" s="8" t="str">
        <f aca="false">INDEX(Dim_Supplier!$B$2:$B$21,MATCH(B944,Dim_Supplier!$A$2:$A$21,0))</f>
        <v>Laurentian Metals Inc.</v>
      </c>
      <c r="F944" s="5" t="s">
        <v>144</v>
      </c>
      <c r="G944" s="5" t="s">
        <v>129</v>
      </c>
      <c r="H944" s="8" t="n">
        <f aca="false">INDEX(Lookup_Tables!$B$2:$B$5,MATCH(D944,Lookup_Tables!$A$2:$A$5,0))</f>
        <v>21</v>
      </c>
      <c r="I944" s="9" t="n">
        <f aca="false">C944+H944</f>
        <v>45625</v>
      </c>
      <c r="J944" s="5" t="n">
        <v>1</v>
      </c>
      <c r="K944" s="9" t="n">
        <f aca="false">I944+J944</f>
        <v>45626</v>
      </c>
      <c r="L944" s="5" t="n">
        <v>1837</v>
      </c>
      <c r="M944" s="10" t="n">
        <f aca="false">INDEX(Dim_Supplier!$F$2:$F$21,MATCH(B944,Dim_Supplier!$A$2:$A$21,0))</f>
        <v>61.2</v>
      </c>
      <c r="N944" s="11" t="n">
        <v>0.0033</v>
      </c>
      <c r="O944" s="10" t="n">
        <f aca="false">M944*(1+N944)</f>
        <v>61.40196</v>
      </c>
      <c r="P944" s="10" t="n">
        <f aca="false">O944*L944</f>
        <v>112795.40052</v>
      </c>
      <c r="Q944" s="5" t="s">
        <v>113</v>
      </c>
      <c r="R944" s="5" t="n">
        <v>0</v>
      </c>
      <c r="S944" s="5" t="n">
        <v>45</v>
      </c>
      <c r="T944" s="12" t="n">
        <f aca="false">(O944-M944)/M944</f>
        <v>0.00330000000000011</v>
      </c>
      <c r="U944" s="8" t="n">
        <f aca="false">IF(AND(K944&lt;=I944,R944=0),1,0)</f>
        <v>0</v>
      </c>
      <c r="V944" s="10" t="n">
        <f aca="false">IF(Q944="No",P944,0)</f>
        <v>0</v>
      </c>
    </row>
    <row r="945" customFormat="false" ht="15" hidden="false" customHeight="false" outlineLevel="0" collapsed="false">
      <c r="A945" s="5" t="s">
        <v>1079</v>
      </c>
      <c r="B945" s="5" t="s">
        <v>57</v>
      </c>
      <c r="C945" s="7" t="n">
        <v>45654</v>
      </c>
      <c r="D945" s="8" t="str">
        <f aca="false">INDEX(Dim_Supplier!$C$2:$C$21,MATCH(B945,Dim_Supplier!$A$2:$A$21,0))</f>
        <v>Packaging</v>
      </c>
      <c r="E945" s="8" t="str">
        <f aca="false">INDEX(Dim_Supplier!$B$2:$B$21,MATCH(B945,Dim_Supplier!$A$2:$A$21,0))</f>
        <v>Great Lakes Packaging Co.</v>
      </c>
      <c r="F945" s="5" t="s">
        <v>117</v>
      </c>
      <c r="G945" s="5" t="s">
        <v>129</v>
      </c>
      <c r="H945" s="8" t="n">
        <f aca="false">INDEX(Lookup_Tables!$B$2:$B$5,MATCH(D945,Lookup_Tables!$A$2:$A$5,0))</f>
        <v>14</v>
      </c>
      <c r="I945" s="9" t="n">
        <f aca="false">C945+H945</f>
        <v>45668</v>
      </c>
      <c r="J945" s="5" t="n">
        <v>-4</v>
      </c>
      <c r="K945" s="9" t="n">
        <f aca="false">I945+J945</f>
        <v>45664</v>
      </c>
      <c r="L945" s="5" t="n">
        <v>3793</v>
      </c>
      <c r="M945" s="10" t="n">
        <f aca="false">INDEX(Dim_Supplier!$F$2:$F$21,MATCH(B945,Dim_Supplier!$A$2:$A$21,0))</f>
        <v>4.35</v>
      </c>
      <c r="N945" s="11" t="n">
        <v>0.0359</v>
      </c>
      <c r="O945" s="10" t="n">
        <f aca="false">M945*(1+N945)</f>
        <v>4.506165</v>
      </c>
      <c r="P945" s="10" t="n">
        <f aca="false">O945*L945</f>
        <v>17091.883845</v>
      </c>
      <c r="Q945" s="5" t="s">
        <v>113</v>
      </c>
      <c r="R945" s="5" t="n">
        <v>0</v>
      </c>
      <c r="S945" s="5" t="n">
        <v>30</v>
      </c>
      <c r="T945" s="12" t="n">
        <f aca="false">(O945-M945)/M945</f>
        <v>0.0359000000000001</v>
      </c>
      <c r="U945" s="8" t="n">
        <f aca="false">IF(AND(K945&lt;=I945,R945=0),1,0)</f>
        <v>1</v>
      </c>
      <c r="V945" s="10" t="n">
        <f aca="false">IF(Q945="No",P945,0)</f>
        <v>0</v>
      </c>
    </row>
    <row r="946" customFormat="false" ht="15" hidden="false" customHeight="false" outlineLevel="0" collapsed="false">
      <c r="A946" s="5" t="s">
        <v>1080</v>
      </c>
      <c r="B946" s="5" t="s">
        <v>41</v>
      </c>
      <c r="C946" s="7" t="n">
        <v>45818</v>
      </c>
      <c r="D946" s="8" t="str">
        <f aca="false">INDEX(Dim_Supplier!$C$2:$C$21,MATCH(B946,Dim_Supplier!$A$2:$A$21,0))</f>
        <v>Raw Materials</v>
      </c>
      <c r="E946" s="8" t="str">
        <f aca="false">INDEX(Dim_Supplier!$B$2:$B$21,MATCH(B946,Dim_Supplier!$A$2:$A$21,0))</f>
        <v>Ontario Steel Partners</v>
      </c>
      <c r="F946" s="5" t="s">
        <v>115</v>
      </c>
      <c r="G946" s="5" t="s">
        <v>125</v>
      </c>
      <c r="H946" s="8" t="n">
        <f aca="false">INDEX(Lookup_Tables!$B$2:$B$5,MATCH(D946,Lookup_Tables!$A$2:$A$5,0))</f>
        <v>21</v>
      </c>
      <c r="I946" s="9" t="n">
        <f aca="false">C946+H946</f>
        <v>45839</v>
      </c>
      <c r="J946" s="5" t="n">
        <v>-1</v>
      </c>
      <c r="K946" s="9" t="n">
        <f aca="false">I946+J946</f>
        <v>45838</v>
      </c>
      <c r="L946" s="5" t="n">
        <v>418</v>
      </c>
      <c r="M946" s="10" t="n">
        <f aca="false">INDEX(Dim_Supplier!$F$2:$F$21,MATCH(B946,Dim_Supplier!$A$2:$A$21,0))</f>
        <v>58</v>
      </c>
      <c r="N946" s="11" t="n">
        <v>0.0262</v>
      </c>
      <c r="O946" s="10" t="n">
        <f aca="false">M946*(1+N946)</f>
        <v>59.5196</v>
      </c>
      <c r="P946" s="10" t="n">
        <f aca="false">O946*L946</f>
        <v>24879.1928</v>
      </c>
      <c r="Q946" s="5" t="s">
        <v>113</v>
      </c>
      <c r="R946" s="5" t="n">
        <v>0</v>
      </c>
      <c r="S946" s="5" t="n">
        <v>30</v>
      </c>
      <c r="T946" s="12" t="n">
        <f aca="false">(O946-M946)/M946</f>
        <v>0.0262</v>
      </c>
      <c r="U946" s="8" t="n">
        <f aca="false">IF(AND(K946&lt;=I946,R946=0),1,0)</f>
        <v>1</v>
      </c>
      <c r="V946" s="10" t="n">
        <f aca="false">IF(Q946="No",P946,0)</f>
        <v>0</v>
      </c>
    </row>
    <row r="947" customFormat="false" ht="15" hidden="false" customHeight="false" outlineLevel="0" collapsed="false">
      <c r="A947" s="5" t="s">
        <v>1081</v>
      </c>
      <c r="B947" s="5" t="s">
        <v>60</v>
      </c>
      <c r="C947" s="7" t="n">
        <v>45665</v>
      </c>
      <c r="D947" s="8" t="str">
        <f aca="false">INDEX(Dim_Supplier!$C$2:$C$21,MATCH(B947,Dim_Supplier!$A$2:$A$21,0))</f>
        <v>Packaging</v>
      </c>
      <c r="E947" s="8" t="str">
        <f aca="false">INDEX(Dim_Supplier!$B$2:$B$21,MATCH(B947,Dim_Supplier!$A$2:$A$21,0))</f>
        <v>Maple Leaf Box &amp; Crate</v>
      </c>
      <c r="F947" s="5" t="s">
        <v>137</v>
      </c>
      <c r="G947" s="5" t="s">
        <v>112</v>
      </c>
      <c r="H947" s="8" t="n">
        <f aca="false">INDEX(Lookup_Tables!$B$2:$B$5,MATCH(D947,Lookup_Tables!$A$2:$A$5,0))</f>
        <v>14</v>
      </c>
      <c r="I947" s="9" t="n">
        <f aca="false">C947+H947</f>
        <v>45679</v>
      </c>
      <c r="J947" s="5" t="n">
        <v>-3</v>
      </c>
      <c r="K947" s="9" t="n">
        <f aca="false">I947+J947</f>
        <v>45676</v>
      </c>
      <c r="L947" s="5" t="n">
        <v>4092</v>
      </c>
      <c r="M947" s="10" t="n">
        <f aca="false">INDEX(Dim_Supplier!$F$2:$F$21,MATCH(B947,Dim_Supplier!$A$2:$A$21,0))</f>
        <v>3.1</v>
      </c>
      <c r="N947" s="11" t="n">
        <v>0.0364</v>
      </c>
      <c r="O947" s="10" t="n">
        <f aca="false">M947*(1+N947)</f>
        <v>3.21284</v>
      </c>
      <c r="P947" s="10" t="n">
        <f aca="false">O947*L947</f>
        <v>13146.94128</v>
      </c>
      <c r="Q947" s="5" t="s">
        <v>113</v>
      </c>
      <c r="R947" s="5" t="n">
        <v>0</v>
      </c>
      <c r="S947" s="5" t="n">
        <v>30</v>
      </c>
      <c r="T947" s="12" t="n">
        <f aca="false">(O947-M947)/M947</f>
        <v>0.0363999999999999</v>
      </c>
      <c r="U947" s="8" t="n">
        <f aca="false">IF(AND(K947&lt;=I947,R947=0),1,0)</f>
        <v>1</v>
      </c>
      <c r="V947" s="10" t="n">
        <f aca="false">IF(Q947="No",P947,0)</f>
        <v>0</v>
      </c>
    </row>
    <row r="948" customFormat="false" ht="15" hidden="false" customHeight="false" outlineLevel="0" collapsed="false">
      <c r="A948" s="5" t="s">
        <v>1082</v>
      </c>
      <c r="B948" s="5" t="s">
        <v>77</v>
      </c>
      <c r="C948" s="7" t="n">
        <v>45297</v>
      </c>
      <c r="D948" s="8" t="str">
        <f aca="false">INDEX(Dim_Supplier!$C$2:$C$21,MATCH(B948,Dim_Supplier!$A$2:$A$21,0))</f>
        <v>MRO</v>
      </c>
      <c r="E948" s="8" t="str">
        <f aca="false">INDEX(Dim_Supplier!$B$2:$B$21,MATCH(B948,Dim_Supplier!$A$2:$A$21,0))</f>
        <v>Apex Industrial Supply</v>
      </c>
      <c r="F948" s="5" t="s">
        <v>111</v>
      </c>
      <c r="G948" s="5" t="s">
        <v>112</v>
      </c>
      <c r="H948" s="8" t="n">
        <f aca="false">INDEX(Lookup_Tables!$B$2:$B$5,MATCH(D948,Lookup_Tables!$A$2:$A$5,0))</f>
        <v>10</v>
      </c>
      <c r="I948" s="9" t="n">
        <f aca="false">C948+H948</f>
        <v>45307</v>
      </c>
      <c r="J948" s="5" t="n">
        <v>0</v>
      </c>
      <c r="K948" s="9" t="n">
        <f aca="false">I948+J948</f>
        <v>45307</v>
      </c>
      <c r="L948" s="5" t="n">
        <v>39</v>
      </c>
      <c r="M948" s="10" t="n">
        <f aca="false">INDEX(Dim_Supplier!$F$2:$F$21,MATCH(B948,Dim_Supplier!$A$2:$A$21,0))</f>
        <v>24.6</v>
      </c>
      <c r="N948" s="11" t="n">
        <v>0.0605</v>
      </c>
      <c r="O948" s="10" t="n">
        <f aca="false">M948*(1+N948)</f>
        <v>26.0883</v>
      </c>
      <c r="P948" s="10" t="n">
        <f aca="false">O948*L948</f>
        <v>1017.4437</v>
      </c>
      <c r="Q948" s="5" t="s">
        <v>113</v>
      </c>
      <c r="R948" s="5" t="n">
        <v>0</v>
      </c>
      <c r="S948" s="5" t="n">
        <v>60</v>
      </c>
      <c r="T948" s="12" t="n">
        <f aca="false">(O948-M948)/M948</f>
        <v>0.0605</v>
      </c>
      <c r="U948" s="8" t="n">
        <f aca="false">IF(AND(K948&lt;=I948,R948=0),1,0)</f>
        <v>1</v>
      </c>
      <c r="V948" s="10" t="n">
        <f aca="false">IF(Q948="No",P948,0)</f>
        <v>0</v>
      </c>
    </row>
    <row r="949" customFormat="false" ht="15" hidden="false" customHeight="false" outlineLevel="0" collapsed="false">
      <c r="A949" s="5" t="s">
        <v>1083</v>
      </c>
      <c r="B949" s="5" t="s">
        <v>49</v>
      </c>
      <c r="C949" s="7" t="n">
        <v>45495</v>
      </c>
      <c r="D949" s="8" t="str">
        <f aca="false">INDEX(Dim_Supplier!$C$2:$C$21,MATCH(B949,Dim_Supplier!$A$2:$A$21,0))</f>
        <v>Raw Materials</v>
      </c>
      <c r="E949" s="8" t="str">
        <f aca="false">INDEX(Dim_Supplier!$B$2:$B$21,MATCH(B949,Dim_Supplier!$A$2:$A$21,0))</f>
        <v>Great Lakes Polymer Co.</v>
      </c>
      <c r="F949" s="5" t="s">
        <v>142</v>
      </c>
      <c r="G949" s="5" t="s">
        <v>120</v>
      </c>
      <c r="H949" s="8" t="n">
        <f aca="false">INDEX(Lookup_Tables!$B$2:$B$5,MATCH(D949,Lookup_Tables!$A$2:$A$5,0))</f>
        <v>21</v>
      </c>
      <c r="I949" s="9" t="n">
        <f aca="false">C949+H949</f>
        <v>45516</v>
      </c>
      <c r="J949" s="5" t="n">
        <v>6</v>
      </c>
      <c r="K949" s="9" t="n">
        <f aca="false">I949+J949</f>
        <v>45522</v>
      </c>
      <c r="L949" s="5" t="n">
        <v>1114</v>
      </c>
      <c r="M949" s="10" t="n">
        <f aca="false">INDEX(Dim_Supplier!$F$2:$F$21,MATCH(B949,Dim_Supplier!$A$2:$A$21,0))</f>
        <v>32.75</v>
      </c>
      <c r="N949" s="11" t="n">
        <v>0.1357</v>
      </c>
      <c r="O949" s="10" t="n">
        <f aca="false">M949*(1+N949)</f>
        <v>37.194175</v>
      </c>
      <c r="P949" s="10" t="n">
        <f aca="false">O949*L949</f>
        <v>41434.31095</v>
      </c>
      <c r="Q949" s="5" t="s">
        <v>133</v>
      </c>
      <c r="R949" s="5" t="n">
        <v>0</v>
      </c>
      <c r="S949" s="5" t="n">
        <v>30</v>
      </c>
      <c r="T949" s="12" t="n">
        <f aca="false">(O949-M949)/M949</f>
        <v>0.1357</v>
      </c>
      <c r="U949" s="8" t="n">
        <f aca="false">IF(AND(K949&lt;=I949,R949=0),1,0)</f>
        <v>0</v>
      </c>
      <c r="V949" s="10" t="n">
        <f aca="false">IF(Q949="No",P949,0)</f>
        <v>41434.31095</v>
      </c>
    </row>
    <row r="950" customFormat="false" ht="15" hidden="false" customHeight="false" outlineLevel="0" collapsed="false">
      <c r="A950" s="5" t="s">
        <v>1084</v>
      </c>
      <c r="B950" s="5" t="s">
        <v>79</v>
      </c>
      <c r="C950" s="7" t="n">
        <v>46194</v>
      </c>
      <c r="D950" s="8" t="str">
        <f aca="false">INDEX(Dim_Supplier!$C$2:$C$21,MATCH(B950,Dim_Supplier!$A$2:$A$21,0))</f>
        <v>Logistics</v>
      </c>
      <c r="E950" s="8" t="str">
        <f aca="false">INDEX(Dim_Supplier!$B$2:$B$21,MATCH(B950,Dim_Supplier!$A$2:$A$21,0))</f>
        <v>Niagara Freight Solutions</v>
      </c>
      <c r="F950" s="5" t="s">
        <v>237</v>
      </c>
      <c r="G950" s="5" t="s">
        <v>125</v>
      </c>
      <c r="H950" s="8" t="n">
        <f aca="false">INDEX(Lookup_Tables!$B$2:$B$5,MATCH(D950,Lookup_Tables!$A$2:$A$5,0))</f>
        <v>5</v>
      </c>
      <c r="I950" s="9" t="n">
        <f aca="false">C950+H950</f>
        <v>46199</v>
      </c>
      <c r="J950" s="5" t="n">
        <v>1</v>
      </c>
      <c r="K950" s="9" t="n">
        <f aca="false">I950+J950</f>
        <v>46200</v>
      </c>
      <c r="L950" s="5" t="n">
        <v>2</v>
      </c>
      <c r="M950" s="10" t="n">
        <f aca="false">INDEX(Dim_Supplier!$F$2:$F$21,MATCH(B950,Dim_Supplier!$A$2:$A$21,0))</f>
        <v>340</v>
      </c>
      <c r="N950" s="11" t="n">
        <v>0.047</v>
      </c>
      <c r="O950" s="10" t="n">
        <f aca="false">M950*(1+N950)</f>
        <v>355.98</v>
      </c>
      <c r="P950" s="10" t="n">
        <f aca="false">O950*L950</f>
        <v>711.96</v>
      </c>
      <c r="Q950" s="5" t="s">
        <v>113</v>
      </c>
      <c r="R950" s="5" t="n">
        <v>0</v>
      </c>
      <c r="S950" s="5" t="n">
        <v>30</v>
      </c>
      <c r="T950" s="12" t="n">
        <f aca="false">(O950-M950)/M950</f>
        <v>0.0469999999999999</v>
      </c>
      <c r="U950" s="8" t="n">
        <f aca="false">IF(AND(K950&lt;=I950,R950=0),1,0)</f>
        <v>0</v>
      </c>
      <c r="V950" s="10" t="n">
        <f aca="false">IF(Q950="No",P950,0)</f>
        <v>0</v>
      </c>
    </row>
    <row r="951" customFormat="false" ht="15" hidden="false" customHeight="false" outlineLevel="0" collapsed="false">
      <c r="A951" s="5" t="s">
        <v>1085</v>
      </c>
      <c r="B951" s="5" t="s">
        <v>75</v>
      </c>
      <c r="C951" s="7" t="n">
        <v>45345</v>
      </c>
      <c r="D951" s="8" t="str">
        <f aca="false">INDEX(Dim_Supplier!$C$2:$C$21,MATCH(B951,Dim_Supplier!$A$2:$A$21,0))</f>
        <v>MRO</v>
      </c>
      <c r="E951" s="8" t="str">
        <f aca="false">INDEX(Dim_Supplier!$B$2:$B$21,MATCH(B951,Dim_Supplier!$A$2:$A$21,0))</f>
        <v>Sterling Lubricants Inc.</v>
      </c>
      <c r="F951" s="5" t="s">
        <v>111</v>
      </c>
      <c r="G951" s="5" t="s">
        <v>125</v>
      </c>
      <c r="H951" s="8" t="n">
        <f aca="false">INDEX(Lookup_Tables!$B$2:$B$5,MATCH(D951,Lookup_Tables!$A$2:$A$5,0))</f>
        <v>10</v>
      </c>
      <c r="I951" s="9" t="n">
        <f aca="false">C951+H951</f>
        <v>45355</v>
      </c>
      <c r="J951" s="5" t="n">
        <v>0</v>
      </c>
      <c r="K951" s="9" t="n">
        <f aca="false">I951+J951</f>
        <v>45355</v>
      </c>
      <c r="L951" s="5" t="n">
        <v>116</v>
      </c>
      <c r="M951" s="10" t="n">
        <f aca="false">INDEX(Dim_Supplier!$F$2:$F$21,MATCH(B951,Dim_Supplier!$A$2:$A$21,0))</f>
        <v>27.1</v>
      </c>
      <c r="N951" s="11" t="n">
        <v>0.0152</v>
      </c>
      <c r="O951" s="10" t="n">
        <f aca="false">M951*(1+N951)</f>
        <v>27.51192</v>
      </c>
      <c r="P951" s="10" t="n">
        <f aca="false">O951*L951</f>
        <v>3191.38272</v>
      </c>
      <c r="Q951" s="5" t="s">
        <v>113</v>
      </c>
      <c r="R951" s="5" t="n">
        <v>0</v>
      </c>
      <c r="S951" s="5" t="n">
        <v>30</v>
      </c>
      <c r="T951" s="12" t="n">
        <f aca="false">(O951-M951)/M951</f>
        <v>0.0152000000000001</v>
      </c>
      <c r="U951" s="8" t="n">
        <f aca="false">IF(AND(K951&lt;=I951,R951=0),1,0)</f>
        <v>1</v>
      </c>
      <c r="V951" s="10" t="n">
        <f aca="false">IF(Q951="No",P951,0)</f>
        <v>0</v>
      </c>
    </row>
    <row r="952" customFormat="false" ht="15" hidden="false" customHeight="false" outlineLevel="0" collapsed="false">
      <c r="A952" s="5" t="s">
        <v>1086</v>
      </c>
      <c r="B952" s="5" t="s">
        <v>62</v>
      </c>
      <c r="C952" s="7" t="n">
        <v>45924</v>
      </c>
      <c r="D952" s="8" t="str">
        <f aca="false">INDEX(Dim_Supplier!$C$2:$C$21,MATCH(B952,Dim_Supplier!$A$2:$A$21,0))</f>
        <v>Packaging</v>
      </c>
      <c r="E952" s="8" t="str">
        <f aca="false">INDEX(Dim_Supplier!$B$2:$B$21,MATCH(B952,Dim_Supplier!$A$2:$A$21,0))</f>
        <v>Trillium Packaging Solutions</v>
      </c>
      <c r="F952" s="5" t="s">
        <v>158</v>
      </c>
      <c r="G952" s="5" t="s">
        <v>112</v>
      </c>
      <c r="H952" s="8" t="n">
        <f aca="false">INDEX(Lookup_Tables!$B$2:$B$5,MATCH(D952,Lookup_Tables!$A$2:$A$5,0))</f>
        <v>14</v>
      </c>
      <c r="I952" s="9" t="n">
        <f aca="false">C952+H952</f>
        <v>45938</v>
      </c>
      <c r="J952" s="5" t="n">
        <v>-3</v>
      </c>
      <c r="K952" s="9" t="n">
        <f aca="false">I952+J952</f>
        <v>45935</v>
      </c>
      <c r="L952" s="5" t="n">
        <v>2658</v>
      </c>
      <c r="M952" s="10" t="n">
        <f aca="false">INDEX(Dim_Supplier!$F$2:$F$21,MATCH(B952,Dim_Supplier!$A$2:$A$21,0))</f>
        <v>5.6</v>
      </c>
      <c r="N952" s="11" t="n">
        <v>0.0541</v>
      </c>
      <c r="O952" s="10" t="n">
        <f aca="false">M952*(1+N952)</f>
        <v>5.90296</v>
      </c>
      <c r="P952" s="10" t="n">
        <f aca="false">O952*L952</f>
        <v>15690.06768</v>
      </c>
      <c r="Q952" s="5" t="s">
        <v>133</v>
      </c>
      <c r="R952" s="5" t="n">
        <v>0</v>
      </c>
      <c r="S952" s="5" t="n">
        <v>60</v>
      </c>
      <c r="T952" s="12" t="n">
        <f aca="false">(O952-M952)/M952</f>
        <v>0.0541000000000001</v>
      </c>
      <c r="U952" s="8" t="n">
        <f aca="false">IF(AND(K952&lt;=I952,R952=0),1,0)</f>
        <v>1</v>
      </c>
      <c r="V952" s="10" t="n">
        <f aca="false">IF(Q952="No",P952,0)</f>
        <v>15690.06768</v>
      </c>
    </row>
    <row r="953" customFormat="false" ht="15" hidden="false" customHeight="false" outlineLevel="0" collapsed="false">
      <c r="A953" s="5" t="s">
        <v>1087</v>
      </c>
      <c r="B953" s="5" t="s">
        <v>52</v>
      </c>
      <c r="C953" s="7" t="n">
        <v>46015</v>
      </c>
      <c r="D953" s="8" t="str">
        <f aca="false">INDEX(Dim_Supplier!$C$2:$C$21,MATCH(B953,Dim_Supplier!$A$2:$A$21,0))</f>
        <v>Raw Materials</v>
      </c>
      <c r="E953" s="8" t="str">
        <f aca="false">INDEX(Dim_Supplier!$B$2:$B$21,MATCH(B953,Dim_Supplier!$A$2:$A$21,0))</f>
        <v>Laurentian Metals Inc.</v>
      </c>
      <c r="F953" s="5" t="s">
        <v>148</v>
      </c>
      <c r="G953" s="5" t="s">
        <v>112</v>
      </c>
      <c r="H953" s="8" t="n">
        <f aca="false">INDEX(Lookup_Tables!$B$2:$B$5,MATCH(D953,Lookup_Tables!$A$2:$A$5,0))</f>
        <v>21</v>
      </c>
      <c r="I953" s="9" t="n">
        <f aca="false">C953+H953</f>
        <v>46036</v>
      </c>
      <c r="J953" s="5" t="n">
        <v>-2</v>
      </c>
      <c r="K953" s="9" t="n">
        <f aca="false">I953+J953</f>
        <v>46034</v>
      </c>
      <c r="L953" s="5" t="n">
        <v>1388</v>
      </c>
      <c r="M953" s="10" t="n">
        <f aca="false">INDEX(Dim_Supplier!$F$2:$F$21,MATCH(B953,Dim_Supplier!$A$2:$A$21,0))</f>
        <v>61.2</v>
      </c>
      <c r="N953" s="11" t="n">
        <v>0.0564</v>
      </c>
      <c r="O953" s="10" t="n">
        <f aca="false">M953*(1+N953)</f>
        <v>64.65168</v>
      </c>
      <c r="P953" s="10" t="n">
        <f aca="false">O953*L953</f>
        <v>89736.53184</v>
      </c>
      <c r="Q953" s="5" t="s">
        <v>113</v>
      </c>
      <c r="R953" s="5" t="n">
        <v>0</v>
      </c>
      <c r="S953" s="5" t="n">
        <v>30</v>
      </c>
      <c r="T953" s="12" t="n">
        <f aca="false">(O953-M953)/M953</f>
        <v>0.0563999999999999</v>
      </c>
      <c r="U953" s="8" t="n">
        <f aca="false">IF(AND(K953&lt;=I953,R953=0),1,0)</f>
        <v>1</v>
      </c>
      <c r="V953" s="10" t="n">
        <f aca="false">IF(Q953="No",P953,0)</f>
        <v>0</v>
      </c>
    </row>
    <row r="954" customFormat="false" ht="15" hidden="false" customHeight="false" outlineLevel="0" collapsed="false">
      <c r="A954" s="5" t="s">
        <v>1088</v>
      </c>
      <c r="B954" s="5" t="s">
        <v>41</v>
      </c>
      <c r="C954" s="7" t="n">
        <v>45488</v>
      </c>
      <c r="D954" s="8" t="str">
        <f aca="false">INDEX(Dim_Supplier!$C$2:$C$21,MATCH(B954,Dim_Supplier!$A$2:$A$21,0))</f>
        <v>Raw Materials</v>
      </c>
      <c r="E954" s="8" t="str">
        <f aca="false">INDEX(Dim_Supplier!$B$2:$B$21,MATCH(B954,Dim_Supplier!$A$2:$A$21,0))</f>
        <v>Ontario Steel Partners</v>
      </c>
      <c r="F954" s="5" t="s">
        <v>115</v>
      </c>
      <c r="G954" s="5" t="s">
        <v>125</v>
      </c>
      <c r="H954" s="8" t="n">
        <f aca="false">INDEX(Lookup_Tables!$B$2:$B$5,MATCH(D954,Lookup_Tables!$A$2:$A$5,0))</f>
        <v>21</v>
      </c>
      <c r="I954" s="9" t="n">
        <f aca="false">C954+H954</f>
        <v>45509</v>
      </c>
      <c r="J954" s="5" t="n">
        <v>-2</v>
      </c>
      <c r="K954" s="9" t="n">
        <f aca="false">I954+J954</f>
        <v>45507</v>
      </c>
      <c r="L954" s="5" t="n">
        <v>1870</v>
      </c>
      <c r="M954" s="10" t="n">
        <f aca="false">INDEX(Dim_Supplier!$F$2:$F$21,MATCH(B954,Dim_Supplier!$A$2:$A$21,0))</f>
        <v>58</v>
      </c>
      <c r="N954" s="11" t="n">
        <v>0.0115</v>
      </c>
      <c r="O954" s="10" t="n">
        <f aca="false">M954*(1+N954)</f>
        <v>58.667</v>
      </c>
      <c r="P954" s="10" t="n">
        <f aca="false">O954*L954</f>
        <v>109707.29</v>
      </c>
      <c r="Q954" s="5" t="s">
        <v>113</v>
      </c>
      <c r="R954" s="5" t="n">
        <v>0</v>
      </c>
      <c r="S954" s="5" t="n">
        <v>30</v>
      </c>
      <c r="T954" s="12" t="n">
        <f aca="false">(O954-M954)/M954</f>
        <v>0.0115</v>
      </c>
      <c r="U954" s="8" t="n">
        <f aca="false">IF(AND(K954&lt;=I954,R954=0),1,0)</f>
        <v>1</v>
      </c>
      <c r="V954" s="10" t="n">
        <f aca="false">IF(Q954="No",P954,0)</f>
        <v>0</v>
      </c>
    </row>
    <row r="955" customFormat="false" ht="15" hidden="false" customHeight="false" outlineLevel="0" collapsed="false">
      <c r="A955" s="5" t="s">
        <v>1089</v>
      </c>
      <c r="B955" s="5" t="s">
        <v>71</v>
      </c>
      <c r="C955" s="7" t="n">
        <v>45528</v>
      </c>
      <c r="D955" s="8" t="str">
        <f aca="false">INDEX(Dim_Supplier!$C$2:$C$21,MATCH(B955,Dim_Supplier!$A$2:$A$21,0))</f>
        <v>MRO</v>
      </c>
      <c r="E955" s="8" t="str">
        <f aca="false">INDEX(Dim_Supplier!$B$2:$B$21,MATCH(B955,Dim_Supplier!$A$2:$A$21,0))</f>
        <v>CanSafe Equipment Ltd.</v>
      </c>
      <c r="F955" s="5" t="s">
        <v>164</v>
      </c>
      <c r="G955" s="5" t="s">
        <v>120</v>
      </c>
      <c r="H955" s="8" t="n">
        <f aca="false">INDEX(Lookup_Tables!$B$2:$B$5,MATCH(D955,Lookup_Tables!$A$2:$A$5,0))</f>
        <v>10</v>
      </c>
      <c r="I955" s="9" t="n">
        <f aca="false">C955+H955</f>
        <v>45538</v>
      </c>
      <c r="J955" s="5" t="n">
        <v>-2</v>
      </c>
      <c r="K955" s="9" t="n">
        <f aca="false">I955+J955</f>
        <v>45536</v>
      </c>
      <c r="L955" s="5" t="n">
        <v>114</v>
      </c>
      <c r="M955" s="10" t="n">
        <f aca="false">INDEX(Dim_Supplier!$F$2:$F$21,MATCH(B955,Dim_Supplier!$A$2:$A$21,0))</f>
        <v>18.75</v>
      </c>
      <c r="N955" s="11" t="n">
        <v>0.0332</v>
      </c>
      <c r="O955" s="10" t="n">
        <f aca="false">M955*(1+N955)</f>
        <v>19.3725</v>
      </c>
      <c r="P955" s="10" t="n">
        <f aca="false">O955*L955</f>
        <v>2208.465</v>
      </c>
      <c r="Q955" s="5" t="s">
        <v>113</v>
      </c>
      <c r="R955" s="5" t="n">
        <v>0</v>
      </c>
      <c r="S955" s="5" t="n">
        <v>30</v>
      </c>
      <c r="T955" s="12" t="n">
        <f aca="false">(O955-M955)/M955</f>
        <v>0.0331999999999999</v>
      </c>
      <c r="U955" s="8" t="n">
        <f aca="false">IF(AND(K955&lt;=I955,R955=0),1,0)</f>
        <v>1</v>
      </c>
      <c r="V955" s="10" t="n">
        <f aca="false">IF(Q955="No",P955,0)</f>
        <v>0</v>
      </c>
    </row>
    <row r="956" customFormat="false" ht="15" hidden="false" customHeight="false" outlineLevel="0" collapsed="false">
      <c r="A956" s="5" t="s">
        <v>1090</v>
      </c>
      <c r="B956" s="5" t="s">
        <v>54</v>
      </c>
      <c r="C956" s="7" t="n">
        <v>45651</v>
      </c>
      <c r="D956" s="8" t="str">
        <f aca="false">INDEX(Dim_Supplier!$C$2:$C$21,MATCH(B956,Dim_Supplier!$A$2:$A$21,0))</f>
        <v>Raw Materials</v>
      </c>
      <c r="E956" s="8" t="str">
        <f aca="false">INDEX(Dim_Supplier!$B$2:$B$21,MATCH(B956,Dim_Supplier!$A$2:$A$21,0))</f>
        <v>Northern Resin Solutions</v>
      </c>
      <c r="F956" s="5" t="s">
        <v>142</v>
      </c>
      <c r="G956" s="5" t="s">
        <v>112</v>
      </c>
      <c r="H956" s="8" t="n">
        <f aca="false">INDEX(Lookup_Tables!$B$2:$B$5,MATCH(D956,Lookup_Tables!$A$2:$A$5,0))</f>
        <v>21</v>
      </c>
      <c r="I956" s="9" t="n">
        <f aca="false">C956+H956</f>
        <v>45672</v>
      </c>
      <c r="J956" s="5" t="n">
        <v>-1</v>
      </c>
      <c r="K956" s="9" t="n">
        <f aca="false">I956+J956</f>
        <v>45671</v>
      </c>
      <c r="L956" s="5" t="n">
        <v>183</v>
      </c>
      <c r="M956" s="10" t="n">
        <f aca="false">INDEX(Dim_Supplier!$F$2:$F$21,MATCH(B956,Dim_Supplier!$A$2:$A$21,0))</f>
        <v>38.9</v>
      </c>
      <c r="N956" s="11" t="n">
        <v>0.0557</v>
      </c>
      <c r="O956" s="10" t="n">
        <f aca="false">M956*(1+N956)</f>
        <v>41.06673</v>
      </c>
      <c r="P956" s="10" t="n">
        <f aca="false">O956*L956</f>
        <v>7515.21159</v>
      </c>
      <c r="Q956" s="5" t="s">
        <v>113</v>
      </c>
      <c r="R956" s="5" t="n">
        <v>0</v>
      </c>
      <c r="S956" s="5" t="n">
        <v>30</v>
      </c>
      <c r="T956" s="12" t="n">
        <f aca="false">(O956-M956)/M956</f>
        <v>0.0557</v>
      </c>
      <c r="U956" s="8" t="n">
        <f aca="false">IF(AND(K956&lt;=I956,R956=0),1,0)</f>
        <v>1</v>
      </c>
      <c r="V956" s="10" t="n">
        <f aca="false">IF(Q956="No",P956,0)</f>
        <v>0</v>
      </c>
    </row>
    <row r="957" customFormat="false" ht="15" hidden="false" customHeight="false" outlineLevel="0" collapsed="false">
      <c r="A957" s="5" t="s">
        <v>1091</v>
      </c>
      <c r="B957" s="5" t="s">
        <v>54</v>
      </c>
      <c r="C957" s="7" t="n">
        <v>45578</v>
      </c>
      <c r="D957" s="8" t="str">
        <f aca="false">INDEX(Dim_Supplier!$C$2:$C$21,MATCH(B957,Dim_Supplier!$A$2:$A$21,0))</f>
        <v>Raw Materials</v>
      </c>
      <c r="E957" s="8" t="str">
        <f aca="false">INDEX(Dim_Supplier!$B$2:$B$21,MATCH(B957,Dim_Supplier!$A$2:$A$21,0))</f>
        <v>Northern Resin Solutions</v>
      </c>
      <c r="F957" s="5" t="s">
        <v>144</v>
      </c>
      <c r="G957" s="5" t="s">
        <v>129</v>
      </c>
      <c r="H957" s="8" t="n">
        <f aca="false">INDEX(Lookup_Tables!$B$2:$B$5,MATCH(D957,Lookup_Tables!$A$2:$A$5,0))</f>
        <v>21</v>
      </c>
      <c r="I957" s="9" t="n">
        <f aca="false">C957+H957</f>
        <v>45599</v>
      </c>
      <c r="J957" s="5" t="n">
        <v>-2</v>
      </c>
      <c r="K957" s="9" t="n">
        <f aca="false">I957+J957</f>
        <v>45597</v>
      </c>
      <c r="L957" s="5" t="n">
        <v>1106</v>
      </c>
      <c r="M957" s="10" t="n">
        <f aca="false">INDEX(Dim_Supplier!$F$2:$F$21,MATCH(B957,Dim_Supplier!$A$2:$A$21,0))</f>
        <v>38.9</v>
      </c>
      <c r="N957" s="11" t="n">
        <v>0.0564</v>
      </c>
      <c r="O957" s="10" t="n">
        <f aca="false">M957*(1+N957)</f>
        <v>41.09396</v>
      </c>
      <c r="P957" s="10" t="n">
        <f aca="false">O957*L957</f>
        <v>45449.91976</v>
      </c>
      <c r="Q957" s="5" t="s">
        <v>113</v>
      </c>
      <c r="R957" s="5" t="n">
        <v>0</v>
      </c>
      <c r="S957" s="5" t="n">
        <v>30</v>
      </c>
      <c r="T957" s="12" t="n">
        <f aca="false">(O957-M957)/M957</f>
        <v>0.0563999999999999</v>
      </c>
      <c r="U957" s="8" t="n">
        <f aca="false">IF(AND(K957&lt;=I957,R957=0),1,0)</f>
        <v>1</v>
      </c>
      <c r="V957" s="10" t="n">
        <f aca="false">IF(Q957="No",P957,0)</f>
        <v>0</v>
      </c>
    </row>
    <row r="958" customFormat="false" ht="15" hidden="false" customHeight="false" outlineLevel="0" collapsed="false">
      <c r="A958" s="5" t="s">
        <v>1092</v>
      </c>
      <c r="B958" s="5" t="s">
        <v>41</v>
      </c>
      <c r="C958" s="7" t="n">
        <v>45857</v>
      </c>
      <c r="D958" s="8" t="str">
        <f aca="false">INDEX(Dim_Supplier!$C$2:$C$21,MATCH(B958,Dim_Supplier!$A$2:$A$21,0))</f>
        <v>Raw Materials</v>
      </c>
      <c r="E958" s="8" t="str">
        <f aca="false">INDEX(Dim_Supplier!$B$2:$B$21,MATCH(B958,Dim_Supplier!$A$2:$A$21,0))</f>
        <v>Ontario Steel Partners</v>
      </c>
      <c r="F958" s="5" t="s">
        <v>115</v>
      </c>
      <c r="G958" s="5" t="s">
        <v>120</v>
      </c>
      <c r="H958" s="8" t="n">
        <f aca="false">INDEX(Lookup_Tables!$B$2:$B$5,MATCH(D958,Lookup_Tables!$A$2:$A$5,0))</f>
        <v>21</v>
      </c>
      <c r="I958" s="9" t="n">
        <f aca="false">C958+H958</f>
        <v>45878</v>
      </c>
      <c r="J958" s="5" t="n">
        <v>-4</v>
      </c>
      <c r="K958" s="9" t="n">
        <f aca="false">I958+J958</f>
        <v>45874</v>
      </c>
      <c r="L958" s="5" t="n">
        <v>1621</v>
      </c>
      <c r="M958" s="10" t="n">
        <f aca="false">INDEX(Dim_Supplier!$F$2:$F$21,MATCH(B958,Dim_Supplier!$A$2:$A$21,0))</f>
        <v>58</v>
      </c>
      <c r="N958" s="11" t="n">
        <v>0.038</v>
      </c>
      <c r="O958" s="10" t="n">
        <f aca="false">M958*(1+N958)</f>
        <v>60.204</v>
      </c>
      <c r="P958" s="10" t="n">
        <f aca="false">O958*L958</f>
        <v>97590.684</v>
      </c>
      <c r="Q958" s="5" t="s">
        <v>113</v>
      </c>
      <c r="R958" s="5" t="n">
        <v>0</v>
      </c>
      <c r="S958" s="5" t="n">
        <v>30</v>
      </c>
      <c r="T958" s="12" t="n">
        <f aca="false">(O958-M958)/M958</f>
        <v>0.038</v>
      </c>
      <c r="U958" s="8" t="n">
        <f aca="false">IF(AND(K958&lt;=I958,R958=0),1,0)</f>
        <v>1</v>
      </c>
      <c r="V958" s="10" t="n">
        <f aca="false">IF(Q958="No",P958,0)</f>
        <v>0</v>
      </c>
    </row>
    <row r="959" customFormat="false" ht="15" hidden="false" customHeight="false" outlineLevel="0" collapsed="false">
      <c r="A959" s="5" t="s">
        <v>1093</v>
      </c>
      <c r="B959" s="5" t="s">
        <v>73</v>
      </c>
      <c r="C959" s="7" t="n">
        <v>45507</v>
      </c>
      <c r="D959" s="8" t="str">
        <f aca="false">INDEX(Dim_Supplier!$C$2:$C$21,MATCH(B959,Dim_Supplier!$A$2:$A$21,0))</f>
        <v>MRO</v>
      </c>
      <c r="E959" s="8" t="str">
        <f aca="false">INDEX(Dim_Supplier!$B$2:$B$21,MATCH(B959,Dim_Supplier!$A$2:$A$21,0))</f>
        <v>Frontier MRO Solutions</v>
      </c>
      <c r="F959" s="5" t="s">
        <v>132</v>
      </c>
      <c r="G959" s="5" t="s">
        <v>125</v>
      </c>
      <c r="H959" s="8" t="n">
        <f aca="false">INDEX(Lookup_Tables!$B$2:$B$5,MATCH(D959,Lookup_Tables!$A$2:$A$5,0))</f>
        <v>10</v>
      </c>
      <c r="I959" s="9" t="n">
        <f aca="false">C959+H959</f>
        <v>45517</v>
      </c>
      <c r="J959" s="5" t="n">
        <v>6</v>
      </c>
      <c r="K959" s="9" t="n">
        <f aca="false">I959+J959</f>
        <v>45523</v>
      </c>
      <c r="L959" s="5" t="n">
        <v>166</v>
      </c>
      <c r="M959" s="10" t="n">
        <f aca="false">INDEX(Dim_Supplier!$F$2:$F$21,MATCH(B959,Dim_Supplier!$A$2:$A$21,0))</f>
        <v>15.9</v>
      </c>
      <c r="N959" s="11" t="n">
        <v>0.1549</v>
      </c>
      <c r="O959" s="10" t="n">
        <f aca="false">M959*(1+N959)</f>
        <v>18.36291</v>
      </c>
      <c r="P959" s="10" t="n">
        <f aca="false">O959*L959</f>
        <v>3048.24306</v>
      </c>
      <c r="Q959" s="5" t="s">
        <v>133</v>
      </c>
      <c r="R959" s="5" t="n">
        <v>0</v>
      </c>
      <c r="S959" s="5" t="n">
        <v>45</v>
      </c>
      <c r="T959" s="12" t="n">
        <f aca="false">(O959-M959)/M959</f>
        <v>0.1549</v>
      </c>
      <c r="U959" s="8" t="n">
        <f aca="false">IF(AND(K959&lt;=I959,R959=0),1,0)</f>
        <v>0</v>
      </c>
      <c r="V959" s="10" t="n">
        <f aca="false">IF(Q959="No",P959,0)</f>
        <v>3048.24306</v>
      </c>
    </row>
    <row r="960" customFormat="false" ht="15" hidden="false" customHeight="false" outlineLevel="0" collapsed="false">
      <c r="A960" s="5" t="s">
        <v>1094</v>
      </c>
      <c r="B960" s="5" t="s">
        <v>86</v>
      </c>
      <c r="C960" s="7" t="n">
        <v>45962</v>
      </c>
      <c r="D960" s="8" t="str">
        <f aca="false">INDEX(Dim_Supplier!$C$2:$C$21,MATCH(B960,Dim_Supplier!$A$2:$A$21,0))</f>
        <v>Logistics</v>
      </c>
      <c r="E960" s="8" t="str">
        <f aca="false">INDEX(Dim_Supplier!$B$2:$B$21,MATCH(B960,Dim_Supplier!$A$2:$A$21,0))</f>
        <v>Blue Water Customs Brokerage</v>
      </c>
      <c r="F960" s="5" t="s">
        <v>154</v>
      </c>
      <c r="G960" s="5" t="s">
        <v>112</v>
      </c>
      <c r="H960" s="8" t="n">
        <f aca="false">INDEX(Lookup_Tables!$B$2:$B$5,MATCH(D960,Lookup_Tables!$A$2:$A$5,0))</f>
        <v>5</v>
      </c>
      <c r="I960" s="9" t="n">
        <f aca="false">C960+H960</f>
        <v>45967</v>
      </c>
      <c r="J960" s="5" t="n">
        <v>-3</v>
      </c>
      <c r="K960" s="9" t="n">
        <f aca="false">I960+J960</f>
        <v>45964</v>
      </c>
      <c r="L960" s="5" t="n">
        <v>5</v>
      </c>
      <c r="M960" s="10" t="n">
        <f aca="false">INDEX(Dim_Supplier!$F$2:$F$21,MATCH(B960,Dim_Supplier!$A$2:$A$21,0))</f>
        <v>175</v>
      </c>
      <c r="N960" s="11" t="n">
        <v>-0.0337</v>
      </c>
      <c r="O960" s="10" t="n">
        <f aca="false">M960*(1+N960)</f>
        <v>169.1025</v>
      </c>
      <c r="P960" s="10" t="n">
        <f aca="false">O960*L960</f>
        <v>845.5125</v>
      </c>
      <c r="Q960" s="5" t="s">
        <v>133</v>
      </c>
      <c r="R960" s="5" t="n">
        <v>0</v>
      </c>
      <c r="S960" s="5" t="n">
        <v>30</v>
      </c>
      <c r="T960" s="12" t="n">
        <f aca="false">(O960-M960)/M960</f>
        <v>-0.0336999999999999</v>
      </c>
      <c r="U960" s="8" t="n">
        <f aca="false">IF(AND(K960&lt;=I960,R960=0),1,0)</f>
        <v>1</v>
      </c>
      <c r="V960" s="10" t="n">
        <f aca="false">IF(Q960="No",P960,0)</f>
        <v>845.5125</v>
      </c>
    </row>
    <row r="961" customFormat="false" ht="15" hidden="false" customHeight="false" outlineLevel="0" collapsed="false">
      <c r="A961" s="5" t="s">
        <v>1095</v>
      </c>
      <c r="B961" s="5" t="s">
        <v>64</v>
      </c>
      <c r="C961" s="7" t="n">
        <v>46071</v>
      </c>
      <c r="D961" s="8" t="str">
        <f aca="false">INDEX(Dim_Supplier!$C$2:$C$21,MATCH(B961,Dim_Supplier!$A$2:$A$21,0))</f>
        <v>Packaging</v>
      </c>
      <c r="E961" s="8" t="str">
        <f aca="false">INDEX(Dim_Supplier!$B$2:$B$21,MATCH(B961,Dim_Supplier!$A$2:$A$21,0))</f>
        <v>Huron Pallet Works</v>
      </c>
      <c r="F961" s="5" t="s">
        <v>158</v>
      </c>
      <c r="G961" s="5" t="s">
        <v>112</v>
      </c>
      <c r="H961" s="8" t="n">
        <f aca="false">INDEX(Lookup_Tables!$B$2:$B$5,MATCH(D961,Lookup_Tables!$A$2:$A$5,0))</f>
        <v>14</v>
      </c>
      <c r="I961" s="9" t="n">
        <f aca="false">C961+H961</f>
        <v>46085</v>
      </c>
      <c r="J961" s="5" t="n">
        <v>6</v>
      </c>
      <c r="K961" s="9" t="n">
        <f aca="false">I961+J961</f>
        <v>46091</v>
      </c>
      <c r="L961" s="5" t="n">
        <v>2568</v>
      </c>
      <c r="M961" s="10" t="n">
        <f aca="false">INDEX(Dim_Supplier!$F$2:$F$21,MATCH(B961,Dim_Supplier!$A$2:$A$21,0))</f>
        <v>2.25</v>
      </c>
      <c r="N961" s="11" t="n">
        <v>0.1435</v>
      </c>
      <c r="O961" s="10" t="n">
        <f aca="false">M961*(1+N961)</f>
        <v>2.572875</v>
      </c>
      <c r="P961" s="10" t="n">
        <f aca="false">O961*L961</f>
        <v>6607.143</v>
      </c>
      <c r="Q961" s="5" t="s">
        <v>133</v>
      </c>
      <c r="R961" s="5" t="n">
        <v>0</v>
      </c>
      <c r="S961" s="5" t="n">
        <v>60</v>
      </c>
      <c r="T961" s="12" t="n">
        <f aca="false">(O961-M961)/M961</f>
        <v>0.1435</v>
      </c>
      <c r="U961" s="8" t="n">
        <f aca="false">IF(AND(K961&lt;=I961,R961=0),1,0)</f>
        <v>0</v>
      </c>
      <c r="V961" s="10" t="n">
        <f aca="false">IF(Q961="No",P961,0)</f>
        <v>6607.143</v>
      </c>
    </row>
    <row r="962" customFormat="false" ht="15" hidden="false" customHeight="false" outlineLevel="0" collapsed="false">
      <c r="A962" s="5" t="s">
        <v>1096</v>
      </c>
      <c r="B962" s="5" t="s">
        <v>68</v>
      </c>
      <c r="C962" s="7" t="n">
        <v>45647</v>
      </c>
      <c r="D962" s="8" t="str">
        <f aca="false">INDEX(Dim_Supplier!$C$2:$C$21,MATCH(B962,Dim_Supplier!$A$2:$A$21,0))</f>
        <v>MRO</v>
      </c>
      <c r="E962" s="8" t="str">
        <f aca="false">INDEX(Dim_Supplier!$B$2:$B$21,MATCH(B962,Dim_Supplier!$A$2:$A$21,0))</f>
        <v>Precision Tool &amp; Supply</v>
      </c>
      <c r="F962" s="5" t="s">
        <v>111</v>
      </c>
      <c r="G962" s="5" t="s">
        <v>125</v>
      </c>
      <c r="H962" s="8" t="n">
        <f aca="false">INDEX(Lookup_Tables!$B$2:$B$5,MATCH(D962,Lookup_Tables!$A$2:$A$5,0))</f>
        <v>10</v>
      </c>
      <c r="I962" s="9" t="n">
        <f aca="false">C962+H962</f>
        <v>45657</v>
      </c>
      <c r="J962" s="5" t="n">
        <v>-4</v>
      </c>
      <c r="K962" s="9" t="n">
        <f aca="false">I962+J962</f>
        <v>45653</v>
      </c>
      <c r="L962" s="5" t="n">
        <v>116</v>
      </c>
      <c r="M962" s="10" t="n">
        <f aca="false">INDEX(Dim_Supplier!$F$2:$F$21,MATCH(B962,Dim_Supplier!$A$2:$A$21,0))</f>
        <v>22.4</v>
      </c>
      <c r="N962" s="11" t="n">
        <v>0.0027</v>
      </c>
      <c r="O962" s="10" t="n">
        <f aca="false">M962*(1+N962)</f>
        <v>22.46048</v>
      </c>
      <c r="P962" s="10" t="n">
        <f aca="false">O962*L962</f>
        <v>2605.41568</v>
      </c>
      <c r="Q962" s="5" t="s">
        <v>113</v>
      </c>
      <c r="R962" s="5" t="n">
        <v>0</v>
      </c>
      <c r="S962" s="5" t="n">
        <v>60</v>
      </c>
      <c r="T962" s="12" t="n">
        <f aca="false">(O962-M962)/M962</f>
        <v>0.00269999999999992</v>
      </c>
      <c r="U962" s="8" t="n">
        <f aca="false">IF(AND(K962&lt;=I962,R962=0),1,0)</f>
        <v>1</v>
      </c>
      <c r="V962" s="10" t="n">
        <f aca="false">IF(Q962="No",P962,0)</f>
        <v>0</v>
      </c>
    </row>
    <row r="963" customFormat="false" ht="15" hidden="false" customHeight="false" outlineLevel="0" collapsed="false">
      <c r="A963" s="5" t="s">
        <v>1097</v>
      </c>
      <c r="B963" s="5" t="s">
        <v>66</v>
      </c>
      <c r="C963" s="7" t="n">
        <v>45314</v>
      </c>
      <c r="D963" s="8" t="str">
        <f aca="false">INDEX(Dim_Supplier!$C$2:$C$21,MATCH(B963,Dim_Supplier!$A$2:$A$21,0))</f>
        <v>Packaging</v>
      </c>
      <c r="E963" s="8" t="str">
        <f aca="false">INDEX(Dim_Supplier!$B$2:$B$21,MATCH(B963,Dim_Supplier!$A$2:$A$21,0))</f>
        <v>EverGreen Wrap Industries</v>
      </c>
      <c r="F963" s="5" t="s">
        <v>158</v>
      </c>
      <c r="G963" s="5" t="s">
        <v>120</v>
      </c>
      <c r="H963" s="8" t="n">
        <f aca="false">INDEX(Lookup_Tables!$B$2:$B$5,MATCH(D963,Lookup_Tables!$A$2:$A$5,0))</f>
        <v>14</v>
      </c>
      <c r="I963" s="9" t="n">
        <f aca="false">C963+H963</f>
        <v>45328</v>
      </c>
      <c r="J963" s="5" t="n">
        <v>-1</v>
      </c>
      <c r="K963" s="9" t="n">
        <f aca="false">I963+J963</f>
        <v>45327</v>
      </c>
      <c r="L963" s="5" t="n">
        <v>872</v>
      </c>
      <c r="M963" s="10" t="n">
        <f aca="false">INDEX(Dim_Supplier!$F$2:$F$21,MATCH(B963,Dim_Supplier!$A$2:$A$21,0))</f>
        <v>6.8</v>
      </c>
      <c r="N963" s="11" t="n">
        <v>0.0501</v>
      </c>
      <c r="O963" s="10" t="n">
        <f aca="false">M963*(1+N963)</f>
        <v>7.14068</v>
      </c>
      <c r="P963" s="10" t="n">
        <f aca="false">O963*L963</f>
        <v>6226.67296</v>
      </c>
      <c r="Q963" s="5" t="s">
        <v>133</v>
      </c>
      <c r="R963" s="5" t="n">
        <v>0</v>
      </c>
      <c r="S963" s="5" t="n">
        <v>60</v>
      </c>
      <c r="T963" s="12" t="n">
        <f aca="false">(O963-M963)/M963</f>
        <v>0.0501</v>
      </c>
      <c r="U963" s="8" t="n">
        <f aca="false">IF(AND(K963&lt;=I963,R963=0),1,0)</f>
        <v>1</v>
      </c>
      <c r="V963" s="10" t="n">
        <f aca="false">IF(Q963="No",P963,0)</f>
        <v>6226.67296</v>
      </c>
    </row>
    <row r="964" customFormat="false" ht="15" hidden="false" customHeight="false" outlineLevel="0" collapsed="false">
      <c r="A964" s="5" t="s">
        <v>1098</v>
      </c>
      <c r="B964" s="5" t="s">
        <v>52</v>
      </c>
      <c r="C964" s="7" t="n">
        <v>46126</v>
      </c>
      <c r="D964" s="8" t="str">
        <f aca="false">INDEX(Dim_Supplier!$C$2:$C$21,MATCH(B964,Dim_Supplier!$A$2:$A$21,0))</f>
        <v>Raw Materials</v>
      </c>
      <c r="E964" s="8" t="str">
        <f aca="false">INDEX(Dim_Supplier!$B$2:$B$21,MATCH(B964,Dim_Supplier!$A$2:$A$21,0))</f>
        <v>Laurentian Metals Inc.</v>
      </c>
      <c r="F964" s="5" t="s">
        <v>142</v>
      </c>
      <c r="G964" s="5" t="s">
        <v>125</v>
      </c>
      <c r="H964" s="8" t="n">
        <f aca="false">INDEX(Lookup_Tables!$B$2:$B$5,MATCH(D964,Lookup_Tables!$A$2:$A$5,0))</f>
        <v>21</v>
      </c>
      <c r="I964" s="9" t="n">
        <f aca="false">C964+H964</f>
        <v>46147</v>
      </c>
      <c r="J964" s="5" t="n">
        <v>-4</v>
      </c>
      <c r="K964" s="9" t="n">
        <f aca="false">I964+J964</f>
        <v>46143</v>
      </c>
      <c r="L964" s="5" t="n">
        <v>253</v>
      </c>
      <c r="M964" s="10" t="n">
        <f aca="false">INDEX(Dim_Supplier!$F$2:$F$21,MATCH(B964,Dim_Supplier!$A$2:$A$21,0))</f>
        <v>61.2</v>
      </c>
      <c r="N964" s="11" t="n">
        <v>-0.0171</v>
      </c>
      <c r="O964" s="10" t="n">
        <f aca="false">M964*(1+N964)</f>
        <v>60.15348</v>
      </c>
      <c r="P964" s="10" t="n">
        <f aca="false">O964*L964</f>
        <v>15218.83044</v>
      </c>
      <c r="Q964" s="5" t="s">
        <v>113</v>
      </c>
      <c r="R964" s="5" t="n">
        <v>0</v>
      </c>
      <c r="S964" s="5" t="n">
        <v>30</v>
      </c>
      <c r="T964" s="12" t="n">
        <f aca="false">(O964-M964)/M964</f>
        <v>-0.0171</v>
      </c>
      <c r="U964" s="8" t="n">
        <f aca="false">IF(AND(K964&lt;=I964,R964=0),1,0)</f>
        <v>1</v>
      </c>
      <c r="V964" s="10" t="n">
        <f aca="false">IF(Q964="No",P964,0)</f>
        <v>0</v>
      </c>
    </row>
    <row r="965" customFormat="false" ht="15" hidden="false" customHeight="false" outlineLevel="0" collapsed="false">
      <c r="A965" s="5" t="s">
        <v>1099</v>
      </c>
      <c r="B965" s="5" t="s">
        <v>79</v>
      </c>
      <c r="C965" s="7" t="n">
        <v>45702</v>
      </c>
      <c r="D965" s="8" t="str">
        <f aca="false">INDEX(Dim_Supplier!$C$2:$C$21,MATCH(B965,Dim_Supplier!$A$2:$A$21,0))</f>
        <v>Logistics</v>
      </c>
      <c r="E965" s="8" t="str">
        <f aca="false">INDEX(Dim_Supplier!$B$2:$B$21,MATCH(B965,Dim_Supplier!$A$2:$A$21,0))</f>
        <v>Niagara Freight Solutions</v>
      </c>
      <c r="F965" s="5" t="s">
        <v>185</v>
      </c>
      <c r="G965" s="5" t="s">
        <v>120</v>
      </c>
      <c r="H965" s="8" t="n">
        <f aca="false">INDEX(Lookup_Tables!$B$2:$B$5,MATCH(D965,Lookup_Tables!$A$2:$A$5,0))</f>
        <v>5</v>
      </c>
      <c r="I965" s="9" t="n">
        <f aca="false">C965+H965</f>
        <v>45707</v>
      </c>
      <c r="J965" s="5" t="n">
        <v>-2</v>
      </c>
      <c r="K965" s="9" t="n">
        <f aca="false">I965+J965</f>
        <v>45705</v>
      </c>
      <c r="L965" s="5" t="n">
        <v>37</v>
      </c>
      <c r="M965" s="10" t="n">
        <f aca="false">INDEX(Dim_Supplier!$F$2:$F$21,MATCH(B965,Dim_Supplier!$A$2:$A$21,0))</f>
        <v>340</v>
      </c>
      <c r="N965" s="11" t="n">
        <v>0.0116</v>
      </c>
      <c r="O965" s="10" t="n">
        <f aca="false">M965*(1+N965)</f>
        <v>343.944</v>
      </c>
      <c r="P965" s="10" t="n">
        <f aca="false">O965*L965</f>
        <v>12725.928</v>
      </c>
      <c r="Q965" s="5" t="s">
        <v>113</v>
      </c>
      <c r="R965" s="5" t="n">
        <v>0</v>
      </c>
      <c r="S965" s="5" t="n">
        <v>60</v>
      </c>
      <c r="T965" s="12" t="n">
        <f aca="false">(O965-M965)/M965</f>
        <v>0.0116000000000001</v>
      </c>
      <c r="U965" s="8" t="n">
        <f aca="false">IF(AND(K965&lt;=I965,R965=0),1,0)</f>
        <v>1</v>
      </c>
      <c r="V965" s="10" t="n">
        <f aca="false">IF(Q965="No",P965,0)</f>
        <v>0</v>
      </c>
    </row>
    <row r="966" customFormat="false" ht="15" hidden="false" customHeight="false" outlineLevel="0" collapsed="false">
      <c r="A966" s="5" t="s">
        <v>1100</v>
      </c>
      <c r="B966" s="5" t="s">
        <v>79</v>
      </c>
      <c r="C966" s="7" t="n">
        <v>45758</v>
      </c>
      <c r="D966" s="8" t="str">
        <f aca="false">INDEX(Dim_Supplier!$C$2:$C$21,MATCH(B966,Dim_Supplier!$A$2:$A$21,0))</f>
        <v>Logistics</v>
      </c>
      <c r="E966" s="8" t="str">
        <f aca="false">INDEX(Dim_Supplier!$B$2:$B$21,MATCH(B966,Dim_Supplier!$A$2:$A$21,0))</f>
        <v>Niagara Freight Solutions</v>
      </c>
      <c r="F966" s="5" t="s">
        <v>185</v>
      </c>
      <c r="G966" s="5" t="s">
        <v>120</v>
      </c>
      <c r="H966" s="8" t="n">
        <f aca="false">INDEX(Lookup_Tables!$B$2:$B$5,MATCH(D966,Lookup_Tables!$A$2:$A$5,0))</f>
        <v>5</v>
      </c>
      <c r="I966" s="9" t="n">
        <f aca="false">C966+H966</f>
        <v>45763</v>
      </c>
      <c r="J966" s="5" t="n">
        <v>-2</v>
      </c>
      <c r="K966" s="9" t="n">
        <f aca="false">I966+J966</f>
        <v>45761</v>
      </c>
      <c r="L966" s="5" t="n">
        <v>46</v>
      </c>
      <c r="M966" s="10" t="n">
        <f aca="false">INDEX(Dim_Supplier!$F$2:$F$21,MATCH(B966,Dim_Supplier!$A$2:$A$21,0))</f>
        <v>340</v>
      </c>
      <c r="N966" s="11" t="n">
        <v>0.0233</v>
      </c>
      <c r="O966" s="10" t="n">
        <f aca="false">M966*(1+N966)</f>
        <v>347.922</v>
      </c>
      <c r="P966" s="10" t="n">
        <f aca="false">O966*L966</f>
        <v>16004.412</v>
      </c>
      <c r="Q966" s="5" t="s">
        <v>113</v>
      </c>
      <c r="R966" s="5" t="n">
        <v>0</v>
      </c>
      <c r="S966" s="5" t="n">
        <v>30</v>
      </c>
      <c r="T966" s="12" t="n">
        <f aca="false">(O966-M966)/M966</f>
        <v>0.0233000000000001</v>
      </c>
      <c r="U966" s="8" t="n">
        <f aca="false">IF(AND(K966&lt;=I966,R966=0),1,0)</f>
        <v>1</v>
      </c>
      <c r="V966" s="10" t="n">
        <f aca="false">IF(Q966="No",P966,0)</f>
        <v>0</v>
      </c>
    </row>
    <row r="967" customFormat="false" ht="15" hidden="false" customHeight="false" outlineLevel="0" collapsed="false">
      <c r="A967" s="5" t="s">
        <v>1101</v>
      </c>
      <c r="B967" s="5" t="s">
        <v>68</v>
      </c>
      <c r="C967" s="7" t="n">
        <v>45590</v>
      </c>
      <c r="D967" s="8" t="str">
        <f aca="false">INDEX(Dim_Supplier!$C$2:$C$21,MATCH(B967,Dim_Supplier!$A$2:$A$21,0))</f>
        <v>MRO</v>
      </c>
      <c r="E967" s="8" t="str">
        <f aca="false">INDEX(Dim_Supplier!$B$2:$B$21,MATCH(B967,Dim_Supplier!$A$2:$A$21,0))</f>
        <v>Precision Tool &amp; Supply</v>
      </c>
      <c r="F967" s="5" t="s">
        <v>127</v>
      </c>
      <c r="G967" s="5" t="s">
        <v>112</v>
      </c>
      <c r="H967" s="8" t="n">
        <f aca="false">INDEX(Lookup_Tables!$B$2:$B$5,MATCH(D967,Lookup_Tables!$A$2:$A$5,0))</f>
        <v>10</v>
      </c>
      <c r="I967" s="9" t="n">
        <f aca="false">C967+H967</f>
        <v>45600</v>
      </c>
      <c r="J967" s="5" t="n">
        <v>-1</v>
      </c>
      <c r="K967" s="9" t="n">
        <f aca="false">I967+J967</f>
        <v>45599</v>
      </c>
      <c r="L967" s="5" t="n">
        <v>39</v>
      </c>
      <c r="M967" s="10" t="n">
        <f aca="false">INDEX(Dim_Supplier!$F$2:$F$21,MATCH(B967,Dim_Supplier!$A$2:$A$21,0))</f>
        <v>22.4</v>
      </c>
      <c r="N967" s="11" t="n">
        <v>0.0043</v>
      </c>
      <c r="O967" s="10" t="n">
        <f aca="false">M967*(1+N967)</f>
        <v>22.49632</v>
      </c>
      <c r="P967" s="10" t="n">
        <f aca="false">O967*L967</f>
        <v>877.35648</v>
      </c>
      <c r="Q967" s="5" t="s">
        <v>113</v>
      </c>
      <c r="R967" s="5" t="n">
        <v>0</v>
      </c>
      <c r="S967" s="5" t="n">
        <v>45</v>
      </c>
      <c r="T967" s="12" t="n">
        <f aca="false">(O967-M967)/M967</f>
        <v>0.00429999999999994</v>
      </c>
      <c r="U967" s="8" t="n">
        <f aca="false">IF(AND(K967&lt;=I967,R967=0),1,0)</f>
        <v>1</v>
      </c>
      <c r="V967" s="10" t="n">
        <f aca="false">IF(Q967="No",P967,0)</f>
        <v>0</v>
      </c>
    </row>
    <row r="968" customFormat="false" ht="15" hidden="false" customHeight="false" outlineLevel="0" collapsed="false">
      <c r="A968" s="5" t="s">
        <v>1102</v>
      </c>
      <c r="B968" s="5" t="s">
        <v>52</v>
      </c>
      <c r="C968" s="7" t="n">
        <v>46135</v>
      </c>
      <c r="D968" s="8" t="str">
        <f aca="false">INDEX(Dim_Supplier!$C$2:$C$21,MATCH(B968,Dim_Supplier!$A$2:$A$21,0))</f>
        <v>Raw Materials</v>
      </c>
      <c r="E968" s="8" t="str">
        <f aca="false">INDEX(Dim_Supplier!$B$2:$B$21,MATCH(B968,Dim_Supplier!$A$2:$A$21,0))</f>
        <v>Laurentian Metals Inc.</v>
      </c>
      <c r="F968" s="5" t="s">
        <v>115</v>
      </c>
      <c r="G968" s="5" t="s">
        <v>129</v>
      </c>
      <c r="H968" s="8" t="n">
        <f aca="false">INDEX(Lookup_Tables!$B$2:$B$5,MATCH(D968,Lookup_Tables!$A$2:$A$5,0))</f>
        <v>21</v>
      </c>
      <c r="I968" s="9" t="n">
        <f aca="false">C968+H968</f>
        <v>46156</v>
      </c>
      <c r="J968" s="5" t="n">
        <v>-1</v>
      </c>
      <c r="K968" s="9" t="n">
        <f aca="false">I968+J968</f>
        <v>46155</v>
      </c>
      <c r="L968" s="5" t="n">
        <v>1339</v>
      </c>
      <c r="M968" s="10" t="n">
        <f aca="false">INDEX(Dim_Supplier!$F$2:$F$21,MATCH(B968,Dim_Supplier!$A$2:$A$21,0))</f>
        <v>61.2</v>
      </c>
      <c r="N968" s="11" t="n">
        <v>0.0202</v>
      </c>
      <c r="O968" s="10" t="n">
        <f aca="false">M968*(1+N968)</f>
        <v>62.43624</v>
      </c>
      <c r="P968" s="10" t="n">
        <f aca="false">O968*L968</f>
        <v>83602.12536</v>
      </c>
      <c r="Q968" s="5" t="s">
        <v>133</v>
      </c>
      <c r="R968" s="5" t="n">
        <v>0</v>
      </c>
      <c r="S968" s="5" t="n">
        <v>60</v>
      </c>
      <c r="T968" s="12" t="n">
        <f aca="false">(O968-M968)/M968</f>
        <v>0.0202</v>
      </c>
      <c r="U968" s="8" t="n">
        <f aca="false">IF(AND(K968&lt;=I968,R968=0),1,0)</f>
        <v>1</v>
      </c>
      <c r="V968" s="10" t="n">
        <f aca="false">IF(Q968="No",P968,0)</f>
        <v>83602.12536</v>
      </c>
    </row>
    <row r="969" customFormat="false" ht="15" hidden="false" customHeight="false" outlineLevel="0" collapsed="false">
      <c r="A969" s="5" t="s">
        <v>1103</v>
      </c>
      <c r="B969" s="5" t="s">
        <v>84</v>
      </c>
      <c r="C969" s="7" t="n">
        <v>45562</v>
      </c>
      <c r="D969" s="8" t="str">
        <f aca="false">INDEX(Dim_Supplier!$C$2:$C$21,MATCH(B969,Dim_Supplier!$A$2:$A$21,0))</f>
        <v>Logistics</v>
      </c>
      <c r="E969" s="8" t="str">
        <f aca="false">INDEX(Dim_Supplier!$B$2:$B$21,MATCH(B969,Dim_Supplier!$A$2:$A$21,0))</f>
        <v>Trans-Canada Carriers</v>
      </c>
      <c r="F969" s="5" t="s">
        <v>154</v>
      </c>
      <c r="G969" s="5" t="s">
        <v>125</v>
      </c>
      <c r="H969" s="8" t="n">
        <f aca="false">INDEX(Lookup_Tables!$B$2:$B$5,MATCH(D969,Lookup_Tables!$A$2:$A$5,0))</f>
        <v>5</v>
      </c>
      <c r="I969" s="9" t="n">
        <f aca="false">C969+H969</f>
        <v>45567</v>
      </c>
      <c r="J969" s="5" t="n">
        <v>5</v>
      </c>
      <c r="K969" s="9" t="n">
        <f aca="false">I969+J969</f>
        <v>45572</v>
      </c>
      <c r="L969" s="5" t="n">
        <v>4</v>
      </c>
      <c r="M969" s="10" t="n">
        <f aca="false">INDEX(Dim_Supplier!$F$2:$F$21,MATCH(B969,Dim_Supplier!$A$2:$A$21,0))</f>
        <v>210</v>
      </c>
      <c r="N969" s="11" t="n">
        <v>0.12</v>
      </c>
      <c r="O969" s="10" t="n">
        <f aca="false">M969*(1+N969)</f>
        <v>235.2</v>
      </c>
      <c r="P969" s="10" t="n">
        <f aca="false">O969*L969</f>
        <v>940.8</v>
      </c>
      <c r="Q969" s="5" t="s">
        <v>133</v>
      </c>
      <c r="R969" s="5" t="n">
        <v>1</v>
      </c>
      <c r="S969" s="5" t="n">
        <v>30</v>
      </c>
      <c r="T969" s="12" t="n">
        <f aca="false">(O969-M969)/M969</f>
        <v>0.12</v>
      </c>
      <c r="U969" s="8" t="n">
        <f aca="false">IF(AND(K969&lt;=I969,R969=0),1,0)</f>
        <v>0</v>
      </c>
      <c r="V969" s="10" t="n">
        <f aca="false">IF(Q969="No",P969,0)</f>
        <v>940.8</v>
      </c>
    </row>
    <row r="970" customFormat="false" ht="15" hidden="false" customHeight="false" outlineLevel="0" collapsed="false">
      <c r="A970" s="5" t="s">
        <v>1104</v>
      </c>
      <c r="B970" s="5" t="s">
        <v>88</v>
      </c>
      <c r="C970" s="7" t="n">
        <v>45472</v>
      </c>
      <c r="D970" s="8" t="str">
        <f aca="false">INDEX(Dim_Supplier!$C$2:$C$21,MATCH(B970,Dim_Supplier!$A$2:$A$21,0))</f>
        <v>Logistics</v>
      </c>
      <c r="E970" s="8" t="str">
        <f aca="false">INDEX(Dim_Supplier!$B$2:$B$21,MATCH(B970,Dim_Supplier!$A$2:$A$21,0))</f>
        <v>Summit Last-Mile Delivery</v>
      </c>
      <c r="F970" s="5" t="s">
        <v>146</v>
      </c>
      <c r="G970" s="5" t="s">
        <v>129</v>
      </c>
      <c r="H970" s="8" t="n">
        <f aca="false">INDEX(Lookup_Tables!$B$2:$B$5,MATCH(D970,Lookup_Tables!$A$2:$A$5,0))</f>
        <v>5</v>
      </c>
      <c r="I970" s="9" t="n">
        <f aca="false">C970+H970</f>
        <v>45477</v>
      </c>
      <c r="J970" s="5" t="n">
        <v>-4</v>
      </c>
      <c r="K970" s="9" t="n">
        <f aca="false">I970+J970</f>
        <v>45473</v>
      </c>
      <c r="L970" s="5" t="n">
        <v>50</v>
      </c>
      <c r="M970" s="10" t="n">
        <f aca="false">INDEX(Dim_Supplier!$F$2:$F$21,MATCH(B970,Dim_Supplier!$A$2:$A$21,0))</f>
        <v>95</v>
      </c>
      <c r="N970" s="11" t="n">
        <v>0.0271</v>
      </c>
      <c r="O970" s="10" t="n">
        <f aca="false">M970*(1+N970)</f>
        <v>97.5745</v>
      </c>
      <c r="P970" s="10" t="n">
        <f aca="false">O970*L970</f>
        <v>4878.725</v>
      </c>
      <c r="Q970" s="5" t="s">
        <v>133</v>
      </c>
      <c r="R970" s="5" t="n">
        <v>0</v>
      </c>
      <c r="S970" s="5" t="n">
        <v>45</v>
      </c>
      <c r="T970" s="12" t="n">
        <f aca="false">(O970-M970)/M970</f>
        <v>0.0270999999999999</v>
      </c>
      <c r="U970" s="8" t="n">
        <f aca="false">IF(AND(K970&lt;=I970,R970=0),1,0)</f>
        <v>1</v>
      </c>
      <c r="V970" s="10" t="n">
        <f aca="false">IF(Q970="No",P970,0)</f>
        <v>4878.725</v>
      </c>
    </row>
    <row r="971" customFormat="false" ht="15" hidden="false" customHeight="false" outlineLevel="0" collapsed="false">
      <c r="A971" s="5" t="s">
        <v>1105</v>
      </c>
      <c r="B971" s="5" t="s">
        <v>75</v>
      </c>
      <c r="C971" s="7" t="n">
        <v>45961</v>
      </c>
      <c r="D971" s="8" t="str">
        <f aca="false">INDEX(Dim_Supplier!$C$2:$C$21,MATCH(B971,Dim_Supplier!$A$2:$A$21,0))</f>
        <v>MRO</v>
      </c>
      <c r="E971" s="8" t="str">
        <f aca="false">INDEX(Dim_Supplier!$B$2:$B$21,MATCH(B971,Dim_Supplier!$A$2:$A$21,0))</f>
        <v>Sterling Lubricants Inc.</v>
      </c>
      <c r="F971" s="5" t="s">
        <v>111</v>
      </c>
      <c r="G971" s="5" t="s">
        <v>112</v>
      </c>
      <c r="H971" s="8" t="n">
        <f aca="false">INDEX(Lookup_Tables!$B$2:$B$5,MATCH(D971,Lookup_Tables!$A$2:$A$5,0))</f>
        <v>10</v>
      </c>
      <c r="I971" s="9" t="n">
        <f aca="false">C971+H971</f>
        <v>45971</v>
      </c>
      <c r="J971" s="5" t="n">
        <v>-2</v>
      </c>
      <c r="K971" s="9" t="n">
        <f aca="false">I971+J971</f>
        <v>45969</v>
      </c>
      <c r="L971" s="5" t="n">
        <v>73</v>
      </c>
      <c r="M971" s="10" t="n">
        <f aca="false">INDEX(Dim_Supplier!$F$2:$F$21,MATCH(B971,Dim_Supplier!$A$2:$A$21,0))</f>
        <v>27.1</v>
      </c>
      <c r="N971" s="11" t="n">
        <v>0.0071</v>
      </c>
      <c r="O971" s="10" t="n">
        <f aca="false">M971*(1+N971)</f>
        <v>27.29241</v>
      </c>
      <c r="P971" s="10" t="n">
        <f aca="false">O971*L971</f>
        <v>1992.34593</v>
      </c>
      <c r="Q971" s="5" t="s">
        <v>113</v>
      </c>
      <c r="R971" s="5" t="n">
        <v>0</v>
      </c>
      <c r="S971" s="5" t="n">
        <v>60</v>
      </c>
      <c r="T971" s="12" t="n">
        <f aca="false">(O971-M971)/M971</f>
        <v>0.00710000000000009</v>
      </c>
      <c r="U971" s="8" t="n">
        <f aca="false">IF(AND(K971&lt;=I971,R971=0),1,0)</f>
        <v>1</v>
      </c>
      <c r="V971" s="10" t="n">
        <f aca="false">IF(Q971="No",P971,0)</f>
        <v>0</v>
      </c>
    </row>
    <row r="972" customFormat="false" ht="15" hidden="false" customHeight="false" outlineLevel="0" collapsed="false">
      <c r="A972" s="5" t="s">
        <v>1106</v>
      </c>
      <c r="B972" s="5" t="s">
        <v>60</v>
      </c>
      <c r="C972" s="7" t="n">
        <v>45748</v>
      </c>
      <c r="D972" s="8" t="str">
        <f aca="false">INDEX(Dim_Supplier!$C$2:$C$21,MATCH(B972,Dim_Supplier!$A$2:$A$21,0))</f>
        <v>Packaging</v>
      </c>
      <c r="E972" s="8" t="str">
        <f aca="false">INDEX(Dim_Supplier!$B$2:$B$21,MATCH(B972,Dim_Supplier!$A$2:$A$21,0))</f>
        <v>Maple Leaf Box &amp; Crate</v>
      </c>
      <c r="F972" s="5" t="s">
        <v>158</v>
      </c>
      <c r="G972" s="5" t="s">
        <v>125</v>
      </c>
      <c r="H972" s="8" t="n">
        <f aca="false">INDEX(Lookup_Tables!$B$2:$B$5,MATCH(D972,Lookup_Tables!$A$2:$A$5,0))</f>
        <v>14</v>
      </c>
      <c r="I972" s="9" t="n">
        <f aca="false">C972+H972</f>
        <v>45762</v>
      </c>
      <c r="J972" s="5" t="n">
        <v>-4</v>
      </c>
      <c r="K972" s="9" t="n">
        <f aca="false">I972+J972</f>
        <v>45758</v>
      </c>
      <c r="L972" s="5" t="n">
        <v>1267</v>
      </c>
      <c r="M972" s="10" t="n">
        <f aca="false">INDEX(Dim_Supplier!$F$2:$F$21,MATCH(B972,Dim_Supplier!$A$2:$A$21,0))</f>
        <v>3.1</v>
      </c>
      <c r="N972" s="11" t="n">
        <v>0.0717</v>
      </c>
      <c r="O972" s="10" t="n">
        <f aca="false">M972*(1+N972)</f>
        <v>3.32227</v>
      </c>
      <c r="P972" s="10" t="n">
        <f aca="false">O972*L972</f>
        <v>4209.31609</v>
      </c>
      <c r="Q972" s="5" t="s">
        <v>113</v>
      </c>
      <c r="R972" s="5" t="n">
        <v>0</v>
      </c>
      <c r="S972" s="5" t="n">
        <v>60</v>
      </c>
      <c r="T972" s="12" t="n">
        <f aca="false">(O972-M972)/M972</f>
        <v>0.0717000000000001</v>
      </c>
      <c r="U972" s="8" t="n">
        <f aca="false">IF(AND(K972&lt;=I972,R972=0),1,0)</f>
        <v>1</v>
      </c>
      <c r="V972" s="10" t="n">
        <f aca="false">IF(Q972="No",P972,0)</f>
        <v>0</v>
      </c>
    </row>
    <row r="973" customFormat="false" ht="15" hidden="false" customHeight="false" outlineLevel="0" collapsed="false">
      <c r="A973" s="5" t="s">
        <v>1107</v>
      </c>
      <c r="B973" s="5" t="s">
        <v>49</v>
      </c>
      <c r="C973" s="7" t="n">
        <v>45875</v>
      </c>
      <c r="D973" s="8" t="str">
        <f aca="false">INDEX(Dim_Supplier!$C$2:$C$21,MATCH(B973,Dim_Supplier!$A$2:$A$21,0))</f>
        <v>Raw Materials</v>
      </c>
      <c r="E973" s="8" t="str">
        <f aca="false">INDEX(Dim_Supplier!$B$2:$B$21,MATCH(B973,Dim_Supplier!$A$2:$A$21,0))</f>
        <v>Great Lakes Polymer Co.</v>
      </c>
      <c r="F973" s="5" t="s">
        <v>142</v>
      </c>
      <c r="G973" s="5" t="s">
        <v>112</v>
      </c>
      <c r="H973" s="8" t="n">
        <f aca="false">INDEX(Lookup_Tables!$B$2:$B$5,MATCH(D973,Lookup_Tables!$A$2:$A$5,0))</f>
        <v>21</v>
      </c>
      <c r="I973" s="9" t="n">
        <f aca="false">C973+H973</f>
        <v>45896</v>
      </c>
      <c r="J973" s="5" t="n">
        <v>4</v>
      </c>
      <c r="K973" s="9" t="n">
        <f aca="false">I973+J973</f>
        <v>45900</v>
      </c>
      <c r="L973" s="5" t="n">
        <v>433</v>
      </c>
      <c r="M973" s="10" t="n">
        <f aca="false">INDEX(Dim_Supplier!$F$2:$F$21,MATCH(B973,Dim_Supplier!$A$2:$A$21,0))</f>
        <v>32.75</v>
      </c>
      <c r="N973" s="11" t="n">
        <v>0.1167</v>
      </c>
      <c r="O973" s="10" t="n">
        <f aca="false">M973*(1+N973)</f>
        <v>36.571925</v>
      </c>
      <c r="P973" s="10" t="n">
        <f aca="false">O973*L973</f>
        <v>15835.643525</v>
      </c>
      <c r="Q973" s="5" t="s">
        <v>133</v>
      </c>
      <c r="R973" s="5" t="n">
        <v>0</v>
      </c>
      <c r="S973" s="5" t="n">
        <v>45</v>
      </c>
      <c r="T973" s="12" t="n">
        <f aca="false">(O973-M973)/M973</f>
        <v>0.1167</v>
      </c>
      <c r="U973" s="8" t="n">
        <f aca="false">IF(AND(K973&lt;=I973,R973=0),1,0)</f>
        <v>0</v>
      </c>
      <c r="V973" s="10" t="n">
        <f aca="false">IF(Q973="No",P973,0)</f>
        <v>15835.643525</v>
      </c>
    </row>
    <row r="974" customFormat="false" ht="15" hidden="false" customHeight="false" outlineLevel="0" collapsed="false">
      <c r="A974" s="5" t="s">
        <v>1108</v>
      </c>
      <c r="B974" s="5" t="s">
        <v>52</v>
      </c>
      <c r="C974" s="7" t="n">
        <v>45438</v>
      </c>
      <c r="D974" s="8" t="str">
        <f aca="false">INDEX(Dim_Supplier!$C$2:$C$21,MATCH(B974,Dim_Supplier!$A$2:$A$21,0))</f>
        <v>Raw Materials</v>
      </c>
      <c r="E974" s="8" t="str">
        <f aca="false">INDEX(Dim_Supplier!$B$2:$B$21,MATCH(B974,Dim_Supplier!$A$2:$A$21,0))</f>
        <v>Laurentian Metals Inc.</v>
      </c>
      <c r="F974" s="5" t="s">
        <v>148</v>
      </c>
      <c r="G974" s="5" t="s">
        <v>125</v>
      </c>
      <c r="H974" s="8" t="n">
        <f aca="false">INDEX(Lookup_Tables!$B$2:$B$5,MATCH(D974,Lookup_Tables!$A$2:$A$5,0))</f>
        <v>21</v>
      </c>
      <c r="I974" s="9" t="n">
        <f aca="false">C974+H974</f>
        <v>45459</v>
      </c>
      <c r="J974" s="5" t="n">
        <v>-3</v>
      </c>
      <c r="K974" s="9" t="n">
        <f aca="false">I974+J974</f>
        <v>45456</v>
      </c>
      <c r="L974" s="5" t="n">
        <v>924</v>
      </c>
      <c r="M974" s="10" t="n">
        <f aca="false">INDEX(Dim_Supplier!$F$2:$F$21,MATCH(B974,Dim_Supplier!$A$2:$A$21,0))</f>
        <v>61.2</v>
      </c>
      <c r="N974" s="11" t="n">
        <v>0.0638</v>
      </c>
      <c r="O974" s="10" t="n">
        <f aca="false">M974*(1+N974)</f>
        <v>65.10456</v>
      </c>
      <c r="P974" s="10" t="n">
        <f aca="false">O974*L974</f>
        <v>60156.61344</v>
      </c>
      <c r="Q974" s="5" t="s">
        <v>113</v>
      </c>
      <c r="R974" s="5" t="n">
        <v>0</v>
      </c>
      <c r="S974" s="5" t="n">
        <v>45</v>
      </c>
      <c r="T974" s="12" t="n">
        <f aca="false">(O974-M974)/M974</f>
        <v>0.0638000000000001</v>
      </c>
      <c r="U974" s="8" t="n">
        <f aca="false">IF(AND(K974&lt;=I974,R974=0),1,0)</f>
        <v>1</v>
      </c>
      <c r="V974" s="10" t="n">
        <f aca="false">IF(Q974="No",P974,0)</f>
        <v>0</v>
      </c>
    </row>
    <row r="975" customFormat="false" ht="15" hidden="false" customHeight="false" outlineLevel="0" collapsed="false">
      <c r="A975" s="5" t="s">
        <v>1109</v>
      </c>
      <c r="B975" s="5" t="s">
        <v>79</v>
      </c>
      <c r="C975" s="7" t="n">
        <v>45909</v>
      </c>
      <c r="D975" s="8" t="str">
        <f aca="false">INDEX(Dim_Supplier!$C$2:$C$21,MATCH(B975,Dim_Supplier!$A$2:$A$21,0))</f>
        <v>Logistics</v>
      </c>
      <c r="E975" s="8" t="str">
        <f aca="false">INDEX(Dim_Supplier!$B$2:$B$21,MATCH(B975,Dim_Supplier!$A$2:$A$21,0))</f>
        <v>Niagara Freight Solutions</v>
      </c>
      <c r="F975" s="5" t="s">
        <v>124</v>
      </c>
      <c r="G975" s="5" t="s">
        <v>125</v>
      </c>
      <c r="H975" s="8" t="n">
        <f aca="false">INDEX(Lookup_Tables!$B$2:$B$5,MATCH(D975,Lookup_Tables!$A$2:$A$5,0))</f>
        <v>5</v>
      </c>
      <c r="I975" s="9" t="n">
        <f aca="false">C975+H975</f>
        <v>45914</v>
      </c>
      <c r="J975" s="5" t="n">
        <v>-3</v>
      </c>
      <c r="K975" s="9" t="n">
        <f aca="false">I975+J975</f>
        <v>45911</v>
      </c>
      <c r="L975" s="5" t="n">
        <v>1</v>
      </c>
      <c r="M975" s="10" t="n">
        <f aca="false">INDEX(Dim_Supplier!$F$2:$F$21,MATCH(B975,Dim_Supplier!$A$2:$A$21,0))</f>
        <v>340</v>
      </c>
      <c r="N975" s="11" t="n">
        <v>0.0164</v>
      </c>
      <c r="O975" s="10" t="n">
        <f aca="false">M975*(1+N975)</f>
        <v>345.576</v>
      </c>
      <c r="P975" s="10" t="n">
        <f aca="false">O975*L975</f>
        <v>345.576</v>
      </c>
      <c r="Q975" s="5" t="s">
        <v>113</v>
      </c>
      <c r="R975" s="5" t="n">
        <v>0</v>
      </c>
      <c r="S975" s="5" t="n">
        <v>30</v>
      </c>
      <c r="T975" s="12" t="n">
        <f aca="false">(O975-M975)/M975</f>
        <v>0.0163999999999999</v>
      </c>
      <c r="U975" s="8" t="n">
        <f aca="false">IF(AND(K975&lt;=I975,R975=0),1,0)</f>
        <v>1</v>
      </c>
      <c r="V975" s="10" t="n">
        <f aca="false">IF(Q975="No",P975,0)</f>
        <v>0</v>
      </c>
    </row>
    <row r="976" customFormat="false" ht="15" hidden="false" customHeight="false" outlineLevel="0" collapsed="false">
      <c r="A976" s="5" t="s">
        <v>1110</v>
      </c>
      <c r="B976" s="5" t="s">
        <v>52</v>
      </c>
      <c r="C976" s="7" t="n">
        <v>45377</v>
      </c>
      <c r="D976" s="8" t="str">
        <f aca="false">INDEX(Dim_Supplier!$C$2:$C$21,MATCH(B976,Dim_Supplier!$A$2:$A$21,0))</f>
        <v>Raw Materials</v>
      </c>
      <c r="E976" s="8" t="str">
        <f aca="false">INDEX(Dim_Supplier!$B$2:$B$21,MATCH(B976,Dim_Supplier!$A$2:$A$21,0))</f>
        <v>Laurentian Metals Inc.</v>
      </c>
      <c r="F976" s="5" t="s">
        <v>139</v>
      </c>
      <c r="G976" s="5" t="s">
        <v>112</v>
      </c>
      <c r="H976" s="8" t="n">
        <f aca="false">INDEX(Lookup_Tables!$B$2:$B$5,MATCH(D976,Lookup_Tables!$A$2:$A$5,0))</f>
        <v>21</v>
      </c>
      <c r="I976" s="9" t="n">
        <f aca="false">C976+H976</f>
        <v>45398</v>
      </c>
      <c r="J976" s="5" t="n">
        <v>0</v>
      </c>
      <c r="K976" s="9" t="n">
        <f aca="false">I976+J976</f>
        <v>45398</v>
      </c>
      <c r="L976" s="5" t="n">
        <v>1722</v>
      </c>
      <c r="M976" s="10" t="n">
        <f aca="false">INDEX(Dim_Supplier!$F$2:$F$21,MATCH(B976,Dim_Supplier!$A$2:$A$21,0))</f>
        <v>61.2</v>
      </c>
      <c r="N976" s="11" t="n">
        <v>0.0098</v>
      </c>
      <c r="O976" s="10" t="n">
        <f aca="false">M976*(1+N976)</f>
        <v>61.79976</v>
      </c>
      <c r="P976" s="10" t="n">
        <f aca="false">O976*L976</f>
        <v>106419.18672</v>
      </c>
      <c r="Q976" s="5" t="s">
        <v>133</v>
      </c>
      <c r="R976" s="5" t="n">
        <v>0</v>
      </c>
      <c r="S976" s="5" t="n">
        <v>30</v>
      </c>
      <c r="T976" s="12" t="n">
        <f aca="false">(O976-M976)/M976</f>
        <v>0.00980000000000006</v>
      </c>
      <c r="U976" s="8" t="n">
        <f aca="false">IF(AND(K976&lt;=I976,R976=0),1,0)</f>
        <v>1</v>
      </c>
      <c r="V976" s="10" t="n">
        <f aca="false">IF(Q976="No",P976,0)</f>
        <v>106419.18672</v>
      </c>
    </row>
    <row r="977" customFormat="false" ht="15" hidden="false" customHeight="false" outlineLevel="0" collapsed="false">
      <c r="A977" s="5" t="s">
        <v>1111</v>
      </c>
      <c r="B977" s="5" t="s">
        <v>77</v>
      </c>
      <c r="C977" s="7" t="n">
        <v>45638</v>
      </c>
      <c r="D977" s="8" t="str">
        <f aca="false">INDEX(Dim_Supplier!$C$2:$C$21,MATCH(B977,Dim_Supplier!$A$2:$A$21,0))</f>
        <v>MRO</v>
      </c>
      <c r="E977" s="8" t="str">
        <f aca="false">INDEX(Dim_Supplier!$B$2:$B$21,MATCH(B977,Dim_Supplier!$A$2:$A$21,0))</f>
        <v>Apex Industrial Supply</v>
      </c>
      <c r="F977" s="5" t="s">
        <v>127</v>
      </c>
      <c r="G977" s="5" t="s">
        <v>112</v>
      </c>
      <c r="H977" s="8" t="n">
        <f aca="false">INDEX(Lookup_Tables!$B$2:$B$5,MATCH(D977,Lookup_Tables!$A$2:$A$5,0))</f>
        <v>10</v>
      </c>
      <c r="I977" s="9" t="n">
        <f aca="false">C977+H977</f>
        <v>45648</v>
      </c>
      <c r="J977" s="5" t="n">
        <v>1</v>
      </c>
      <c r="K977" s="9" t="n">
        <f aca="false">I977+J977</f>
        <v>45649</v>
      </c>
      <c r="L977" s="5" t="n">
        <v>118</v>
      </c>
      <c r="M977" s="10" t="n">
        <f aca="false">INDEX(Dim_Supplier!$F$2:$F$21,MATCH(B977,Dim_Supplier!$A$2:$A$21,0))</f>
        <v>24.6</v>
      </c>
      <c r="N977" s="11" t="n">
        <v>0.0759</v>
      </c>
      <c r="O977" s="10" t="n">
        <f aca="false">M977*(1+N977)</f>
        <v>26.46714</v>
      </c>
      <c r="P977" s="10" t="n">
        <f aca="false">O977*L977</f>
        <v>3123.12252</v>
      </c>
      <c r="Q977" s="5" t="s">
        <v>133</v>
      </c>
      <c r="R977" s="5" t="n">
        <v>0</v>
      </c>
      <c r="S977" s="5" t="n">
        <v>30</v>
      </c>
      <c r="T977" s="12" t="n">
        <f aca="false">(O977-M977)/M977</f>
        <v>0.0759000000000001</v>
      </c>
      <c r="U977" s="8" t="n">
        <f aca="false">IF(AND(K977&lt;=I977,R977=0),1,0)</f>
        <v>0</v>
      </c>
      <c r="V977" s="10" t="n">
        <f aca="false">IF(Q977="No",P977,0)</f>
        <v>3123.12252</v>
      </c>
    </row>
    <row r="978" customFormat="false" ht="15" hidden="false" customHeight="false" outlineLevel="0" collapsed="false">
      <c r="A978" s="5" t="s">
        <v>1112</v>
      </c>
      <c r="B978" s="5" t="s">
        <v>52</v>
      </c>
      <c r="C978" s="7" t="n">
        <v>45848</v>
      </c>
      <c r="D978" s="8" t="str">
        <f aca="false">INDEX(Dim_Supplier!$C$2:$C$21,MATCH(B978,Dim_Supplier!$A$2:$A$21,0))</f>
        <v>Raw Materials</v>
      </c>
      <c r="E978" s="8" t="str">
        <f aca="false">INDEX(Dim_Supplier!$B$2:$B$21,MATCH(B978,Dim_Supplier!$A$2:$A$21,0))</f>
        <v>Laurentian Metals Inc.</v>
      </c>
      <c r="F978" s="5" t="s">
        <v>139</v>
      </c>
      <c r="G978" s="5" t="s">
        <v>129</v>
      </c>
      <c r="H978" s="8" t="n">
        <f aca="false">INDEX(Lookup_Tables!$B$2:$B$5,MATCH(D978,Lookup_Tables!$A$2:$A$5,0))</f>
        <v>21</v>
      </c>
      <c r="I978" s="9" t="n">
        <f aca="false">C978+H978</f>
        <v>45869</v>
      </c>
      <c r="J978" s="5" t="n">
        <v>-2</v>
      </c>
      <c r="K978" s="9" t="n">
        <f aca="false">I978+J978</f>
        <v>45867</v>
      </c>
      <c r="L978" s="5" t="n">
        <v>1215</v>
      </c>
      <c r="M978" s="10" t="n">
        <f aca="false">INDEX(Dim_Supplier!$F$2:$F$21,MATCH(B978,Dim_Supplier!$A$2:$A$21,0))</f>
        <v>61.2</v>
      </c>
      <c r="N978" s="11" t="n">
        <v>0.0208</v>
      </c>
      <c r="O978" s="10" t="n">
        <f aca="false">M978*(1+N978)</f>
        <v>62.47296</v>
      </c>
      <c r="P978" s="10" t="n">
        <f aca="false">O978*L978</f>
        <v>75904.6464</v>
      </c>
      <c r="Q978" s="5" t="s">
        <v>113</v>
      </c>
      <c r="R978" s="5" t="n">
        <v>0</v>
      </c>
      <c r="S978" s="5" t="n">
        <v>60</v>
      </c>
      <c r="T978" s="12" t="n">
        <f aca="false">(O978-M978)/M978</f>
        <v>0.0208</v>
      </c>
      <c r="U978" s="8" t="n">
        <f aca="false">IF(AND(K978&lt;=I978,R978=0),1,0)</f>
        <v>1</v>
      </c>
      <c r="V978" s="10" t="n">
        <f aca="false">IF(Q978="No",P978,0)</f>
        <v>0</v>
      </c>
    </row>
    <row r="979" customFormat="false" ht="15" hidden="false" customHeight="false" outlineLevel="0" collapsed="false">
      <c r="A979" s="5" t="s">
        <v>1113</v>
      </c>
      <c r="B979" s="5" t="s">
        <v>46</v>
      </c>
      <c r="C979" s="7" t="n">
        <v>45521</v>
      </c>
      <c r="D979" s="8" t="str">
        <f aca="false">INDEX(Dim_Supplier!$C$2:$C$21,MATCH(B979,Dim_Supplier!$A$2:$A$21,0))</f>
        <v>Raw Materials</v>
      </c>
      <c r="E979" s="8" t="str">
        <f aca="false">INDEX(Dim_Supplier!$B$2:$B$21,MATCH(B979,Dim_Supplier!$A$2:$A$21,0))</f>
        <v>Niagara Alloy Supply</v>
      </c>
      <c r="F979" s="5" t="s">
        <v>148</v>
      </c>
      <c r="G979" s="5" t="s">
        <v>112</v>
      </c>
      <c r="H979" s="8" t="n">
        <f aca="false">INDEX(Lookup_Tables!$B$2:$B$5,MATCH(D979,Lookup_Tables!$A$2:$A$5,0))</f>
        <v>21</v>
      </c>
      <c r="I979" s="9" t="n">
        <f aca="false">C979+H979</f>
        <v>45542</v>
      </c>
      <c r="J979" s="5" t="n">
        <v>-2</v>
      </c>
      <c r="K979" s="9" t="n">
        <f aca="false">I979+J979</f>
        <v>45540</v>
      </c>
      <c r="L979" s="5" t="n">
        <v>1442</v>
      </c>
      <c r="M979" s="10" t="n">
        <f aca="false">INDEX(Dim_Supplier!$F$2:$F$21,MATCH(B979,Dim_Supplier!$A$2:$A$21,0))</f>
        <v>46.5</v>
      </c>
      <c r="N979" s="11" t="n">
        <v>0.035</v>
      </c>
      <c r="O979" s="10" t="n">
        <f aca="false">M979*(1+N979)</f>
        <v>48.1275</v>
      </c>
      <c r="P979" s="10" t="n">
        <f aca="false">O979*L979</f>
        <v>69399.855</v>
      </c>
      <c r="Q979" s="5" t="s">
        <v>113</v>
      </c>
      <c r="R979" s="5" t="n">
        <v>0</v>
      </c>
      <c r="S979" s="5" t="n">
        <v>45</v>
      </c>
      <c r="T979" s="12" t="n">
        <f aca="false">(O979-M979)/M979</f>
        <v>0.035</v>
      </c>
      <c r="U979" s="8" t="n">
        <f aca="false">IF(AND(K979&lt;=I979,R979=0),1,0)</f>
        <v>1</v>
      </c>
      <c r="V979" s="10" t="n">
        <f aca="false">IF(Q979="No",P979,0)</f>
        <v>0</v>
      </c>
    </row>
    <row r="980" customFormat="false" ht="15" hidden="false" customHeight="false" outlineLevel="0" collapsed="false">
      <c r="A980" s="5" t="s">
        <v>1114</v>
      </c>
      <c r="B980" s="5" t="s">
        <v>75</v>
      </c>
      <c r="C980" s="7" t="n">
        <v>46024</v>
      </c>
      <c r="D980" s="8" t="str">
        <f aca="false">INDEX(Dim_Supplier!$C$2:$C$21,MATCH(B980,Dim_Supplier!$A$2:$A$21,0))</f>
        <v>MRO</v>
      </c>
      <c r="E980" s="8" t="str">
        <f aca="false">INDEX(Dim_Supplier!$B$2:$B$21,MATCH(B980,Dim_Supplier!$A$2:$A$21,0))</f>
        <v>Sterling Lubricants Inc.</v>
      </c>
      <c r="F980" s="5" t="s">
        <v>127</v>
      </c>
      <c r="G980" s="5" t="s">
        <v>125</v>
      </c>
      <c r="H980" s="8" t="n">
        <f aca="false">INDEX(Lookup_Tables!$B$2:$B$5,MATCH(D980,Lookup_Tables!$A$2:$A$5,0))</f>
        <v>10</v>
      </c>
      <c r="I980" s="9" t="n">
        <f aca="false">C980+H980</f>
        <v>46034</v>
      </c>
      <c r="J980" s="5" t="n">
        <v>-3</v>
      </c>
      <c r="K980" s="9" t="n">
        <f aca="false">I980+J980</f>
        <v>46031</v>
      </c>
      <c r="L980" s="5" t="n">
        <v>31</v>
      </c>
      <c r="M980" s="10" t="n">
        <f aca="false">INDEX(Dim_Supplier!$F$2:$F$21,MATCH(B980,Dim_Supplier!$A$2:$A$21,0))</f>
        <v>27.1</v>
      </c>
      <c r="N980" s="11" t="n">
        <v>0.0285</v>
      </c>
      <c r="O980" s="10" t="n">
        <f aca="false">M980*(1+N980)</f>
        <v>27.87235</v>
      </c>
      <c r="P980" s="10" t="n">
        <f aca="false">O980*L980</f>
        <v>864.04285</v>
      </c>
      <c r="Q980" s="5" t="s">
        <v>133</v>
      </c>
      <c r="R980" s="5" t="n">
        <v>0</v>
      </c>
      <c r="S980" s="5" t="n">
        <v>30</v>
      </c>
      <c r="T980" s="12" t="n">
        <f aca="false">(O980-M980)/M980</f>
        <v>0.0285</v>
      </c>
      <c r="U980" s="8" t="n">
        <f aca="false">IF(AND(K980&lt;=I980,R980=0),1,0)</f>
        <v>1</v>
      </c>
      <c r="V980" s="10" t="n">
        <f aca="false">IF(Q980="No",P980,0)</f>
        <v>864.04285</v>
      </c>
    </row>
    <row r="981" customFormat="false" ht="15" hidden="false" customHeight="false" outlineLevel="0" collapsed="false">
      <c r="A981" s="5" t="s">
        <v>1115</v>
      </c>
      <c r="B981" s="5" t="s">
        <v>57</v>
      </c>
      <c r="C981" s="7" t="n">
        <v>45661</v>
      </c>
      <c r="D981" s="8" t="str">
        <f aca="false">INDEX(Dim_Supplier!$C$2:$C$21,MATCH(B981,Dim_Supplier!$A$2:$A$21,0))</f>
        <v>Packaging</v>
      </c>
      <c r="E981" s="8" t="str">
        <f aca="false">INDEX(Dim_Supplier!$B$2:$B$21,MATCH(B981,Dim_Supplier!$A$2:$A$21,0))</f>
        <v>Great Lakes Packaging Co.</v>
      </c>
      <c r="F981" s="5" t="s">
        <v>117</v>
      </c>
      <c r="G981" s="5" t="s">
        <v>129</v>
      </c>
      <c r="H981" s="8" t="n">
        <f aca="false">INDEX(Lookup_Tables!$B$2:$B$5,MATCH(D981,Lookup_Tables!$A$2:$A$5,0))</f>
        <v>14</v>
      </c>
      <c r="I981" s="9" t="n">
        <f aca="false">C981+H981</f>
        <v>45675</v>
      </c>
      <c r="J981" s="5" t="n">
        <v>-4</v>
      </c>
      <c r="K981" s="9" t="n">
        <f aca="false">I981+J981</f>
        <v>45671</v>
      </c>
      <c r="L981" s="5" t="n">
        <v>4845</v>
      </c>
      <c r="M981" s="10" t="n">
        <f aca="false">INDEX(Dim_Supplier!$F$2:$F$21,MATCH(B981,Dim_Supplier!$A$2:$A$21,0))</f>
        <v>4.35</v>
      </c>
      <c r="N981" s="11" t="n">
        <v>0.0024</v>
      </c>
      <c r="O981" s="10" t="n">
        <f aca="false">M981*(1+N981)</f>
        <v>4.36044</v>
      </c>
      <c r="P981" s="10" t="n">
        <f aca="false">O981*L981</f>
        <v>21126.3318</v>
      </c>
      <c r="Q981" s="5" t="s">
        <v>113</v>
      </c>
      <c r="R981" s="5" t="n">
        <v>0</v>
      </c>
      <c r="S981" s="5" t="n">
        <v>30</v>
      </c>
      <c r="T981" s="12" t="n">
        <f aca="false">(O981-M981)/M981</f>
        <v>0.0024</v>
      </c>
      <c r="U981" s="8" t="n">
        <f aca="false">IF(AND(K981&lt;=I981,R981=0),1,0)</f>
        <v>1</v>
      </c>
      <c r="V981" s="10" t="n">
        <f aca="false">IF(Q981="No",P981,0)</f>
        <v>0</v>
      </c>
    </row>
    <row r="982" customFormat="false" ht="15" hidden="false" customHeight="false" outlineLevel="0" collapsed="false">
      <c r="A982" s="5" t="s">
        <v>1116</v>
      </c>
      <c r="B982" s="5" t="s">
        <v>84</v>
      </c>
      <c r="C982" s="7" t="n">
        <v>45995</v>
      </c>
      <c r="D982" s="8" t="str">
        <f aca="false">INDEX(Dim_Supplier!$C$2:$C$21,MATCH(B982,Dim_Supplier!$A$2:$A$21,0))</f>
        <v>Logistics</v>
      </c>
      <c r="E982" s="8" t="str">
        <f aca="false">INDEX(Dim_Supplier!$B$2:$B$21,MATCH(B982,Dim_Supplier!$A$2:$A$21,0))</f>
        <v>Trans-Canada Carriers</v>
      </c>
      <c r="F982" s="5" t="s">
        <v>146</v>
      </c>
      <c r="G982" s="5" t="s">
        <v>120</v>
      </c>
      <c r="H982" s="8" t="n">
        <f aca="false">INDEX(Lookup_Tables!$B$2:$B$5,MATCH(D982,Lookup_Tables!$A$2:$A$5,0))</f>
        <v>5</v>
      </c>
      <c r="I982" s="9" t="n">
        <f aca="false">C982+H982</f>
        <v>46000</v>
      </c>
      <c r="J982" s="5" t="n">
        <v>3</v>
      </c>
      <c r="K982" s="9" t="n">
        <f aca="false">I982+J982</f>
        <v>46003</v>
      </c>
      <c r="L982" s="5" t="n">
        <v>32</v>
      </c>
      <c r="M982" s="10" t="n">
        <f aca="false">INDEX(Dim_Supplier!$F$2:$F$21,MATCH(B982,Dim_Supplier!$A$2:$A$21,0))</f>
        <v>210</v>
      </c>
      <c r="N982" s="11" t="n">
        <v>0.1376</v>
      </c>
      <c r="O982" s="10" t="n">
        <f aca="false">M982*(1+N982)</f>
        <v>238.896</v>
      </c>
      <c r="P982" s="10" t="n">
        <f aca="false">O982*L982</f>
        <v>7644.672</v>
      </c>
      <c r="Q982" s="5" t="s">
        <v>133</v>
      </c>
      <c r="R982" s="5" t="n">
        <v>0</v>
      </c>
      <c r="S982" s="5" t="n">
        <v>60</v>
      </c>
      <c r="T982" s="12" t="n">
        <f aca="false">(O982-M982)/M982</f>
        <v>0.1376</v>
      </c>
      <c r="U982" s="8" t="n">
        <f aca="false">IF(AND(K982&lt;=I982,R982=0),1,0)</f>
        <v>0</v>
      </c>
      <c r="V982" s="10" t="n">
        <f aca="false">IF(Q982="No",P982,0)</f>
        <v>7644.672</v>
      </c>
    </row>
    <row r="983" customFormat="false" ht="15" hidden="false" customHeight="false" outlineLevel="0" collapsed="false">
      <c r="A983" s="5" t="s">
        <v>1117</v>
      </c>
      <c r="B983" s="5" t="s">
        <v>75</v>
      </c>
      <c r="C983" s="7" t="n">
        <v>45370</v>
      </c>
      <c r="D983" s="8" t="str">
        <f aca="false">INDEX(Dim_Supplier!$C$2:$C$21,MATCH(B983,Dim_Supplier!$A$2:$A$21,0))</f>
        <v>MRO</v>
      </c>
      <c r="E983" s="8" t="str">
        <f aca="false">INDEX(Dim_Supplier!$B$2:$B$21,MATCH(B983,Dim_Supplier!$A$2:$A$21,0))</f>
        <v>Sterling Lubricants Inc.</v>
      </c>
      <c r="F983" s="5" t="s">
        <v>127</v>
      </c>
      <c r="G983" s="5" t="s">
        <v>112</v>
      </c>
      <c r="H983" s="8" t="n">
        <f aca="false">INDEX(Lookup_Tables!$B$2:$B$5,MATCH(D983,Lookup_Tables!$A$2:$A$5,0))</f>
        <v>10</v>
      </c>
      <c r="I983" s="9" t="n">
        <f aca="false">C983+H983</f>
        <v>45380</v>
      </c>
      <c r="J983" s="5" t="n">
        <v>-3</v>
      </c>
      <c r="K983" s="9" t="n">
        <f aca="false">I983+J983</f>
        <v>45377</v>
      </c>
      <c r="L983" s="5" t="n">
        <v>42</v>
      </c>
      <c r="M983" s="10" t="n">
        <f aca="false">INDEX(Dim_Supplier!$F$2:$F$21,MATCH(B983,Dim_Supplier!$A$2:$A$21,0))</f>
        <v>27.1</v>
      </c>
      <c r="N983" s="11" t="n">
        <v>0.0089</v>
      </c>
      <c r="O983" s="10" t="n">
        <f aca="false">M983*(1+N983)</f>
        <v>27.34119</v>
      </c>
      <c r="P983" s="10" t="n">
        <f aca="false">O983*L983</f>
        <v>1148.32998</v>
      </c>
      <c r="Q983" s="5" t="s">
        <v>113</v>
      </c>
      <c r="R983" s="5" t="n">
        <v>0</v>
      </c>
      <c r="S983" s="5" t="n">
        <v>45</v>
      </c>
      <c r="T983" s="12" t="n">
        <f aca="false">(O983-M983)/M983</f>
        <v>0.00889999999999985</v>
      </c>
      <c r="U983" s="8" t="n">
        <f aca="false">IF(AND(K983&lt;=I983,R983=0),1,0)</f>
        <v>1</v>
      </c>
      <c r="V983" s="10" t="n">
        <f aca="false">IF(Q983="No",P983,0)</f>
        <v>0</v>
      </c>
    </row>
    <row r="984" customFormat="false" ht="15" hidden="false" customHeight="false" outlineLevel="0" collapsed="false">
      <c r="A984" s="5" t="s">
        <v>1118</v>
      </c>
      <c r="B984" s="5" t="s">
        <v>64</v>
      </c>
      <c r="C984" s="7" t="n">
        <v>45360</v>
      </c>
      <c r="D984" s="8" t="str">
        <f aca="false">INDEX(Dim_Supplier!$C$2:$C$21,MATCH(B984,Dim_Supplier!$A$2:$A$21,0))</f>
        <v>Packaging</v>
      </c>
      <c r="E984" s="8" t="str">
        <f aca="false">INDEX(Dim_Supplier!$B$2:$B$21,MATCH(B984,Dim_Supplier!$A$2:$A$21,0))</f>
        <v>Huron Pallet Works</v>
      </c>
      <c r="F984" s="5" t="s">
        <v>117</v>
      </c>
      <c r="G984" s="5" t="s">
        <v>125</v>
      </c>
      <c r="H984" s="8" t="n">
        <f aca="false">INDEX(Lookup_Tables!$B$2:$B$5,MATCH(D984,Lookup_Tables!$A$2:$A$5,0))</f>
        <v>14</v>
      </c>
      <c r="I984" s="9" t="n">
        <f aca="false">C984+H984</f>
        <v>45374</v>
      </c>
      <c r="J984" s="5" t="n">
        <v>7</v>
      </c>
      <c r="K984" s="9" t="n">
        <f aca="false">I984+J984</f>
        <v>45381</v>
      </c>
      <c r="L984" s="5" t="n">
        <v>1240</v>
      </c>
      <c r="M984" s="10" t="n">
        <f aca="false">INDEX(Dim_Supplier!$F$2:$F$21,MATCH(B984,Dim_Supplier!$A$2:$A$21,0))</f>
        <v>2.25</v>
      </c>
      <c r="N984" s="11" t="n">
        <v>0.1359</v>
      </c>
      <c r="O984" s="10" t="n">
        <f aca="false">M984*(1+N984)</f>
        <v>2.555775</v>
      </c>
      <c r="P984" s="10" t="n">
        <f aca="false">O984*L984</f>
        <v>3169.161</v>
      </c>
      <c r="Q984" s="5" t="s">
        <v>113</v>
      </c>
      <c r="R984" s="5" t="n">
        <v>0</v>
      </c>
      <c r="S984" s="5" t="n">
        <v>45</v>
      </c>
      <c r="T984" s="12" t="n">
        <f aca="false">(O984-M984)/M984</f>
        <v>0.1359</v>
      </c>
      <c r="U984" s="8" t="n">
        <f aca="false">IF(AND(K984&lt;=I984,R984=0),1,0)</f>
        <v>0</v>
      </c>
      <c r="V984" s="10" t="n">
        <f aca="false">IF(Q984="No",P984,0)</f>
        <v>0</v>
      </c>
    </row>
    <row r="985" customFormat="false" ht="15" hidden="false" customHeight="false" outlineLevel="0" collapsed="false">
      <c r="A985" s="5" t="s">
        <v>1119</v>
      </c>
      <c r="B985" s="5" t="s">
        <v>57</v>
      </c>
      <c r="C985" s="7" t="n">
        <v>45798</v>
      </c>
      <c r="D985" s="8" t="str">
        <f aca="false">INDEX(Dim_Supplier!$C$2:$C$21,MATCH(B985,Dim_Supplier!$A$2:$A$21,0))</f>
        <v>Packaging</v>
      </c>
      <c r="E985" s="8" t="str">
        <f aca="false">INDEX(Dim_Supplier!$B$2:$B$21,MATCH(B985,Dim_Supplier!$A$2:$A$21,0))</f>
        <v>Great Lakes Packaging Co.</v>
      </c>
      <c r="F985" s="5" t="s">
        <v>137</v>
      </c>
      <c r="G985" s="5" t="s">
        <v>125</v>
      </c>
      <c r="H985" s="8" t="n">
        <f aca="false">INDEX(Lookup_Tables!$B$2:$B$5,MATCH(D985,Lookup_Tables!$A$2:$A$5,0))</f>
        <v>14</v>
      </c>
      <c r="I985" s="9" t="n">
        <f aca="false">C985+H985</f>
        <v>45812</v>
      </c>
      <c r="J985" s="5" t="n">
        <v>-4</v>
      </c>
      <c r="K985" s="9" t="n">
        <f aca="false">I985+J985</f>
        <v>45808</v>
      </c>
      <c r="L985" s="5" t="n">
        <v>3231</v>
      </c>
      <c r="M985" s="10" t="n">
        <f aca="false">INDEX(Dim_Supplier!$F$2:$F$21,MATCH(B985,Dim_Supplier!$A$2:$A$21,0))</f>
        <v>4.35</v>
      </c>
      <c r="N985" s="11" t="n">
        <v>-0.0094</v>
      </c>
      <c r="O985" s="10" t="n">
        <f aca="false">M985*(1+N985)</f>
        <v>4.30911</v>
      </c>
      <c r="P985" s="10" t="n">
        <f aca="false">O985*L985</f>
        <v>13922.73441</v>
      </c>
      <c r="Q985" s="5" t="s">
        <v>113</v>
      </c>
      <c r="R985" s="5" t="n">
        <v>0</v>
      </c>
      <c r="S985" s="5" t="n">
        <v>60</v>
      </c>
      <c r="T985" s="12" t="n">
        <f aca="false">(O985-M985)/M985</f>
        <v>-0.00940000000000002</v>
      </c>
      <c r="U985" s="8" t="n">
        <f aca="false">IF(AND(K985&lt;=I985,R985=0),1,0)</f>
        <v>1</v>
      </c>
      <c r="V985" s="10" t="n">
        <f aca="false">IF(Q985="No",P985,0)</f>
        <v>0</v>
      </c>
    </row>
    <row r="986" customFormat="false" ht="15" hidden="false" customHeight="false" outlineLevel="0" collapsed="false">
      <c r="A986" s="5" t="s">
        <v>1120</v>
      </c>
      <c r="B986" s="5" t="s">
        <v>60</v>
      </c>
      <c r="C986" s="7" t="n">
        <v>45854</v>
      </c>
      <c r="D986" s="8" t="str">
        <f aca="false">INDEX(Dim_Supplier!$C$2:$C$21,MATCH(B986,Dim_Supplier!$A$2:$A$21,0))</f>
        <v>Packaging</v>
      </c>
      <c r="E986" s="8" t="str">
        <f aca="false">INDEX(Dim_Supplier!$B$2:$B$21,MATCH(B986,Dim_Supplier!$A$2:$A$21,0))</f>
        <v>Maple Leaf Box &amp; Crate</v>
      </c>
      <c r="F986" s="5" t="s">
        <v>137</v>
      </c>
      <c r="G986" s="5" t="s">
        <v>125</v>
      </c>
      <c r="H986" s="8" t="n">
        <f aca="false">INDEX(Lookup_Tables!$B$2:$B$5,MATCH(D986,Lookup_Tables!$A$2:$A$5,0))</f>
        <v>14</v>
      </c>
      <c r="I986" s="9" t="n">
        <f aca="false">C986+H986</f>
        <v>45868</v>
      </c>
      <c r="J986" s="5" t="n">
        <v>-4</v>
      </c>
      <c r="K986" s="9" t="n">
        <f aca="false">I986+J986</f>
        <v>45864</v>
      </c>
      <c r="L986" s="5" t="n">
        <v>3650</v>
      </c>
      <c r="M986" s="10" t="n">
        <f aca="false">INDEX(Dim_Supplier!$F$2:$F$21,MATCH(B986,Dim_Supplier!$A$2:$A$21,0))</f>
        <v>3.1</v>
      </c>
      <c r="N986" s="11" t="n">
        <v>0.0325</v>
      </c>
      <c r="O986" s="10" t="n">
        <f aca="false">M986*(1+N986)</f>
        <v>3.20075</v>
      </c>
      <c r="P986" s="10" t="n">
        <f aca="false">O986*L986</f>
        <v>11682.7375</v>
      </c>
      <c r="Q986" s="5" t="s">
        <v>113</v>
      </c>
      <c r="R986" s="5" t="n">
        <v>0</v>
      </c>
      <c r="S986" s="5" t="n">
        <v>45</v>
      </c>
      <c r="T986" s="12" t="n">
        <f aca="false">(O986-M986)/M986</f>
        <v>0.0325</v>
      </c>
      <c r="U986" s="8" t="n">
        <f aca="false">IF(AND(K986&lt;=I986,R986=0),1,0)</f>
        <v>1</v>
      </c>
      <c r="V986" s="10" t="n">
        <f aca="false">IF(Q986="No",P986,0)</f>
        <v>0</v>
      </c>
    </row>
    <row r="987" customFormat="false" ht="15" hidden="false" customHeight="false" outlineLevel="0" collapsed="false">
      <c r="A987" s="5" t="s">
        <v>1121</v>
      </c>
      <c r="B987" s="5" t="s">
        <v>79</v>
      </c>
      <c r="C987" s="7" t="n">
        <v>46122</v>
      </c>
      <c r="D987" s="8" t="str">
        <f aca="false">INDEX(Dim_Supplier!$C$2:$C$21,MATCH(B987,Dim_Supplier!$A$2:$A$21,0))</f>
        <v>Logistics</v>
      </c>
      <c r="E987" s="8" t="str">
        <f aca="false">INDEX(Dim_Supplier!$B$2:$B$21,MATCH(B987,Dim_Supplier!$A$2:$A$21,0))</f>
        <v>Niagara Freight Solutions</v>
      </c>
      <c r="F987" s="5" t="s">
        <v>154</v>
      </c>
      <c r="G987" s="5" t="s">
        <v>129</v>
      </c>
      <c r="H987" s="8" t="n">
        <f aca="false">INDEX(Lookup_Tables!$B$2:$B$5,MATCH(D987,Lookup_Tables!$A$2:$A$5,0))</f>
        <v>5</v>
      </c>
      <c r="I987" s="9" t="n">
        <f aca="false">C987+H987</f>
        <v>46127</v>
      </c>
      <c r="J987" s="5" t="n">
        <v>-2</v>
      </c>
      <c r="K987" s="9" t="n">
        <f aca="false">I987+J987</f>
        <v>46125</v>
      </c>
      <c r="L987" s="5" t="n">
        <v>2</v>
      </c>
      <c r="M987" s="10" t="n">
        <f aca="false">INDEX(Dim_Supplier!$F$2:$F$21,MATCH(B987,Dim_Supplier!$A$2:$A$21,0))</f>
        <v>340</v>
      </c>
      <c r="N987" s="11" t="n">
        <v>0.0115</v>
      </c>
      <c r="O987" s="10" t="n">
        <f aca="false">M987*(1+N987)</f>
        <v>343.91</v>
      </c>
      <c r="P987" s="10" t="n">
        <f aca="false">O987*L987</f>
        <v>687.82</v>
      </c>
      <c r="Q987" s="5" t="s">
        <v>113</v>
      </c>
      <c r="R987" s="5" t="n">
        <v>0</v>
      </c>
      <c r="S987" s="5" t="n">
        <v>30</v>
      </c>
      <c r="T987" s="12" t="n">
        <f aca="false">(O987-M987)/M987</f>
        <v>0.0115000000000001</v>
      </c>
      <c r="U987" s="8" t="n">
        <f aca="false">IF(AND(K987&lt;=I987,R987=0),1,0)</f>
        <v>1</v>
      </c>
      <c r="V987" s="10" t="n">
        <f aca="false">IF(Q987="No",P987,0)</f>
        <v>0</v>
      </c>
    </row>
    <row r="988" customFormat="false" ht="15" hidden="false" customHeight="false" outlineLevel="0" collapsed="false">
      <c r="A988" s="5" t="s">
        <v>1122</v>
      </c>
      <c r="B988" s="5" t="s">
        <v>46</v>
      </c>
      <c r="C988" s="7" t="n">
        <v>45649</v>
      </c>
      <c r="D988" s="8" t="str">
        <f aca="false">INDEX(Dim_Supplier!$C$2:$C$21,MATCH(B988,Dim_Supplier!$A$2:$A$21,0))</f>
        <v>Raw Materials</v>
      </c>
      <c r="E988" s="8" t="str">
        <f aca="false">INDEX(Dim_Supplier!$B$2:$B$21,MATCH(B988,Dim_Supplier!$A$2:$A$21,0))</f>
        <v>Niagara Alloy Supply</v>
      </c>
      <c r="F988" s="5" t="s">
        <v>139</v>
      </c>
      <c r="G988" s="5" t="s">
        <v>112</v>
      </c>
      <c r="H988" s="8" t="n">
        <f aca="false">INDEX(Lookup_Tables!$B$2:$B$5,MATCH(D988,Lookup_Tables!$A$2:$A$5,0))</f>
        <v>21</v>
      </c>
      <c r="I988" s="9" t="n">
        <f aca="false">C988+H988</f>
        <v>45670</v>
      </c>
      <c r="J988" s="5" t="n">
        <v>-1</v>
      </c>
      <c r="K988" s="9" t="n">
        <f aca="false">I988+J988</f>
        <v>45669</v>
      </c>
      <c r="L988" s="5" t="n">
        <v>1847</v>
      </c>
      <c r="M988" s="10" t="n">
        <f aca="false">INDEX(Dim_Supplier!$F$2:$F$21,MATCH(B988,Dim_Supplier!$A$2:$A$21,0))</f>
        <v>46.5</v>
      </c>
      <c r="N988" s="11" t="n">
        <v>0.0407</v>
      </c>
      <c r="O988" s="10" t="n">
        <f aca="false">M988*(1+N988)</f>
        <v>48.39255</v>
      </c>
      <c r="P988" s="10" t="n">
        <f aca="false">O988*L988</f>
        <v>89381.03985</v>
      </c>
      <c r="Q988" s="5" t="s">
        <v>113</v>
      </c>
      <c r="R988" s="5" t="n">
        <v>0</v>
      </c>
      <c r="S988" s="5" t="n">
        <v>30</v>
      </c>
      <c r="T988" s="12" t="n">
        <f aca="false">(O988-M988)/M988</f>
        <v>0.0407</v>
      </c>
      <c r="U988" s="8" t="n">
        <f aca="false">IF(AND(K988&lt;=I988,R988=0),1,0)</f>
        <v>1</v>
      </c>
      <c r="V988" s="10" t="n">
        <f aca="false">IF(Q988="No",P988,0)</f>
        <v>0</v>
      </c>
    </row>
    <row r="989" customFormat="false" ht="15" hidden="false" customHeight="false" outlineLevel="0" collapsed="false">
      <c r="A989" s="5" t="s">
        <v>1123</v>
      </c>
      <c r="B989" s="5" t="s">
        <v>52</v>
      </c>
      <c r="C989" s="7" t="n">
        <v>45521</v>
      </c>
      <c r="D989" s="8" t="str">
        <f aca="false">INDEX(Dim_Supplier!$C$2:$C$21,MATCH(B989,Dim_Supplier!$A$2:$A$21,0))</f>
        <v>Raw Materials</v>
      </c>
      <c r="E989" s="8" t="str">
        <f aca="false">INDEX(Dim_Supplier!$B$2:$B$21,MATCH(B989,Dim_Supplier!$A$2:$A$21,0))</f>
        <v>Laurentian Metals Inc.</v>
      </c>
      <c r="F989" s="5" t="s">
        <v>148</v>
      </c>
      <c r="G989" s="5" t="s">
        <v>112</v>
      </c>
      <c r="H989" s="8" t="n">
        <f aca="false">INDEX(Lookup_Tables!$B$2:$B$5,MATCH(D989,Lookup_Tables!$A$2:$A$5,0))</f>
        <v>21</v>
      </c>
      <c r="I989" s="9" t="n">
        <f aca="false">C989+H989</f>
        <v>45542</v>
      </c>
      <c r="J989" s="5" t="n">
        <v>-1</v>
      </c>
      <c r="K989" s="9" t="n">
        <f aca="false">I989+J989</f>
        <v>45541</v>
      </c>
      <c r="L989" s="5" t="n">
        <v>393</v>
      </c>
      <c r="M989" s="10" t="n">
        <f aca="false">INDEX(Dim_Supplier!$F$2:$F$21,MATCH(B989,Dim_Supplier!$A$2:$A$21,0))</f>
        <v>61.2</v>
      </c>
      <c r="N989" s="11" t="n">
        <v>0.0407</v>
      </c>
      <c r="O989" s="10" t="n">
        <f aca="false">M989*(1+N989)</f>
        <v>63.69084</v>
      </c>
      <c r="P989" s="10" t="n">
        <f aca="false">O989*L989</f>
        <v>25030.50012</v>
      </c>
      <c r="Q989" s="5" t="s">
        <v>113</v>
      </c>
      <c r="R989" s="5" t="n">
        <v>0</v>
      </c>
      <c r="S989" s="5" t="n">
        <v>60</v>
      </c>
      <c r="T989" s="12" t="n">
        <f aca="false">(O989-M989)/M989</f>
        <v>0.0407</v>
      </c>
      <c r="U989" s="8" t="n">
        <f aca="false">IF(AND(K989&lt;=I989,R989=0),1,0)</f>
        <v>1</v>
      </c>
      <c r="V989" s="10" t="n">
        <f aca="false">IF(Q989="No",P989,0)</f>
        <v>0</v>
      </c>
    </row>
    <row r="990" customFormat="false" ht="15" hidden="false" customHeight="false" outlineLevel="0" collapsed="false">
      <c r="A990" s="5" t="s">
        <v>1124</v>
      </c>
      <c r="B990" s="5" t="s">
        <v>60</v>
      </c>
      <c r="C990" s="7" t="n">
        <v>46010</v>
      </c>
      <c r="D990" s="8" t="str">
        <f aca="false">INDEX(Dim_Supplier!$C$2:$C$21,MATCH(B990,Dim_Supplier!$A$2:$A$21,0))</f>
        <v>Packaging</v>
      </c>
      <c r="E990" s="8" t="str">
        <f aca="false">INDEX(Dim_Supplier!$B$2:$B$21,MATCH(B990,Dim_Supplier!$A$2:$A$21,0))</f>
        <v>Maple Leaf Box &amp; Crate</v>
      </c>
      <c r="F990" s="5" t="s">
        <v>117</v>
      </c>
      <c r="G990" s="5" t="s">
        <v>129</v>
      </c>
      <c r="H990" s="8" t="n">
        <f aca="false">INDEX(Lookup_Tables!$B$2:$B$5,MATCH(D990,Lookup_Tables!$A$2:$A$5,0))</f>
        <v>14</v>
      </c>
      <c r="I990" s="9" t="n">
        <f aca="false">C990+H990</f>
        <v>46024</v>
      </c>
      <c r="J990" s="5" t="n">
        <v>-4</v>
      </c>
      <c r="K990" s="9" t="n">
        <f aca="false">I990+J990</f>
        <v>46020</v>
      </c>
      <c r="L990" s="5" t="n">
        <v>1795</v>
      </c>
      <c r="M990" s="10" t="n">
        <f aca="false">INDEX(Dim_Supplier!$F$2:$F$21,MATCH(B990,Dim_Supplier!$A$2:$A$21,0))</f>
        <v>3.1</v>
      </c>
      <c r="N990" s="11" t="n">
        <v>0.0439</v>
      </c>
      <c r="O990" s="10" t="n">
        <f aca="false">M990*(1+N990)</f>
        <v>3.23609</v>
      </c>
      <c r="P990" s="10" t="n">
        <f aca="false">O990*L990</f>
        <v>5808.78155</v>
      </c>
      <c r="Q990" s="5" t="s">
        <v>113</v>
      </c>
      <c r="R990" s="5" t="n">
        <v>0</v>
      </c>
      <c r="S990" s="5" t="n">
        <v>30</v>
      </c>
      <c r="T990" s="12" t="n">
        <f aca="false">(O990-M990)/M990</f>
        <v>0.0439000000000001</v>
      </c>
      <c r="U990" s="8" t="n">
        <f aca="false">IF(AND(K990&lt;=I990,R990=0),1,0)</f>
        <v>1</v>
      </c>
      <c r="V990" s="10" t="n">
        <f aca="false">IF(Q990="No",P990,0)</f>
        <v>0</v>
      </c>
    </row>
    <row r="991" customFormat="false" ht="15" hidden="false" customHeight="false" outlineLevel="0" collapsed="false">
      <c r="A991" s="5" t="s">
        <v>1125</v>
      </c>
      <c r="B991" s="5" t="s">
        <v>41</v>
      </c>
      <c r="C991" s="7" t="n">
        <v>45874</v>
      </c>
      <c r="D991" s="8" t="str">
        <f aca="false">INDEX(Dim_Supplier!$C$2:$C$21,MATCH(B991,Dim_Supplier!$A$2:$A$21,0))</f>
        <v>Raw Materials</v>
      </c>
      <c r="E991" s="8" t="str">
        <f aca="false">INDEX(Dim_Supplier!$B$2:$B$21,MATCH(B991,Dim_Supplier!$A$2:$A$21,0))</f>
        <v>Ontario Steel Partners</v>
      </c>
      <c r="F991" s="5" t="s">
        <v>142</v>
      </c>
      <c r="G991" s="5" t="s">
        <v>112</v>
      </c>
      <c r="H991" s="8" t="n">
        <f aca="false">INDEX(Lookup_Tables!$B$2:$B$5,MATCH(D991,Lookup_Tables!$A$2:$A$5,0))</f>
        <v>21</v>
      </c>
      <c r="I991" s="9" t="n">
        <f aca="false">C991+H991</f>
        <v>45895</v>
      </c>
      <c r="J991" s="5" t="n">
        <v>-3</v>
      </c>
      <c r="K991" s="9" t="n">
        <f aca="false">I991+J991</f>
        <v>45892</v>
      </c>
      <c r="L991" s="5" t="n">
        <v>386</v>
      </c>
      <c r="M991" s="10" t="n">
        <f aca="false">INDEX(Dim_Supplier!$F$2:$F$21,MATCH(B991,Dim_Supplier!$A$2:$A$21,0))</f>
        <v>58</v>
      </c>
      <c r="N991" s="11" t="n">
        <v>-0.0124</v>
      </c>
      <c r="O991" s="10" t="n">
        <f aca="false">M991*(1+N991)</f>
        <v>57.2808</v>
      </c>
      <c r="P991" s="10" t="n">
        <f aca="false">O991*L991</f>
        <v>22110.3888</v>
      </c>
      <c r="Q991" s="5" t="s">
        <v>113</v>
      </c>
      <c r="R991" s="5" t="n">
        <v>0</v>
      </c>
      <c r="S991" s="5" t="n">
        <v>30</v>
      </c>
      <c r="T991" s="12" t="n">
        <f aca="false">(O991-M991)/M991</f>
        <v>-0.0124</v>
      </c>
      <c r="U991" s="8" t="n">
        <f aca="false">IF(AND(K991&lt;=I991,R991=0),1,0)</f>
        <v>1</v>
      </c>
      <c r="V991" s="10" t="n">
        <f aca="false">IF(Q991="No",P991,0)</f>
        <v>0</v>
      </c>
    </row>
    <row r="992" customFormat="false" ht="15" hidden="false" customHeight="false" outlineLevel="0" collapsed="false">
      <c r="A992" s="5" t="s">
        <v>1126</v>
      </c>
      <c r="B992" s="5" t="s">
        <v>62</v>
      </c>
      <c r="C992" s="7" t="n">
        <v>45637</v>
      </c>
      <c r="D992" s="8" t="str">
        <f aca="false">INDEX(Dim_Supplier!$C$2:$C$21,MATCH(B992,Dim_Supplier!$A$2:$A$21,0))</f>
        <v>Packaging</v>
      </c>
      <c r="E992" s="8" t="str">
        <f aca="false">INDEX(Dim_Supplier!$B$2:$B$21,MATCH(B992,Dim_Supplier!$A$2:$A$21,0))</f>
        <v>Trillium Packaging Solutions</v>
      </c>
      <c r="F992" s="5" t="s">
        <v>137</v>
      </c>
      <c r="G992" s="5" t="s">
        <v>129</v>
      </c>
      <c r="H992" s="8" t="n">
        <f aca="false">INDEX(Lookup_Tables!$B$2:$B$5,MATCH(D992,Lookup_Tables!$A$2:$A$5,0))</f>
        <v>14</v>
      </c>
      <c r="I992" s="9" t="n">
        <f aca="false">C992+H992</f>
        <v>45651</v>
      </c>
      <c r="J992" s="5" t="n">
        <v>-3</v>
      </c>
      <c r="K992" s="9" t="n">
        <f aca="false">I992+J992</f>
        <v>45648</v>
      </c>
      <c r="L992" s="5" t="n">
        <v>763</v>
      </c>
      <c r="M992" s="10" t="n">
        <f aca="false">INDEX(Dim_Supplier!$F$2:$F$21,MATCH(B992,Dim_Supplier!$A$2:$A$21,0))</f>
        <v>5.6</v>
      </c>
      <c r="N992" s="11" t="n">
        <v>0.0313</v>
      </c>
      <c r="O992" s="10" t="n">
        <f aca="false">M992*(1+N992)</f>
        <v>5.77528</v>
      </c>
      <c r="P992" s="10" t="n">
        <f aca="false">O992*L992</f>
        <v>4406.53864</v>
      </c>
      <c r="Q992" s="5" t="s">
        <v>113</v>
      </c>
      <c r="R992" s="5" t="n">
        <v>0</v>
      </c>
      <c r="S992" s="5" t="n">
        <v>30</v>
      </c>
      <c r="T992" s="12" t="n">
        <f aca="false">(O992-M992)/M992</f>
        <v>0.0313000000000001</v>
      </c>
      <c r="U992" s="8" t="n">
        <f aca="false">IF(AND(K992&lt;=I992,R992=0),1,0)</f>
        <v>1</v>
      </c>
      <c r="V992" s="10" t="n">
        <f aca="false">IF(Q992="No",P992,0)</f>
        <v>0</v>
      </c>
    </row>
    <row r="993" customFormat="false" ht="15" hidden="false" customHeight="false" outlineLevel="0" collapsed="false">
      <c r="A993" s="5" t="s">
        <v>1127</v>
      </c>
      <c r="B993" s="5" t="s">
        <v>60</v>
      </c>
      <c r="C993" s="7" t="n">
        <v>45725</v>
      </c>
      <c r="D993" s="8" t="str">
        <f aca="false">INDEX(Dim_Supplier!$C$2:$C$21,MATCH(B993,Dim_Supplier!$A$2:$A$21,0))</f>
        <v>Packaging</v>
      </c>
      <c r="E993" s="8" t="str">
        <f aca="false">INDEX(Dim_Supplier!$B$2:$B$21,MATCH(B993,Dim_Supplier!$A$2:$A$21,0))</f>
        <v>Maple Leaf Box &amp; Crate</v>
      </c>
      <c r="F993" s="5" t="s">
        <v>137</v>
      </c>
      <c r="G993" s="5" t="s">
        <v>120</v>
      </c>
      <c r="H993" s="8" t="n">
        <f aca="false">INDEX(Lookup_Tables!$B$2:$B$5,MATCH(D993,Lookup_Tables!$A$2:$A$5,0))</f>
        <v>14</v>
      </c>
      <c r="I993" s="9" t="n">
        <f aca="false">C993+H993</f>
        <v>45739</v>
      </c>
      <c r="J993" s="5" t="n">
        <v>1</v>
      </c>
      <c r="K993" s="9" t="n">
        <f aca="false">I993+J993</f>
        <v>45740</v>
      </c>
      <c r="L993" s="5" t="n">
        <v>2362</v>
      </c>
      <c r="M993" s="10" t="n">
        <f aca="false">INDEX(Dim_Supplier!$F$2:$F$21,MATCH(B993,Dim_Supplier!$A$2:$A$21,0))</f>
        <v>3.1</v>
      </c>
      <c r="N993" s="11" t="n">
        <v>0.0285</v>
      </c>
      <c r="O993" s="10" t="n">
        <f aca="false">M993*(1+N993)</f>
        <v>3.18835</v>
      </c>
      <c r="P993" s="10" t="n">
        <f aca="false">O993*L993</f>
        <v>7530.8827</v>
      </c>
      <c r="Q993" s="5" t="s">
        <v>113</v>
      </c>
      <c r="R993" s="5" t="n">
        <v>0</v>
      </c>
      <c r="S993" s="5" t="n">
        <v>60</v>
      </c>
      <c r="T993" s="12" t="n">
        <f aca="false">(O993-M993)/M993</f>
        <v>0.0284999999999999</v>
      </c>
      <c r="U993" s="8" t="n">
        <f aca="false">IF(AND(K993&lt;=I993,R993=0),1,0)</f>
        <v>0</v>
      </c>
      <c r="V993" s="10" t="n">
        <f aca="false">IF(Q993="No",P993,0)</f>
        <v>0</v>
      </c>
    </row>
    <row r="994" customFormat="false" ht="15" hidden="false" customHeight="false" outlineLevel="0" collapsed="false">
      <c r="A994" s="5" t="s">
        <v>1128</v>
      </c>
      <c r="B994" s="5" t="s">
        <v>68</v>
      </c>
      <c r="C994" s="7" t="n">
        <v>45420</v>
      </c>
      <c r="D994" s="8" t="str">
        <f aca="false">INDEX(Dim_Supplier!$C$2:$C$21,MATCH(B994,Dim_Supplier!$A$2:$A$21,0))</f>
        <v>MRO</v>
      </c>
      <c r="E994" s="8" t="str">
        <f aca="false">INDEX(Dim_Supplier!$B$2:$B$21,MATCH(B994,Dim_Supplier!$A$2:$A$21,0))</f>
        <v>Precision Tool &amp; Supply</v>
      </c>
      <c r="F994" s="5" t="s">
        <v>164</v>
      </c>
      <c r="G994" s="5" t="s">
        <v>125</v>
      </c>
      <c r="H994" s="8" t="n">
        <f aca="false">INDEX(Lookup_Tables!$B$2:$B$5,MATCH(D994,Lookup_Tables!$A$2:$A$5,0))</f>
        <v>10</v>
      </c>
      <c r="I994" s="9" t="n">
        <f aca="false">C994+H994</f>
        <v>45430</v>
      </c>
      <c r="J994" s="5" t="n">
        <v>-4</v>
      </c>
      <c r="K994" s="9" t="n">
        <f aca="false">I994+J994</f>
        <v>45426</v>
      </c>
      <c r="L994" s="5" t="n">
        <v>52</v>
      </c>
      <c r="M994" s="10" t="n">
        <f aca="false">INDEX(Dim_Supplier!$F$2:$F$21,MATCH(B994,Dim_Supplier!$A$2:$A$21,0))</f>
        <v>22.4</v>
      </c>
      <c r="N994" s="11" t="n">
        <v>0.0004</v>
      </c>
      <c r="O994" s="10" t="n">
        <f aca="false">M994*(1+N994)</f>
        <v>22.40896</v>
      </c>
      <c r="P994" s="10" t="n">
        <f aca="false">O994*L994</f>
        <v>1165.26592</v>
      </c>
      <c r="Q994" s="5" t="s">
        <v>113</v>
      </c>
      <c r="R994" s="5" t="n">
        <v>0</v>
      </c>
      <c r="S994" s="5" t="n">
        <v>45</v>
      </c>
      <c r="T994" s="12" t="n">
        <f aca="false">(O994-M994)/M994</f>
        <v>0.000399999999999924</v>
      </c>
      <c r="U994" s="8" t="n">
        <f aca="false">IF(AND(K994&lt;=I994,R994=0),1,0)</f>
        <v>1</v>
      </c>
      <c r="V994" s="10" t="n">
        <f aca="false">IF(Q994="No",P994,0)</f>
        <v>0</v>
      </c>
    </row>
    <row r="995" customFormat="false" ht="15" hidden="false" customHeight="false" outlineLevel="0" collapsed="false">
      <c r="A995" s="5" t="s">
        <v>1129</v>
      </c>
      <c r="B995" s="5" t="s">
        <v>41</v>
      </c>
      <c r="C995" s="7" t="n">
        <v>46001</v>
      </c>
      <c r="D995" s="8" t="str">
        <f aca="false">INDEX(Dim_Supplier!$C$2:$C$21,MATCH(B995,Dim_Supplier!$A$2:$A$21,0))</f>
        <v>Raw Materials</v>
      </c>
      <c r="E995" s="8" t="str">
        <f aca="false">INDEX(Dim_Supplier!$B$2:$B$21,MATCH(B995,Dim_Supplier!$A$2:$A$21,0))</f>
        <v>Ontario Steel Partners</v>
      </c>
      <c r="F995" s="5" t="s">
        <v>142</v>
      </c>
      <c r="G995" s="5" t="s">
        <v>125</v>
      </c>
      <c r="H995" s="8" t="n">
        <f aca="false">INDEX(Lookup_Tables!$B$2:$B$5,MATCH(D995,Lookup_Tables!$A$2:$A$5,0))</f>
        <v>21</v>
      </c>
      <c r="I995" s="9" t="n">
        <f aca="false">C995+H995</f>
        <v>46022</v>
      </c>
      <c r="J995" s="5" t="n">
        <v>-4</v>
      </c>
      <c r="K995" s="9" t="n">
        <f aca="false">I995+J995</f>
        <v>46018</v>
      </c>
      <c r="L995" s="5" t="n">
        <v>1794</v>
      </c>
      <c r="M995" s="10" t="n">
        <f aca="false">INDEX(Dim_Supplier!$F$2:$F$21,MATCH(B995,Dim_Supplier!$A$2:$A$21,0))</f>
        <v>58</v>
      </c>
      <c r="N995" s="11" t="n">
        <v>0.0364</v>
      </c>
      <c r="O995" s="10" t="n">
        <f aca="false">M995*(1+N995)</f>
        <v>60.1112</v>
      </c>
      <c r="P995" s="10" t="n">
        <f aca="false">O995*L995</f>
        <v>107839.4928</v>
      </c>
      <c r="Q995" s="5" t="s">
        <v>113</v>
      </c>
      <c r="R995" s="5" t="n">
        <v>0</v>
      </c>
      <c r="S995" s="5" t="n">
        <v>30</v>
      </c>
      <c r="T995" s="12" t="n">
        <f aca="false">(O995-M995)/M995</f>
        <v>0.0363999999999999</v>
      </c>
      <c r="U995" s="8" t="n">
        <f aca="false">IF(AND(K995&lt;=I995,R995=0),1,0)</f>
        <v>1</v>
      </c>
      <c r="V995" s="10" t="n">
        <f aca="false">IF(Q995="No",P995,0)</f>
        <v>0</v>
      </c>
    </row>
    <row r="996" customFormat="false" ht="15" hidden="false" customHeight="false" outlineLevel="0" collapsed="false">
      <c r="A996" s="5" t="s">
        <v>1130</v>
      </c>
      <c r="B996" s="5" t="s">
        <v>62</v>
      </c>
      <c r="C996" s="7" t="n">
        <v>45568</v>
      </c>
      <c r="D996" s="8" t="str">
        <f aca="false">INDEX(Dim_Supplier!$C$2:$C$21,MATCH(B996,Dim_Supplier!$A$2:$A$21,0))</f>
        <v>Packaging</v>
      </c>
      <c r="E996" s="8" t="str">
        <f aca="false">INDEX(Dim_Supplier!$B$2:$B$21,MATCH(B996,Dim_Supplier!$A$2:$A$21,0))</f>
        <v>Trillium Packaging Solutions</v>
      </c>
      <c r="F996" s="5" t="s">
        <v>117</v>
      </c>
      <c r="G996" s="5" t="s">
        <v>129</v>
      </c>
      <c r="H996" s="8" t="n">
        <f aca="false">INDEX(Lookup_Tables!$B$2:$B$5,MATCH(D996,Lookup_Tables!$A$2:$A$5,0))</f>
        <v>14</v>
      </c>
      <c r="I996" s="9" t="n">
        <f aca="false">C996+H996</f>
        <v>45582</v>
      </c>
      <c r="J996" s="5" t="n">
        <v>-1</v>
      </c>
      <c r="K996" s="9" t="n">
        <f aca="false">I996+J996</f>
        <v>45581</v>
      </c>
      <c r="L996" s="5" t="n">
        <v>3248</v>
      </c>
      <c r="M996" s="10" t="n">
        <f aca="false">INDEX(Dim_Supplier!$F$2:$F$21,MATCH(B996,Dim_Supplier!$A$2:$A$21,0))</f>
        <v>5.6</v>
      </c>
      <c r="N996" s="11" t="n">
        <v>0.0328</v>
      </c>
      <c r="O996" s="10" t="n">
        <f aca="false">M996*(1+N996)</f>
        <v>5.78368</v>
      </c>
      <c r="P996" s="10" t="n">
        <f aca="false">O996*L996</f>
        <v>18785.39264</v>
      </c>
      <c r="Q996" s="5" t="s">
        <v>113</v>
      </c>
      <c r="R996" s="5" t="n">
        <v>0</v>
      </c>
      <c r="S996" s="5" t="n">
        <v>45</v>
      </c>
      <c r="T996" s="12" t="n">
        <f aca="false">(O996-M996)/M996</f>
        <v>0.0328</v>
      </c>
      <c r="U996" s="8" t="n">
        <f aca="false">IF(AND(K996&lt;=I996,R996=0),1,0)</f>
        <v>1</v>
      </c>
      <c r="V996" s="10" t="n">
        <f aca="false">IF(Q996="No",P996,0)</f>
        <v>0</v>
      </c>
    </row>
    <row r="997" customFormat="false" ht="15" hidden="false" customHeight="false" outlineLevel="0" collapsed="false">
      <c r="A997" s="5" t="s">
        <v>1131</v>
      </c>
      <c r="B997" s="5" t="s">
        <v>41</v>
      </c>
      <c r="C997" s="7" t="n">
        <v>45903</v>
      </c>
      <c r="D997" s="8" t="str">
        <f aca="false">INDEX(Dim_Supplier!$C$2:$C$21,MATCH(B997,Dim_Supplier!$A$2:$A$21,0))</f>
        <v>Raw Materials</v>
      </c>
      <c r="E997" s="8" t="str">
        <f aca="false">INDEX(Dim_Supplier!$B$2:$B$21,MATCH(B997,Dim_Supplier!$A$2:$A$21,0))</f>
        <v>Ontario Steel Partners</v>
      </c>
      <c r="F997" s="5" t="s">
        <v>148</v>
      </c>
      <c r="G997" s="5" t="s">
        <v>120</v>
      </c>
      <c r="H997" s="8" t="n">
        <f aca="false">INDEX(Lookup_Tables!$B$2:$B$5,MATCH(D997,Lookup_Tables!$A$2:$A$5,0))</f>
        <v>21</v>
      </c>
      <c r="I997" s="9" t="n">
        <f aca="false">C997+H997</f>
        <v>45924</v>
      </c>
      <c r="J997" s="5" t="n">
        <v>-2</v>
      </c>
      <c r="K997" s="9" t="n">
        <f aca="false">I997+J997</f>
        <v>45922</v>
      </c>
      <c r="L997" s="5" t="n">
        <v>166</v>
      </c>
      <c r="M997" s="10" t="n">
        <f aca="false">INDEX(Dim_Supplier!$F$2:$F$21,MATCH(B997,Dim_Supplier!$A$2:$A$21,0))</f>
        <v>58</v>
      </c>
      <c r="N997" s="11" t="n">
        <v>0.0224</v>
      </c>
      <c r="O997" s="10" t="n">
        <f aca="false">M997*(1+N997)</f>
        <v>59.2992</v>
      </c>
      <c r="P997" s="10" t="n">
        <f aca="false">O997*L997</f>
        <v>9843.6672</v>
      </c>
      <c r="Q997" s="5" t="s">
        <v>113</v>
      </c>
      <c r="R997" s="5" t="n">
        <v>0</v>
      </c>
      <c r="S997" s="5" t="n">
        <v>45</v>
      </c>
      <c r="T997" s="12" t="n">
        <f aca="false">(O997-M997)/M997</f>
        <v>0.0224</v>
      </c>
      <c r="U997" s="8" t="n">
        <f aca="false">IF(AND(K997&lt;=I997,R997=0),1,0)</f>
        <v>1</v>
      </c>
      <c r="V997" s="10" t="n">
        <f aca="false">IF(Q997="No",P997,0)</f>
        <v>0</v>
      </c>
    </row>
    <row r="998" customFormat="false" ht="15" hidden="false" customHeight="false" outlineLevel="0" collapsed="false">
      <c r="A998" s="5" t="s">
        <v>1132</v>
      </c>
      <c r="B998" s="5" t="s">
        <v>41</v>
      </c>
      <c r="C998" s="7" t="n">
        <v>46101</v>
      </c>
      <c r="D998" s="8" t="str">
        <f aca="false">INDEX(Dim_Supplier!$C$2:$C$21,MATCH(B998,Dim_Supplier!$A$2:$A$21,0))</f>
        <v>Raw Materials</v>
      </c>
      <c r="E998" s="8" t="str">
        <f aca="false">INDEX(Dim_Supplier!$B$2:$B$21,MATCH(B998,Dim_Supplier!$A$2:$A$21,0))</f>
        <v>Ontario Steel Partners</v>
      </c>
      <c r="F998" s="5" t="s">
        <v>142</v>
      </c>
      <c r="G998" s="5" t="s">
        <v>129</v>
      </c>
      <c r="H998" s="8" t="n">
        <f aca="false">INDEX(Lookup_Tables!$B$2:$B$5,MATCH(D998,Lookup_Tables!$A$2:$A$5,0))</f>
        <v>21</v>
      </c>
      <c r="I998" s="9" t="n">
        <f aca="false">C998+H998</f>
        <v>46122</v>
      </c>
      <c r="J998" s="5" t="n">
        <v>-2</v>
      </c>
      <c r="K998" s="9" t="n">
        <f aca="false">I998+J998</f>
        <v>46120</v>
      </c>
      <c r="L998" s="5" t="n">
        <v>732</v>
      </c>
      <c r="M998" s="10" t="n">
        <f aca="false">INDEX(Dim_Supplier!$F$2:$F$21,MATCH(B998,Dim_Supplier!$A$2:$A$21,0))</f>
        <v>58</v>
      </c>
      <c r="N998" s="11" t="n">
        <v>0.0126</v>
      </c>
      <c r="O998" s="10" t="n">
        <f aca="false">M998*(1+N998)</f>
        <v>58.7308</v>
      </c>
      <c r="P998" s="10" t="n">
        <f aca="false">O998*L998</f>
        <v>42990.9456</v>
      </c>
      <c r="Q998" s="5" t="s">
        <v>113</v>
      </c>
      <c r="R998" s="5" t="n">
        <v>0</v>
      </c>
      <c r="S998" s="5" t="n">
        <v>30</v>
      </c>
      <c r="T998" s="12" t="n">
        <f aca="false">(O998-M998)/M998</f>
        <v>0.0125999999999999</v>
      </c>
      <c r="U998" s="8" t="n">
        <f aca="false">IF(AND(K998&lt;=I998,R998=0),1,0)</f>
        <v>1</v>
      </c>
      <c r="V998" s="10" t="n">
        <f aca="false">IF(Q998="No",P998,0)</f>
        <v>0</v>
      </c>
    </row>
    <row r="999" customFormat="false" ht="15" hidden="false" customHeight="false" outlineLevel="0" collapsed="false">
      <c r="A999" s="5" t="s">
        <v>1133</v>
      </c>
      <c r="B999" s="5" t="s">
        <v>60</v>
      </c>
      <c r="C999" s="7" t="n">
        <v>45491</v>
      </c>
      <c r="D999" s="8" t="str">
        <f aca="false">INDEX(Dim_Supplier!$C$2:$C$21,MATCH(B999,Dim_Supplier!$A$2:$A$21,0))</f>
        <v>Packaging</v>
      </c>
      <c r="E999" s="8" t="str">
        <f aca="false">INDEX(Dim_Supplier!$B$2:$B$21,MATCH(B999,Dim_Supplier!$A$2:$A$21,0))</f>
        <v>Maple Leaf Box &amp; Crate</v>
      </c>
      <c r="F999" s="5" t="s">
        <v>119</v>
      </c>
      <c r="G999" s="5" t="s">
        <v>125</v>
      </c>
      <c r="H999" s="8" t="n">
        <f aca="false">INDEX(Lookup_Tables!$B$2:$B$5,MATCH(D999,Lookup_Tables!$A$2:$A$5,0))</f>
        <v>14</v>
      </c>
      <c r="I999" s="9" t="n">
        <f aca="false">C999+H999</f>
        <v>45505</v>
      </c>
      <c r="J999" s="5" t="n">
        <v>-2</v>
      </c>
      <c r="K999" s="9" t="n">
        <f aca="false">I999+J999</f>
        <v>45503</v>
      </c>
      <c r="L999" s="5" t="n">
        <v>1297</v>
      </c>
      <c r="M999" s="10" t="n">
        <f aca="false">INDEX(Dim_Supplier!$F$2:$F$21,MATCH(B999,Dim_Supplier!$A$2:$A$21,0))</f>
        <v>3.1</v>
      </c>
      <c r="N999" s="11" t="n">
        <v>-0.0134</v>
      </c>
      <c r="O999" s="10" t="n">
        <f aca="false">M999*(1+N999)</f>
        <v>3.05846</v>
      </c>
      <c r="P999" s="10" t="n">
        <f aca="false">O999*L999</f>
        <v>3966.82262</v>
      </c>
      <c r="Q999" s="5" t="s">
        <v>113</v>
      </c>
      <c r="R999" s="5" t="n">
        <v>0</v>
      </c>
      <c r="S999" s="5" t="n">
        <v>45</v>
      </c>
      <c r="T999" s="12" t="n">
        <f aca="false">(O999-M999)/M999</f>
        <v>-0.0134</v>
      </c>
      <c r="U999" s="8" t="n">
        <f aca="false">IF(AND(K999&lt;=I999,R999=0),1,0)</f>
        <v>1</v>
      </c>
      <c r="V999" s="10" t="n">
        <f aca="false">IF(Q999="No",P999,0)</f>
        <v>0</v>
      </c>
    </row>
    <row r="1000" customFormat="false" ht="15" hidden="false" customHeight="false" outlineLevel="0" collapsed="false">
      <c r="A1000" s="5" t="s">
        <v>1134</v>
      </c>
      <c r="B1000" s="5" t="s">
        <v>66</v>
      </c>
      <c r="C1000" s="7" t="n">
        <v>46085</v>
      </c>
      <c r="D1000" s="8" t="str">
        <f aca="false">INDEX(Dim_Supplier!$C$2:$C$21,MATCH(B1000,Dim_Supplier!$A$2:$A$21,0))</f>
        <v>Packaging</v>
      </c>
      <c r="E1000" s="8" t="str">
        <f aca="false">INDEX(Dim_Supplier!$B$2:$B$21,MATCH(B1000,Dim_Supplier!$A$2:$A$21,0))</f>
        <v>EverGreen Wrap Industries</v>
      </c>
      <c r="F1000" s="5" t="s">
        <v>158</v>
      </c>
      <c r="G1000" s="5" t="s">
        <v>129</v>
      </c>
      <c r="H1000" s="8" t="n">
        <f aca="false">INDEX(Lookup_Tables!$B$2:$B$5,MATCH(D1000,Lookup_Tables!$A$2:$A$5,0))</f>
        <v>14</v>
      </c>
      <c r="I1000" s="9" t="n">
        <f aca="false">C1000+H1000</f>
        <v>46099</v>
      </c>
      <c r="J1000" s="5" t="n">
        <v>-3</v>
      </c>
      <c r="K1000" s="9" t="n">
        <f aca="false">I1000+J1000</f>
        <v>46096</v>
      </c>
      <c r="L1000" s="5" t="n">
        <v>806</v>
      </c>
      <c r="M1000" s="10" t="n">
        <f aca="false">INDEX(Dim_Supplier!$F$2:$F$21,MATCH(B1000,Dim_Supplier!$A$2:$A$21,0))</f>
        <v>6.8</v>
      </c>
      <c r="N1000" s="11" t="n">
        <v>0.0498</v>
      </c>
      <c r="O1000" s="10" t="n">
        <f aca="false">M1000*(1+N1000)</f>
        <v>7.13864</v>
      </c>
      <c r="P1000" s="10" t="n">
        <f aca="false">O1000*L1000</f>
        <v>5753.74384</v>
      </c>
      <c r="Q1000" s="5" t="s">
        <v>113</v>
      </c>
      <c r="R1000" s="5" t="n">
        <v>0</v>
      </c>
      <c r="S1000" s="5" t="n">
        <v>30</v>
      </c>
      <c r="T1000" s="12" t="n">
        <f aca="false">(O1000-M1000)/M1000</f>
        <v>0.0498000000000001</v>
      </c>
      <c r="U1000" s="8" t="n">
        <f aca="false">IF(AND(K1000&lt;=I1000,R1000=0),1,0)</f>
        <v>1</v>
      </c>
      <c r="V1000" s="10" t="n">
        <f aca="false">IF(Q1000="No",P1000,0)</f>
        <v>0</v>
      </c>
    </row>
    <row r="1001" customFormat="false" ht="15" hidden="false" customHeight="false" outlineLevel="0" collapsed="false">
      <c r="A1001" s="5" t="s">
        <v>1135</v>
      </c>
      <c r="B1001" s="5" t="s">
        <v>84</v>
      </c>
      <c r="C1001" s="7" t="n">
        <v>45387</v>
      </c>
      <c r="D1001" s="8" t="str">
        <f aca="false">INDEX(Dim_Supplier!$C$2:$C$21,MATCH(B1001,Dim_Supplier!$A$2:$A$21,0))</f>
        <v>Logistics</v>
      </c>
      <c r="E1001" s="8" t="str">
        <f aca="false">INDEX(Dim_Supplier!$B$2:$B$21,MATCH(B1001,Dim_Supplier!$A$2:$A$21,0))</f>
        <v>Trans-Canada Carriers</v>
      </c>
      <c r="F1001" s="5" t="s">
        <v>154</v>
      </c>
      <c r="G1001" s="5" t="s">
        <v>112</v>
      </c>
      <c r="H1001" s="8" t="n">
        <f aca="false">INDEX(Lookup_Tables!$B$2:$B$5,MATCH(D1001,Lookup_Tables!$A$2:$A$5,0))</f>
        <v>5</v>
      </c>
      <c r="I1001" s="9" t="n">
        <f aca="false">C1001+H1001</f>
        <v>45392</v>
      </c>
      <c r="J1001" s="5" t="n">
        <v>5</v>
      </c>
      <c r="K1001" s="9" t="n">
        <f aca="false">I1001+J1001</f>
        <v>45397</v>
      </c>
      <c r="L1001" s="5" t="n">
        <v>50</v>
      </c>
      <c r="M1001" s="10" t="n">
        <f aca="false">INDEX(Dim_Supplier!$F$2:$F$21,MATCH(B1001,Dim_Supplier!$A$2:$A$21,0))</f>
        <v>210</v>
      </c>
      <c r="N1001" s="11" t="n">
        <v>0.1027</v>
      </c>
      <c r="O1001" s="10" t="n">
        <f aca="false">M1001*(1+N1001)</f>
        <v>231.567</v>
      </c>
      <c r="P1001" s="10" t="n">
        <f aca="false">O1001*L1001</f>
        <v>11578.35</v>
      </c>
      <c r="Q1001" s="5" t="s">
        <v>133</v>
      </c>
      <c r="R1001" s="5" t="n">
        <v>0</v>
      </c>
      <c r="S1001" s="5" t="n">
        <v>45</v>
      </c>
      <c r="T1001" s="12" t="n">
        <f aca="false">(O1001-M1001)/M1001</f>
        <v>0.1027</v>
      </c>
      <c r="U1001" s="8" t="n">
        <f aca="false">IF(AND(K1001&lt;=I1001,R1001=0),1,0)</f>
        <v>0</v>
      </c>
      <c r="V1001" s="10" t="n">
        <f aca="false">IF(Q1001="No",P1001,0)</f>
        <v>11578.35</v>
      </c>
    </row>
    <row r="1002" customFormat="false" ht="15" hidden="false" customHeight="false" outlineLevel="0" collapsed="false">
      <c r="A1002" s="5" t="s">
        <v>1136</v>
      </c>
      <c r="B1002" s="5" t="s">
        <v>88</v>
      </c>
      <c r="C1002" s="7" t="n">
        <v>45915</v>
      </c>
      <c r="D1002" s="8" t="str">
        <f aca="false">INDEX(Dim_Supplier!$C$2:$C$21,MATCH(B1002,Dim_Supplier!$A$2:$A$21,0))</f>
        <v>Logistics</v>
      </c>
      <c r="E1002" s="8" t="str">
        <f aca="false">INDEX(Dim_Supplier!$B$2:$B$21,MATCH(B1002,Dim_Supplier!$A$2:$A$21,0))</f>
        <v>Summit Last-Mile Delivery</v>
      </c>
      <c r="F1002" s="5" t="s">
        <v>185</v>
      </c>
      <c r="G1002" s="5" t="s">
        <v>120</v>
      </c>
      <c r="H1002" s="8" t="n">
        <f aca="false">INDEX(Lookup_Tables!$B$2:$B$5,MATCH(D1002,Lookup_Tables!$A$2:$A$5,0))</f>
        <v>5</v>
      </c>
      <c r="I1002" s="9" t="n">
        <f aca="false">C1002+H1002</f>
        <v>45920</v>
      </c>
      <c r="J1002" s="5" t="n">
        <v>-2</v>
      </c>
      <c r="K1002" s="9" t="n">
        <f aca="false">I1002+J1002</f>
        <v>45918</v>
      </c>
      <c r="L1002" s="5" t="n">
        <v>19</v>
      </c>
      <c r="M1002" s="10" t="n">
        <f aca="false">INDEX(Dim_Supplier!$F$2:$F$21,MATCH(B1002,Dim_Supplier!$A$2:$A$21,0))</f>
        <v>95</v>
      </c>
      <c r="N1002" s="11" t="n">
        <v>0.0434</v>
      </c>
      <c r="O1002" s="10" t="n">
        <f aca="false">M1002*(1+N1002)</f>
        <v>99.123</v>
      </c>
      <c r="P1002" s="10" t="n">
        <f aca="false">O1002*L1002</f>
        <v>1883.337</v>
      </c>
      <c r="Q1002" s="5" t="s">
        <v>113</v>
      </c>
      <c r="R1002" s="5" t="n">
        <v>0</v>
      </c>
      <c r="S1002" s="5" t="n">
        <v>30</v>
      </c>
      <c r="T1002" s="12" t="n">
        <f aca="false">(O1002-M1002)/M1002</f>
        <v>0.0434000000000001</v>
      </c>
      <c r="U1002" s="8" t="n">
        <f aca="false">IF(AND(K1002&lt;=I1002,R1002=0),1,0)</f>
        <v>1</v>
      </c>
      <c r="V1002" s="10" t="n">
        <f aca="false">IF(Q1002="No",P1002,0)</f>
        <v>0</v>
      </c>
    </row>
    <row r="1003" customFormat="false" ht="15" hidden="false" customHeight="false" outlineLevel="0" collapsed="false">
      <c r="A1003" s="5" t="s">
        <v>1137</v>
      </c>
      <c r="B1003" s="5" t="s">
        <v>84</v>
      </c>
      <c r="C1003" s="7" t="n">
        <v>46084</v>
      </c>
      <c r="D1003" s="8" t="str">
        <f aca="false">INDEX(Dim_Supplier!$C$2:$C$21,MATCH(B1003,Dim_Supplier!$A$2:$A$21,0))</f>
        <v>Logistics</v>
      </c>
      <c r="E1003" s="8" t="str">
        <f aca="false">INDEX(Dim_Supplier!$B$2:$B$21,MATCH(B1003,Dim_Supplier!$A$2:$A$21,0))</f>
        <v>Trans-Canada Carriers</v>
      </c>
      <c r="F1003" s="5" t="s">
        <v>237</v>
      </c>
      <c r="G1003" s="5" t="s">
        <v>112</v>
      </c>
      <c r="H1003" s="8" t="n">
        <f aca="false">INDEX(Lookup_Tables!$B$2:$B$5,MATCH(D1003,Lookup_Tables!$A$2:$A$5,0))</f>
        <v>5</v>
      </c>
      <c r="I1003" s="9" t="n">
        <f aca="false">C1003+H1003</f>
        <v>46089</v>
      </c>
      <c r="J1003" s="5" t="n">
        <v>5</v>
      </c>
      <c r="K1003" s="9" t="n">
        <f aca="false">I1003+J1003</f>
        <v>46094</v>
      </c>
      <c r="L1003" s="5" t="n">
        <v>5</v>
      </c>
      <c r="M1003" s="10" t="n">
        <f aca="false">INDEX(Dim_Supplier!$F$2:$F$21,MATCH(B1003,Dim_Supplier!$A$2:$A$21,0))</f>
        <v>210</v>
      </c>
      <c r="N1003" s="11" t="n">
        <v>0.1565</v>
      </c>
      <c r="O1003" s="10" t="n">
        <f aca="false">M1003*(1+N1003)</f>
        <v>242.865</v>
      </c>
      <c r="P1003" s="10" t="n">
        <f aca="false">O1003*L1003</f>
        <v>1214.325</v>
      </c>
      <c r="Q1003" s="5" t="s">
        <v>133</v>
      </c>
      <c r="R1003" s="5" t="n">
        <v>0</v>
      </c>
      <c r="S1003" s="5" t="n">
        <v>60</v>
      </c>
      <c r="T1003" s="12" t="n">
        <f aca="false">(O1003-M1003)/M1003</f>
        <v>0.1565</v>
      </c>
      <c r="U1003" s="8" t="n">
        <f aca="false">IF(AND(K1003&lt;=I1003,R1003=0),1,0)</f>
        <v>0</v>
      </c>
      <c r="V1003" s="10" t="n">
        <f aca="false">IF(Q1003="No",P1003,0)</f>
        <v>1214.325</v>
      </c>
    </row>
    <row r="1004" customFormat="false" ht="15" hidden="false" customHeight="false" outlineLevel="0" collapsed="false">
      <c r="A1004" s="5" t="s">
        <v>1138</v>
      </c>
      <c r="B1004" s="5" t="s">
        <v>46</v>
      </c>
      <c r="C1004" s="7" t="n">
        <v>45307</v>
      </c>
      <c r="D1004" s="8" t="str">
        <f aca="false">INDEX(Dim_Supplier!$C$2:$C$21,MATCH(B1004,Dim_Supplier!$A$2:$A$21,0))</f>
        <v>Raw Materials</v>
      </c>
      <c r="E1004" s="8" t="str">
        <f aca="false">INDEX(Dim_Supplier!$B$2:$B$21,MATCH(B1004,Dim_Supplier!$A$2:$A$21,0))</f>
        <v>Niagara Alloy Supply</v>
      </c>
      <c r="F1004" s="5" t="s">
        <v>115</v>
      </c>
      <c r="G1004" s="5" t="s">
        <v>120</v>
      </c>
      <c r="H1004" s="8" t="n">
        <f aca="false">INDEX(Lookup_Tables!$B$2:$B$5,MATCH(D1004,Lookup_Tables!$A$2:$A$5,0))</f>
        <v>21</v>
      </c>
      <c r="I1004" s="9" t="n">
        <f aca="false">C1004+H1004</f>
        <v>45328</v>
      </c>
      <c r="J1004" s="5" t="n">
        <v>-4</v>
      </c>
      <c r="K1004" s="9" t="n">
        <f aca="false">I1004+J1004</f>
        <v>45324</v>
      </c>
      <c r="L1004" s="5" t="n">
        <v>1700</v>
      </c>
      <c r="M1004" s="10" t="n">
        <f aca="false">INDEX(Dim_Supplier!$F$2:$F$21,MATCH(B1004,Dim_Supplier!$A$2:$A$21,0))</f>
        <v>46.5</v>
      </c>
      <c r="N1004" s="11" t="n">
        <v>0.0146</v>
      </c>
      <c r="O1004" s="10" t="n">
        <f aca="false">M1004*(1+N1004)</f>
        <v>47.1789</v>
      </c>
      <c r="P1004" s="10" t="n">
        <f aca="false">O1004*L1004</f>
        <v>80204.13</v>
      </c>
      <c r="Q1004" s="5" t="s">
        <v>133</v>
      </c>
      <c r="R1004" s="5" t="n">
        <v>0</v>
      </c>
      <c r="S1004" s="5" t="n">
        <v>30</v>
      </c>
      <c r="T1004" s="12" t="n">
        <f aca="false">(O1004-M1004)/M1004</f>
        <v>0.0146</v>
      </c>
      <c r="U1004" s="8" t="n">
        <f aca="false">IF(AND(K1004&lt;=I1004,R1004=0),1,0)</f>
        <v>1</v>
      </c>
      <c r="V1004" s="10" t="n">
        <f aca="false">IF(Q1004="No",P1004,0)</f>
        <v>80204.13</v>
      </c>
    </row>
    <row r="1005" customFormat="false" ht="15" hidden="false" customHeight="false" outlineLevel="0" collapsed="false">
      <c r="A1005" s="5" t="s">
        <v>1139</v>
      </c>
      <c r="B1005" s="5" t="s">
        <v>49</v>
      </c>
      <c r="C1005" s="7" t="n">
        <v>45594</v>
      </c>
      <c r="D1005" s="8" t="str">
        <f aca="false">INDEX(Dim_Supplier!$C$2:$C$21,MATCH(B1005,Dim_Supplier!$A$2:$A$21,0))</f>
        <v>Raw Materials</v>
      </c>
      <c r="E1005" s="8" t="str">
        <f aca="false">INDEX(Dim_Supplier!$B$2:$B$21,MATCH(B1005,Dim_Supplier!$A$2:$A$21,0))</f>
        <v>Great Lakes Polymer Co.</v>
      </c>
      <c r="F1005" s="5" t="s">
        <v>115</v>
      </c>
      <c r="G1005" s="5" t="s">
        <v>129</v>
      </c>
      <c r="H1005" s="8" t="n">
        <f aca="false">INDEX(Lookup_Tables!$B$2:$B$5,MATCH(D1005,Lookup_Tables!$A$2:$A$5,0))</f>
        <v>21</v>
      </c>
      <c r="I1005" s="9" t="n">
        <f aca="false">C1005+H1005</f>
        <v>45615</v>
      </c>
      <c r="J1005" s="5" t="n">
        <v>4</v>
      </c>
      <c r="K1005" s="9" t="n">
        <f aca="false">I1005+J1005</f>
        <v>45619</v>
      </c>
      <c r="L1005" s="5" t="n">
        <v>282</v>
      </c>
      <c r="M1005" s="10" t="n">
        <f aca="false">INDEX(Dim_Supplier!$F$2:$F$21,MATCH(B1005,Dim_Supplier!$A$2:$A$21,0))</f>
        <v>32.75</v>
      </c>
      <c r="N1005" s="11" t="n">
        <v>0.1387</v>
      </c>
      <c r="O1005" s="10" t="n">
        <f aca="false">M1005*(1+N1005)</f>
        <v>37.292425</v>
      </c>
      <c r="P1005" s="10" t="n">
        <f aca="false">O1005*L1005</f>
        <v>10516.46385</v>
      </c>
      <c r="Q1005" s="5" t="s">
        <v>113</v>
      </c>
      <c r="R1005" s="5" t="n">
        <v>0</v>
      </c>
      <c r="S1005" s="5" t="n">
        <v>30</v>
      </c>
      <c r="T1005" s="12" t="n">
        <f aca="false">(O1005-M1005)/M1005</f>
        <v>0.1387</v>
      </c>
      <c r="U1005" s="8" t="n">
        <f aca="false">IF(AND(K1005&lt;=I1005,R1005=0),1,0)</f>
        <v>0</v>
      </c>
      <c r="V1005" s="10" t="n">
        <f aca="false">IF(Q1005="No",P1005,0)</f>
        <v>0</v>
      </c>
    </row>
    <row r="1006" customFormat="false" ht="15" hidden="false" customHeight="false" outlineLevel="0" collapsed="false">
      <c r="A1006" s="5" t="s">
        <v>1140</v>
      </c>
      <c r="B1006" s="5" t="s">
        <v>88</v>
      </c>
      <c r="C1006" s="7" t="n">
        <v>45554</v>
      </c>
      <c r="D1006" s="8" t="str">
        <f aca="false">INDEX(Dim_Supplier!$C$2:$C$21,MATCH(B1006,Dim_Supplier!$A$2:$A$21,0))</f>
        <v>Logistics</v>
      </c>
      <c r="E1006" s="8" t="str">
        <f aca="false">INDEX(Dim_Supplier!$B$2:$B$21,MATCH(B1006,Dim_Supplier!$A$2:$A$21,0))</f>
        <v>Summit Last-Mile Delivery</v>
      </c>
      <c r="F1006" s="5" t="s">
        <v>237</v>
      </c>
      <c r="G1006" s="5" t="s">
        <v>112</v>
      </c>
      <c r="H1006" s="8" t="n">
        <f aca="false">INDEX(Lookup_Tables!$B$2:$B$5,MATCH(D1006,Lookup_Tables!$A$2:$A$5,0))</f>
        <v>5</v>
      </c>
      <c r="I1006" s="9" t="n">
        <f aca="false">C1006+H1006</f>
        <v>45559</v>
      </c>
      <c r="J1006" s="5" t="n">
        <v>4</v>
      </c>
      <c r="K1006" s="9" t="n">
        <f aca="false">I1006+J1006</f>
        <v>45563</v>
      </c>
      <c r="L1006" s="5" t="n">
        <v>32</v>
      </c>
      <c r="M1006" s="10" t="n">
        <f aca="false">INDEX(Dim_Supplier!$F$2:$F$21,MATCH(B1006,Dim_Supplier!$A$2:$A$21,0))</f>
        <v>95</v>
      </c>
      <c r="N1006" s="11" t="n">
        <v>0.0203</v>
      </c>
      <c r="O1006" s="10" t="n">
        <f aca="false">M1006*(1+N1006)</f>
        <v>96.9285</v>
      </c>
      <c r="P1006" s="10" t="n">
        <f aca="false">O1006*L1006</f>
        <v>3101.712</v>
      </c>
      <c r="Q1006" s="5" t="s">
        <v>113</v>
      </c>
      <c r="R1006" s="5" t="n">
        <v>0</v>
      </c>
      <c r="S1006" s="5" t="n">
        <v>30</v>
      </c>
      <c r="T1006" s="12" t="n">
        <f aca="false">(O1006-M1006)/M1006</f>
        <v>0.0203</v>
      </c>
      <c r="U1006" s="8" t="n">
        <f aca="false">IF(AND(K1006&lt;=I1006,R1006=0),1,0)</f>
        <v>0</v>
      </c>
      <c r="V1006" s="10" t="n">
        <f aca="false">IF(Q1006="No",P1006,0)</f>
        <v>0</v>
      </c>
    </row>
    <row r="1007" customFormat="false" ht="15" hidden="false" customHeight="false" outlineLevel="0" collapsed="false">
      <c r="A1007" s="5" t="s">
        <v>1141</v>
      </c>
      <c r="B1007" s="5" t="s">
        <v>82</v>
      </c>
      <c r="C1007" s="7" t="n">
        <v>45988</v>
      </c>
      <c r="D1007" s="8" t="str">
        <f aca="false">INDEX(Dim_Supplier!$C$2:$C$21,MATCH(B1007,Dim_Supplier!$A$2:$A$21,0))</f>
        <v>Logistics</v>
      </c>
      <c r="E1007" s="8" t="str">
        <f aca="false">INDEX(Dim_Supplier!$B$2:$B$21,MATCH(B1007,Dim_Supplier!$A$2:$A$21,0))</f>
        <v>Maple Route Logistics</v>
      </c>
      <c r="F1007" s="5" t="s">
        <v>154</v>
      </c>
      <c r="G1007" s="5" t="s">
        <v>125</v>
      </c>
      <c r="H1007" s="8" t="n">
        <f aca="false">INDEX(Lookup_Tables!$B$2:$B$5,MATCH(D1007,Lookup_Tables!$A$2:$A$5,0))</f>
        <v>5</v>
      </c>
      <c r="I1007" s="9" t="n">
        <f aca="false">C1007+H1007</f>
        <v>45993</v>
      </c>
      <c r="J1007" s="5" t="n">
        <v>-4</v>
      </c>
      <c r="K1007" s="9" t="n">
        <f aca="false">I1007+J1007</f>
        <v>45989</v>
      </c>
      <c r="L1007" s="5" t="n">
        <v>21</v>
      </c>
      <c r="M1007" s="10" t="n">
        <f aca="false">INDEX(Dim_Supplier!$F$2:$F$21,MATCH(B1007,Dim_Supplier!$A$2:$A$21,0))</f>
        <v>285</v>
      </c>
      <c r="N1007" s="11" t="n">
        <v>0.0587</v>
      </c>
      <c r="O1007" s="10" t="n">
        <f aca="false">M1007*(1+N1007)</f>
        <v>301.7295</v>
      </c>
      <c r="P1007" s="10" t="n">
        <f aca="false">O1007*L1007</f>
        <v>6336.3195</v>
      </c>
      <c r="Q1007" s="5" t="s">
        <v>113</v>
      </c>
      <c r="R1007" s="5" t="n">
        <v>0</v>
      </c>
      <c r="S1007" s="5" t="n">
        <v>45</v>
      </c>
      <c r="T1007" s="12" t="n">
        <f aca="false">(O1007-M1007)/M1007</f>
        <v>0.0586999999999999</v>
      </c>
      <c r="U1007" s="8" t="n">
        <f aca="false">IF(AND(K1007&lt;=I1007,R1007=0),1,0)</f>
        <v>1</v>
      </c>
      <c r="V1007" s="10" t="n">
        <f aca="false">IF(Q1007="No",P1007,0)</f>
        <v>0</v>
      </c>
    </row>
    <row r="1008" customFormat="false" ht="15" hidden="false" customHeight="false" outlineLevel="0" collapsed="false">
      <c r="A1008" s="5" t="s">
        <v>1142</v>
      </c>
      <c r="B1008" s="5" t="s">
        <v>54</v>
      </c>
      <c r="C1008" s="7" t="n">
        <v>46188</v>
      </c>
      <c r="D1008" s="8" t="str">
        <f aca="false">INDEX(Dim_Supplier!$C$2:$C$21,MATCH(B1008,Dim_Supplier!$A$2:$A$21,0))</f>
        <v>Raw Materials</v>
      </c>
      <c r="E1008" s="8" t="str">
        <f aca="false">INDEX(Dim_Supplier!$B$2:$B$21,MATCH(B1008,Dim_Supplier!$A$2:$A$21,0))</f>
        <v>Northern Resin Solutions</v>
      </c>
      <c r="F1008" s="5" t="s">
        <v>148</v>
      </c>
      <c r="G1008" s="5" t="s">
        <v>129</v>
      </c>
      <c r="H1008" s="8" t="n">
        <f aca="false">INDEX(Lookup_Tables!$B$2:$B$5,MATCH(D1008,Lookup_Tables!$A$2:$A$5,0))</f>
        <v>21</v>
      </c>
      <c r="I1008" s="9" t="n">
        <f aca="false">C1008+H1008</f>
        <v>46209</v>
      </c>
      <c r="J1008" s="5" t="n">
        <v>-1</v>
      </c>
      <c r="K1008" s="9" t="n">
        <f aca="false">I1008+J1008</f>
        <v>46208</v>
      </c>
      <c r="L1008" s="5" t="n">
        <v>1781</v>
      </c>
      <c r="M1008" s="10" t="n">
        <f aca="false">INDEX(Dim_Supplier!$F$2:$F$21,MATCH(B1008,Dim_Supplier!$A$2:$A$21,0))</f>
        <v>38.9</v>
      </c>
      <c r="N1008" s="11" t="n">
        <v>0.035</v>
      </c>
      <c r="O1008" s="10" t="n">
        <f aca="false">M1008*(1+N1008)</f>
        <v>40.2615</v>
      </c>
      <c r="P1008" s="10" t="n">
        <f aca="false">O1008*L1008</f>
        <v>71705.7315</v>
      </c>
      <c r="Q1008" s="5" t="s">
        <v>113</v>
      </c>
      <c r="R1008" s="5" t="n">
        <v>0</v>
      </c>
      <c r="S1008" s="5" t="n">
        <v>30</v>
      </c>
      <c r="T1008" s="12" t="n">
        <f aca="false">(O1008-M1008)/M1008</f>
        <v>0.035</v>
      </c>
      <c r="U1008" s="8" t="n">
        <f aca="false">IF(AND(K1008&lt;=I1008,R1008=0),1,0)</f>
        <v>1</v>
      </c>
      <c r="V1008" s="10" t="n">
        <f aca="false">IF(Q1008="No",P1008,0)</f>
        <v>0</v>
      </c>
    </row>
    <row r="1009" customFormat="false" ht="15" hidden="false" customHeight="false" outlineLevel="0" collapsed="false">
      <c r="A1009" s="5" t="s">
        <v>1143</v>
      </c>
      <c r="B1009" s="5" t="s">
        <v>60</v>
      </c>
      <c r="C1009" s="7" t="n">
        <v>45875</v>
      </c>
      <c r="D1009" s="8" t="str">
        <f aca="false">INDEX(Dim_Supplier!$C$2:$C$21,MATCH(B1009,Dim_Supplier!$A$2:$A$21,0))</f>
        <v>Packaging</v>
      </c>
      <c r="E1009" s="8" t="str">
        <f aca="false">INDEX(Dim_Supplier!$B$2:$B$21,MATCH(B1009,Dim_Supplier!$A$2:$A$21,0))</f>
        <v>Maple Leaf Box &amp; Crate</v>
      </c>
      <c r="F1009" s="5" t="s">
        <v>137</v>
      </c>
      <c r="G1009" s="5" t="s">
        <v>129</v>
      </c>
      <c r="H1009" s="8" t="n">
        <f aca="false">INDEX(Lookup_Tables!$B$2:$B$5,MATCH(D1009,Lookup_Tables!$A$2:$A$5,0))</f>
        <v>14</v>
      </c>
      <c r="I1009" s="9" t="n">
        <f aca="false">C1009+H1009</f>
        <v>45889</v>
      </c>
      <c r="J1009" s="5" t="n">
        <v>0</v>
      </c>
      <c r="K1009" s="9" t="n">
        <f aca="false">I1009+J1009</f>
        <v>45889</v>
      </c>
      <c r="L1009" s="5" t="n">
        <v>1265</v>
      </c>
      <c r="M1009" s="10" t="n">
        <f aca="false">INDEX(Dim_Supplier!$F$2:$F$21,MATCH(B1009,Dim_Supplier!$A$2:$A$21,0))</f>
        <v>3.1</v>
      </c>
      <c r="N1009" s="11" t="n">
        <v>0.0801</v>
      </c>
      <c r="O1009" s="10" t="n">
        <f aca="false">M1009*(1+N1009)</f>
        <v>3.34831</v>
      </c>
      <c r="P1009" s="10" t="n">
        <f aca="false">O1009*L1009</f>
        <v>4235.61215</v>
      </c>
      <c r="Q1009" s="5" t="s">
        <v>113</v>
      </c>
      <c r="R1009" s="5" t="n">
        <v>0</v>
      </c>
      <c r="S1009" s="5" t="n">
        <v>45</v>
      </c>
      <c r="T1009" s="12" t="n">
        <f aca="false">(O1009-M1009)/M1009</f>
        <v>0.0801</v>
      </c>
      <c r="U1009" s="8" t="n">
        <f aca="false">IF(AND(K1009&lt;=I1009,R1009=0),1,0)</f>
        <v>1</v>
      </c>
      <c r="V1009" s="10" t="n">
        <f aca="false">IF(Q1009="No",P1009,0)</f>
        <v>0</v>
      </c>
    </row>
    <row r="1010" customFormat="false" ht="15" hidden="false" customHeight="false" outlineLevel="0" collapsed="false">
      <c r="A1010" s="5" t="s">
        <v>1144</v>
      </c>
      <c r="B1010" s="5" t="s">
        <v>79</v>
      </c>
      <c r="C1010" s="7" t="n">
        <v>45403</v>
      </c>
      <c r="D1010" s="8" t="str">
        <f aca="false">INDEX(Dim_Supplier!$C$2:$C$21,MATCH(B1010,Dim_Supplier!$A$2:$A$21,0))</f>
        <v>Logistics</v>
      </c>
      <c r="E1010" s="8" t="str">
        <f aca="false">INDEX(Dim_Supplier!$B$2:$B$21,MATCH(B1010,Dim_Supplier!$A$2:$A$21,0))</f>
        <v>Niagara Freight Solutions</v>
      </c>
      <c r="F1010" s="5" t="s">
        <v>124</v>
      </c>
      <c r="G1010" s="5" t="s">
        <v>112</v>
      </c>
      <c r="H1010" s="8" t="n">
        <f aca="false">INDEX(Lookup_Tables!$B$2:$B$5,MATCH(D1010,Lookup_Tables!$A$2:$A$5,0))</f>
        <v>5</v>
      </c>
      <c r="I1010" s="9" t="n">
        <f aca="false">C1010+H1010</f>
        <v>45408</v>
      </c>
      <c r="J1010" s="5" t="n">
        <v>-3</v>
      </c>
      <c r="K1010" s="9" t="n">
        <f aca="false">I1010+J1010</f>
        <v>45405</v>
      </c>
      <c r="L1010" s="5" t="n">
        <v>26</v>
      </c>
      <c r="M1010" s="10" t="n">
        <f aca="false">INDEX(Dim_Supplier!$F$2:$F$21,MATCH(B1010,Dim_Supplier!$A$2:$A$21,0))</f>
        <v>340</v>
      </c>
      <c r="N1010" s="11" t="n">
        <v>-0.0344</v>
      </c>
      <c r="O1010" s="10" t="n">
        <f aca="false">M1010*(1+N1010)</f>
        <v>328.304</v>
      </c>
      <c r="P1010" s="10" t="n">
        <f aca="false">O1010*L1010</f>
        <v>8535.904</v>
      </c>
      <c r="Q1010" s="5" t="s">
        <v>113</v>
      </c>
      <c r="R1010" s="5" t="n">
        <v>0</v>
      </c>
      <c r="S1010" s="5" t="n">
        <v>30</v>
      </c>
      <c r="T1010" s="12" t="n">
        <f aca="false">(O1010-M1010)/M1010</f>
        <v>-0.0343999999999999</v>
      </c>
      <c r="U1010" s="8" t="n">
        <f aca="false">IF(AND(K1010&lt;=I1010,R1010=0),1,0)</f>
        <v>1</v>
      </c>
      <c r="V1010" s="10" t="n">
        <f aca="false">IF(Q1010="No",P1010,0)</f>
        <v>0</v>
      </c>
    </row>
    <row r="1011" customFormat="false" ht="15" hidden="false" customHeight="false" outlineLevel="0" collapsed="false">
      <c r="A1011" s="5" t="s">
        <v>1145</v>
      </c>
      <c r="B1011" s="5" t="s">
        <v>57</v>
      </c>
      <c r="C1011" s="7" t="n">
        <v>45910</v>
      </c>
      <c r="D1011" s="8" t="str">
        <f aca="false">INDEX(Dim_Supplier!$C$2:$C$21,MATCH(B1011,Dim_Supplier!$A$2:$A$21,0))</f>
        <v>Packaging</v>
      </c>
      <c r="E1011" s="8" t="str">
        <f aca="false">INDEX(Dim_Supplier!$B$2:$B$21,MATCH(B1011,Dim_Supplier!$A$2:$A$21,0))</f>
        <v>Great Lakes Packaging Co.</v>
      </c>
      <c r="F1011" s="5" t="s">
        <v>137</v>
      </c>
      <c r="G1011" s="5" t="s">
        <v>112</v>
      </c>
      <c r="H1011" s="8" t="n">
        <f aca="false">INDEX(Lookup_Tables!$B$2:$B$5,MATCH(D1011,Lookup_Tables!$A$2:$A$5,0))</f>
        <v>14</v>
      </c>
      <c r="I1011" s="9" t="n">
        <f aca="false">C1011+H1011</f>
        <v>45924</v>
      </c>
      <c r="J1011" s="5" t="n">
        <v>-4</v>
      </c>
      <c r="K1011" s="9" t="n">
        <f aca="false">I1011+J1011</f>
        <v>45920</v>
      </c>
      <c r="L1011" s="5" t="n">
        <v>2780</v>
      </c>
      <c r="M1011" s="10" t="n">
        <f aca="false">INDEX(Dim_Supplier!$F$2:$F$21,MATCH(B1011,Dim_Supplier!$A$2:$A$21,0))</f>
        <v>4.35</v>
      </c>
      <c r="N1011" s="11" t="n">
        <v>-0.0117</v>
      </c>
      <c r="O1011" s="10" t="n">
        <f aca="false">M1011*(1+N1011)</f>
        <v>4.299105</v>
      </c>
      <c r="P1011" s="10" t="n">
        <f aca="false">O1011*L1011</f>
        <v>11951.5119</v>
      </c>
      <c r="Q1011" s="5" t="s">
        <v>113</v>
      </c>
      <c r="R1011" s="5" t="n">
        <v>0</v>
      </c>
      <c r="S1011" s="5" t="n">
        <v>60</v>
      </c>
      <c r="T1011" s="12" t="n">
        <f aca="false">(O1011-M1011)/M1011</f>
        <v>-0.0117000000000001</v>
      </c>
      <c r="U1011" s="8" t="n">
        <f aca="false">IF(AND(K1011&lt;=I1011,R1011=0),1,0)</f>
        <v>1</v>
      </c>
      <c r="V1011" s="10" t="n">
        <f aca="false">IF(Q1011="No",P1011,0)</f>
        <v>0</v>
      </c>
    </row>
    <row r="1012" customFormat="false" ht="15" hidden="false" customHeight="false" outlineLevel="0" collapsed="false">
      <c r="A1012" s="5" t="s">
        <v>1146</v>
      </c>
      <c r="B1012" s="5" t="s">
        <v>46</v>
      </c>
      <c r="C1012" s="7" t="n">
        <v>45510</v>
      </c>
      <c r="D1012" s="8" t="str">
        <f aca="false">INDEX(Dim_Supplier!$C$2:$C$21,MATCH(B1012,Dim_Supplier!$A$2:$A$21,0))</f>
        <v>Raw Materials</v>
      </c>
      <c r="E1012" s="8" t="str">
        <f aca="false">INDEX(Dim_Supplier!$B$2:$B$21,MATCH(B1012,Dim_Supplier!$A$2:$A$21,0))</f>
        <v>Niagara Alloy Supply</v>
      </c>
      <c r="F1012" s="5" t="s">
        <v>139</v>
      </c>
      <c r="G1012" s="5" t="s">
        <v>129</v>
      </c>
      <c r="H1012" s="8" t="n">
        <f aca="false">INDEX(Lookup_Tables!$B$2:$B$5,MATCH(D1012,Lookup_Tables!$A$2:$A$5,0))</f>
        <v>21</v>
      </c>
      <c r="I1012" s="9" t="n">
        <f aca="false">C1012+H1012</f>
        <v>45531</v>
      </c>
      <c r="J1012" s="5" t="n">
        <v>2</v>
      </c>
      <c r="K1012" s="9" t="n">
        <f aca="false">I1012+J1012</f>
        <v>45533</v>
      </c>
      <c r="L1012" s="5" t="n">
        <v>227</v>
      </c>
      <c r="M1012" s="10" t="n">
        <f aca="false">INDEX(Dim_Supplier!$F$2:$F$21,MATCH(B1012,Dim_Supplier!$A$2:$A$21,0))</f>
        <v>46.5</v>
      </c>
      <c r="N1012" s="11" t="n">
        <v>0.0274</v>
      </c>
      <c r="O1012" s="10" t="n">
        <f aca="false">M1012*(1+N1012)</f>
        <v>47.7741</v>
      </c>
      <c r="P1012" s="10" t="n">
        <f aca="false">O1012*L1012</f>
        <v>10844.7207</v>
      </c>
      <c r="Q1012" s="5" t="s">
        <v>133</v>
      </c>
      <c r="R1012" s="5" t="n">
        <v>0</v>
      </c>
      <c r="S1012" s="5" t="n">
        <v>30</v>
      </c>
      <c r="T1012" s="12" t="n">
        <f aca="false">(O1012-M1012)/M1012</f>
        <v>0.0274000000000001</v>
      </c>
      <c r="U1012" s="8" t="n">
        <f aca="false">IF(AND(K1012&lt;=I1012,R1012=0),1,0)</f>
        <v>0</v>
      </c>
      <c r="V1012" s="10" t="n">
        <f aca="false">IF(Q1012="No",P1012,0)</f>
        <v>10844.7207</v>
      </c>
    </row>
    <row r="1013" customFormat="false" ht="15" hidden="false" customHeight="false" outlineLevel="0" collapsed="false">
      <c r="A1013" s="5" t="s">
        <v>1147</v>
      </c>
      <c r="B1013" s="5" t="s">
        <v>64</v>
      </c>
      <c r="C1013" s="7" t="n">
        <v>45347</v>
      </c>
      <c r="D1013" s="8" t="str">
        <f aca="false">INDEX(Dim_Supplier!$C$2:$C$21,MATCH(B1013,Dim_Supplier!$A$2:$A$21,0))</f>
        <v>Packaging</v>
      </c>
      <c r="E1013" s="8" t="str">
        <f aca="false">INDEX(Dim_Supplier!$B$2:$B$21,MATCH(B1013,Dim_Supplier!$A$2:$A$21,0))</f>
        <v>Huron Pallet Works</v>
      </c>
      <c r="F1013" s="5" t="s">
        <v>158</v>
      </c>
      <c r="G1013" s="5" t="s">
        <v>129</v>
      </c>
      <c r="H1013" s="8" t="n">
        <f aca="false">INDEX(Lookup_Tables!$B$2:$B$5,MATCH(D1013,Lookup_Tables!$A$2:$A$5,0))</f>
        <v>14</v>
      </c>
      <c r="I1013" s="9" t="n">
        <f aca="false">C1013+H1013</f>
        <v>45361</v>
      </c>
      <c r="J1013" s="5" t="n">
        <v>8</v>
      </c>
      <c r="K1013" s="9" t="n">
        <f aca="false">I1013+J1013</f>
        <v>45369</v>
      </c>
      <c r="L1013" s="5" t="n">
        <v>2710</v>
      </c>
      <c r="M1013" s="10" t="n">
        <f aca="false">INDEX(Dim_Supplier!$F$2:$F$21,MATCH(B1013,Dim_Supplier!$A$2:$A$21,0))</f>
        <v>2.25</v>
      </c>
      <c r="N1013" s="11" t="n">
        <v>0.1311</v>
      </c>
      <c r="O1013" s="10" t="n">
        <f aca="false">M1013*(1+N1013)</f>
        <v>2.544975</v>
      </c>
      <c r="P1013" s="10" t="n">
        <f aca="false">O1013*L1013</f>
        <v>6896.88225</v>
      </c>
      <c r="Q1013" s="5" t="s">
        <v>113</v>
      </c>
      <c r="R1013" s="5" t="n">
        <v>0</v>
      </c>
      <c r="S1013" s="5" t="n">
        <v>30</v>
      </c>
      <c r="T1013" s="12" t="n">
        <f aca="false">(O1013-M1013)/M1013</f>
        <v>0.1311</v>
      </c>
      <c r="U1013" s="8" t="n">
        <f aca="false">IF(AND(K1013&lt;=I1013,R1013=0),1,0)</f>
        <v>0</v>
      </c>
      <c r="V1013" s="10" t="n">
        <f aca="false">IF(Q1013="No",P1013,0)</f>
        <v>0</v>
      </c>
    </row>
    <row r="1014" customFormat="false" ht="15" hidden="false" customHeight="false" outlineLevel="0" collapsed="false">
      <c r="A1014" s="5" t="s">
        <v>1148</v>
      </c>
      <c r="B1014" s="5" t="s">
        <v>54</v>
      </c>
      <c r="C1014" s="7" t="n">
        <v>45375</v>
      </c>
      <c r="D1014" s="8" t="str">
        <f aca="false">INDEX(Dim_Supplier!$C$2:$C$21,MATCH(B1014,Dim_Supplier!$A$2:$A$21,0))</f>
        <v>Raw Materials</v>
      </c>
      <c r="E1014" s="8" t="str">
        <f aca="false">INDEX(Dim_Supplier!$B$2:$B$21,MATCH(B1014,Dim_Supplier!$A$2:$A$21,0))</f>
        <v>Northern Resin Solutions</v>
      </c>
      <c r="F1014" s="5" t="s">
        <v>139</v>
      </c>
      <c r="G1014" s="5" t="s">
        <v>125</v>
      </c>
      <c r="H1014" s="8" t="n">
        <f aca="false">INDEX(Lookup_Tables!$B$2:$B$5,MATCH(D1014,Lookup_Tables!$A$2:$A$5,0))</f>
        <v>21</v>
      </c>
      <c r="I1014" s="9" t="n">
        <f aca="false">C1014+H1014</f>
        <v>45396</v>
      </c>
      <c r="J1014" s="5" t="n">
        <v>1</v>
      </c>
      <c r="K1014" s="9" t="n">
        <f aca="false">I1014+J1014</f>
        <v>45397</v>
      </c>
      <c r="L1014" s="5" t="n">
        <v>1471</v>
      </c>
      <c r="M1014" s="10" t="n">
        <f aca="false">INDEX(Dim_Supplier!$F$2:$F$21,MATCH(B1014,Dim_Supplier!$A$2:$A$21,0))</f>
        <v>38.9</v>
      </c>
      <c r="N1014" s="11" t="n">
        <v>0.0324</v>
      </c>
      <c r="O1014" s="10" t="n">
        <f aca="false">M1014*(1+N1014)</f>
        <v>40.16036</v>
      </c>
      <c r="P1014" s="10" t="n">
        <f aca="false">O1014*L1014</f>
        <v>59075.88956</v>
      </c>
      <c r="Q1014" s="5" t="s">
        <v>133</v>
      </c>
      <c r="R1014" s="5" t="n">
        <v>0</v>
      </c>
      <c r="S1014" s="5" t="n">
        <v>30</v>
      </c>
      <c r="T1014" s="12" t="n">
        <f aca="false">(O1014-M1014)/M1014</f>
        <v>0.0324</v>
      </c>
      <c r="U1014" s="8" t="n">
        <f aca="false">IF(AND(K1014&lt;=I1014,R1014=0),1,0)</f>
        <v>0</v>
      </c>
      <c r="V1014" s="10" t="n">
        <f aca="false">IF(Q1014="No",P1014,0)</f>
        <v>59075.88956</v>
      </c>
    </row>
    <row r="1015" customFormat="false" ht="15" hidden="false" customHeight="false" outlineLevel="0" collapsed="false">
      <c r="A1015" s="5" t="s">
        <v>1149</v>
      </c>
      <c r="B1015" s="5" t="s">
        <v>84</v>
      </c>
      <c r="C1015" s="7" t="n">
        <v>45730</v>
      </c>
      <c r="D1015" s="8" t="str">
        <f aca="false">INDEX(Dim_Supplier!$C$2:$C$21,MATCH(B1015,Dim_Supplier!$A$2:$A$21,0))</f>
        <v>Logistics</v>
      </c>
      <c r="E1015" s="8" t="str">
        <f aca="false">INDEX(Dim_Supplier!$B$2:$B$21,MATCH(B1015,Dim_Supplier!$A$2:$A$21,0))</f>
        <v>Trans-Canada Carriers</v>
      </c>
      <c r="F1015" s="5" t="s">
        <v>146</v>
      </c>
      <c r="G1015" s="5" t="s">
        <v>120</v>
      </c>
      <c r="H1015" s="8" t="n">
        <f aca="false">INDEX(Lookup_Tables!$B$2:$B$5,MATCH(D1015,Lookup_Tables!$A$2:$A$5,0))</f>
        <v>5</v>
      </c>
      <c r="I1015" s="9" t="n">
        <f aca="false">C1015+H1015</f>
        <v>45735</v>
      </c>
      <c r="J1015" s="5" t="n">
        <v>5</v>
      </c>
      <c r="K1015" s="9" t="n">
        <f aca="false">I1015+J1015</f>
        <v>45740</v>
      </c>
      <c r="L1015" s="5" t="n">
        <v>27</v>
      </c>
      <c r="M1015" s="10" t="n">
        <f aca="false">INDEX(Dim_Supplier!$F$2:$F$21,MATCH(B1015,Dim_Supplier!$A$2:$A$21,0))</f>
        <v>210</v>
      </c>
      <c r="N1015" s="11" t="n">
        <v>0.1459</v>
      </c>
      <c r="O1015" s="10" t="n">
        <f aca="false">M1015*(1+N1015)</f>
        <v>240.639</v>
      </c>
      <c r="P1015" s="10" t="n">
        <f aca="false">O1015*L1015</f>
        <v>6497.253</v>
      </c>
      <c r="Q1015" s="5" t="s">
        <v>113</v>
      </c>
      <c r="R1015" s="5" t="n">
        <v>0</v>
      </c>
      <c r="S1015" s="5" t="n">
        <v>45</v>
      </c>
      <c r="T1015" s="12" t="n">
        <f aca="false">(O1015-M1015)/M1015</f>
        <v>0.1459</v>
      </c>
      <c r="U1015" s="8" t="n">
        <f aca="false">IF(AND(K1015&lt;=I1015,R1015=0),1,0)</f>
        <v>0</v>
      </c>
      <c r="V1015" s="10" t="n">
        <f aca="false">IF(Q1015="No",P1015,0)</f>
        <v>0</v>
      </c>
    </row>
    <row r="1016" customFormat="false" ht="15" hidden="false" customHeight="false" outlineLevel="0" collapsed="false">
      <c r="A1016" s="5" t="s">
        <v>1150</v>
      </c>
      <c r="B1016" s="5" t="s">
        <v>88</v>
      </c>
      <c r="C1016" s="7" t="n">
        <v>45739</v>
      </c>
      <c r="D1016" s="8" t="str">
        <f aca="false">INDEX(Dim_Supplier!$C$2:$C$21,MATCH(B1016,Dim_Supplier!$A$2:$A$21,0))</f>
        <v>Logistics</v>
      </c>
      <c r="E1016" s="8" t="str">
        <f aca="false">INDEX(Dim_Supplier!$B$2:$B$21,MATCH(B1016,Dim_Supplier!$A$2:$A$21,0))</f>
        <v>Summit Last-Mile Delivery</v>
      </c>
      <c r="F1016" s="5" t="s">
        <v>146</v>
      </c>
      <c r="G1016" s="5" t="s">
        <v>125</v>
      </c>
      <c r="H1016" s="8" t="n">
        <f aca="false">INDEX(Lookup_Tables!$B$2:$B$5,MATCH(D1016,Lookup_Tables!$A$2:$A$5,0))</f>
        <v>5</v>
      </c>
      <c r="I1016" s="9" t="n">
        <f aca="false">C1016+H1016</f>
        <v>45744</v>
      </c>
      <c r="J1016" s="5" t="n">
        <v>0</v>
      </c>
      <c r="K1016" s="9" t="n">
        <f aca="false">I1016+J1016</f>
        <v>45744</v>
      </c>
      <c r="L1016" s="5" t="n">
        <v>39</v>
      </c>
      <c r="M1016" s="10" t="n">
        <f aca="false">INDEX(Dim_Supplier!$F$2:$F$21,MATCH(B1016,Dim_Supplier!$A$2:$A$21,0))</f>
        <v>95</v>
      </c>
      <c r="N1016" s="11" t="n">
        <v>0.017</v>
      </c>
      <c r="O1016" s="10" t="n">
        <f aca="false">M1016*(1+N1016)</f>
        <v>96.615</v>
      </c>
      <c r="P1016" s="10" t="n">
        <f aca="false">O1016*L1016</f>
        <v>3767.985</v>
      </c>
      <c r="Q1016" s="5" t="s">
        <v>113</v>
      </c>
      <c r="R1016" s="5" t="n">
        <v>0</v>
      </c>
      <c r="S1016" s="5" t="n">
        <v>45</v>
      </c>
      <c r="T1016" s="12" t="n">
        <f aca="false">(O1016-M1016)/M1016</f>
        <v>0.0169999999999999</v>
      </c>
      <c r="U1016" s="8" t="n">
        <f aca="false">IF(AND(K1016&lt;=I1016,R1016=0),1,0)</f>
        <v>1</v>
      </c>
      <c r="V1016" s="10" t="n">
        <f aca="false">IF(Q1016="No",P1016,0)</f>
        <v>0</v>
      </c>
    </row>
    <row r="1017" customFormat="false" ht="15" hidden="false" customHeight="false" outlineLevel="0" collapsed="false">
      <c r="A1017" s="5" t="s">
        <v>1151</v>
      </c>
      <c r="B1017" s="5" t="s">
        <v>46</v>
      </c>
      <c r="C1017" s="7" t="n">
        <v>45972</v>
      </c>
      <c r="D1017" s="8" t="str">
        <f aca="false">INDEX(Dim_Supplier!$C$2:$C$21,MATCH(B1017,Dim_Supplier!$A$2:$A$21,0))</f>
        <v>Raw Materials</v>
      </c>
      <c r="E1017" s="8" t="str">
        <f aca="false">INDEX(Dim_Supplier!$B$2:$B$21,MATCH(B1017,Dim_Supplier!$A$2:$A$21,0))</f>
        <v>Niagara Alloy Supply</v>
      </c>
      <c r="F1017" s="5" t="s">
        <v>139</v>
      </c>
      <c r="G1017" s="5" t="s">
        <v>129</v>
      </c>
      <c r="H1017" s="8" t="n">
        <f aca="false">INDEX(Lookup_Tables!$B$2:$B$5,MATCH(D1017,Lookup_Tables!$A$2:$A$5,0))</f>
        <v>21</v>
      </c>
      <c r="I1017" s="9" t="n">
        <f aca="false">C1017+H1017</f>
        <v>45993</v>
      </c>
      <c r="J1017" s="5" t="n">
        <v>0</v>
      </c>
      <c r="K1017" s="9" t="n">
        <f aca="false">I1017+J1017</f>
        <v>45993</v>
      </c>
      <c r="L1017" s="5" t="n">
        <v>402</v>
      </c>
      <c r="M1017" s="10" t="n">
        <f aca="false">INDEX(Dim_Supplier!$F$2:$F$21,MATCH(B1017,Dim_Supplier!$A$2:$A$21,0))</f>
        <v>46.5</v>
      </c>
      <c r="N1017" s="11" t="n">
        <v>0.048</v>
      </c>
      <c r="O1017" s="10" t="n">
        <f aca="false">M1017*(1+N1017)</f>
        <v>48.732</v>
      </c>
      <c r="P1017" s="10" t="n">
        <f aca="false">O1017*L1017</f>
        <v>19590.264</v>
      </c>
      <c r="Q1017" s="5" t="s">
        <v>113</v>
      </c>
      <c r="R1017" s="5" t="n">
        <v>0</v>
      </c>
      <c r="S1017" s="5" t="n">
        <v>45</v>
      </c>
      <c r="T1017" s="12" t="n">
        <f aca="false">(O1017-M1017)/M1017</f>
        <v>0.048</v>
      </c>
      <c r="U1017" s="8" t="n">
        <f aca="false">IF(AND(K1017&lt;=I1017,R1017=0),1,0)</f>
        <v>1</v>
      </c>
      <c r="V1017" s="10" t="n">
        <f aca="false">IF(Q1017="No",P1017,0)</f>
        <v>0</v>
      </c>
    </row>
    <row r="1018" customFormat="false" ht="15" hidden="false" customHeight="false" outlineLevel="0" collapsed="false">
      <c r="A1018" s="5" t="s">
        <v>1152</v>
      </c>
      <c r="B1018" s="5" t="s">
        <v>75</v>
      </c>
      <c r="C1018" s="7" t="n">
        <v>45561</v>
      </c>
      <c r="D1018" s="8" t="str">
        <f aca="false">INDEX(Dim_Supplier!$C$2:$C$21,MATCH(B1018,Dim_Supplier!$A$2:$A$21,0))</f>
        <v>MRO</v>
      </c>
      <c r="E1018" s="8" t="str">
        <f aca="false">INDEX(Dim_Supplier!$B$2:$B$21,MATCH(B1018,Dim_Supplier!$A$2:$A$21,0))</f>
        <v>Sterling Lubricants Inc.</v>
      </c>
      <c r="F1018" s="5" t="s">
        <v>132</v>
      </c>
      <c r="G1018" s="5" t="s">
        <v>129</v>
      </c>
      <c r="H1018" s="8" t="n">
        <f aca="false">INDEX(Lookup_Tables!$B$2:$B$5,MATCH(D1018,Lookup_Tables!$A$2:$A$5,0))</f>
        <v>10</v>
      </c>
      <c r="I1018" s="9" t="n">
        <f aca="false">C1018+H1018</f>
        <v>45571</v>
      </c>
      <c r="J1018" s="5" t="n">
        <v>2</v>
      </c>
      <c r="K1018" s="9" t="n">
        <f aca="false">I1018+J1018</f>
        <v>45573</v>
      </c>
      <c r="L1018" s="5" t="n">
        <v>37</v>
      </c>
      <c r="M1018" s="10" t="n">
        <f aca="false">INDEX(Dim_Supplier!$F$2:$F$21,MATCH(B1018,Dim_Supplier!$A$2:$A$21,0))</f>
        <v>27.1</v>
      </c>
      <c r="N1018" s="11" t="n">
        <v>0.0165</v>
      </c>
      <c r="O1018" s="10" t="n">
        <f aca="false">M1018*(1+N1018)</f>
        <v>27.54715</v>
      </c>
      <c r="P1018" s="10" t="n">
        <f aca="false">O1018*L1018</f>
        <v>1019.24455</v>
      </c>
      <c r="Q1018" s="5" t="s">
        <v>113</v>
      </c>
      <c r="R1018" s="5" t="n">
        <v>0</v>
      </c>
      <c r="S1018" s="5" t="n">
        <v>45</v>
      </c>
      <c r="T1018" s="12" t="n">
        <f aca="false">(O1018-M1018)/M1018</f>
        <v>0.0165</v>
      </c>
      <c r="U1018" s="8" t="n">
        <f aca="false">IF(AND(K1018&lt;=I1018,R1018=0),1,0)</f>
        <v>0</v>
      </c>
      <c r="V1018" s="10" t="n">
        <f aca="false">IF(Q1018="No",P1018,0)</f>
        <v>0</v>
      </c>
    </row>
    <row r="1019" customFormat="false" ht="15" hidden="false" customHeight="false" outlineLevel="0" collapsed="false">
      <c r="A1019" s="5" t="s">
        <v>1153</v>
      </c>
      <c r="B1019" s="5" t="s">
        <v>41</v>
      </c>
      <c r="C1019" s="7" t="n">
        <v>46055</v>
      </c>
      <c r="D1019" s="8" t="str">
        <f aca="false">INDEX(Dim_Supplier!$C$2:$C$21,MATCH(B1019,Dim_Supplier!$A$2:$A$21,0))</f>
        <v>Raw Materials</v>
      </c>
      <c r="E1019" s="8" t="str">
        <f aca="false">INDEX(Dim_Supplier!$B$2:$B$21,MATCH(B1019,Dim_Supplier!$A$2:$A$21,0))</f>
        <v>Ontario Steel Partners</v>
      </c>
      <c r="F1019" s="5" t="s">
        <v>115</v>
      </c>
      <c r="G1019" s="5" t="s">
        <v>125</v>
      </c>
      <c r="H1019" s="8" t="n">
        <f aca="false">INDEX(Lookup_Tables!$B$2:$B$5,MATCH(D1019,Lookup_Tables!$A$2:$A$5,0))</f>
        <v>21</v>
      </c>
      <c r="I1019" s="9" t="n">
        <f aca="false">C1019+H1019</f>
        <v>46076</v>
      </c>
      <c r="J1019" s="5" t="n">
        <v>-4</v>
      </c>
      <c r="K1019" s="9" t="n">
        <f aca="false">I1019+J1019</f>
        <v>46072</v>
      </c>
      <c r="L1019" s="5" t="n">
        <v>1330</v>
      </c>
      <c r="M1019" s="10" t="n">
        <f aca="false">INDEX(Dim_Supplier!$F$2:$F$21,MATCH(B1019,Dim_Supplier!$A$2:$A$21,0))</f>
        <v>58</v>
      </c>
      <c r="N1019" s="11" t="n">
        <v>-0.0226</v>
      </c>
      <c r="O1019" s="10" t="n">
        <f aca="false">M1019*(1+N1019)</f>
        <v>56.6892</v>
      </c>
      <c r="P1019" s="10" t="n">
        <f aca="false">O1019*L1019</f>
        <v>75396.636</v>
      </c>
      <c r="Q1019" s="5" t="s">
        <v>113</v>
      </c>
      <c r="R1019" s="5" t="n">
        <v>0</v>
      </c>
      <c r="S1019" s="5" t="n">
        <v>60</v>
      </c>
      <c r="T1019" s="12" t="n">
        <f aca="false">(O1019-M1019)/M1019</f>
        <v>-0.0226</v>
      </c>
      <c r="U1019" s="8" t="n">
        <f aca="false">IF(AND(K1019&lt;=I1019,R1019=0),1,0)</f>
        <v>1</v>
      </c>
      <c r="V1019" s="10" t="n">
        <f aca="false">IF(Q1019="No",P1019,0)</f>
        <v>0</v>
      </c>
    </row>
    <row r="1020" customFormat="false" ht="15" hidden="false" customHeight="false" outlineLevel="0" collapsed="false">
      <c r="A1020" s="5" t="s">
        <v>1154</v>
      </c>
      <c r="B1020" s="5" t="s">
        <v>88</v>
      </c>
      <c r="C1020" s="7" t="n">
        <v>45882</v>
      </c>
      <c r="D1020" s="8" t="str">
        <f aca="false">INDEX(Dim_Supplier!$C$2:$C$21,MATCH(B1020,Dim_Supplier!$A$2:$A$21,0))</f>
        <v>Logistics</v>
      </c>
      <c r="E1020" s="8" t="str">
        <f aca="false">INDEX(Dim_Supplier!$B$2:$B$21,MATCH(B1020,Dim_Supplier!$A$2:$A$21,0))</f>
        <v>Summit Last-Mile Delivery</v>
      </c>
      <c r="F1020" s="5" t="s">
        <v>124</v>
      </c>
      <c r="G1020" s="5" t="s">
        <v>120</v>
      </c>
      <c r="H1020" s="8" t="n">
        <f aca="false">INDEX(Lookup_Tables!$B$2:$B$5,MATCH(D1020,Lookup_Tables!$A$2:$A$5,0))</f>
        <v>5</v>
      </c>
      <c r="I1020" s="9" t="n">
        <f aca="false">C1020+H1020</f>
        <v>45887</v>
      </c>
      <c r="J1020" s="5" t="n">
        <v>-1</v>
      </c>
      <c r="K1020" s="9" t="n">
        <f aca="false">I1020+J1020</f>
        <v>45886</v>
      </c>
      <c r="L1020" s="5" t="n">
        <v>20</v>
      </c>
      <c r="M1020" s="10" t="n">
        <f aca="false">INDEX(Dim_Supplier!$F$2:$F$21,MATCH(B1020,Dim_Supplier!$A$2:$A$21,0))</f>
        <v>95</v>
      </c>
      <c r="N1020" s="11" t="n">
        <v>0.0367</v>
      </c>
      <c r="O1020" s="10" t="n">
        <f aca="false">M1020*(1+N1020)</f>
        <v>98.4865</v>
      </c>
      <c r="P1020" s="10" t="n">
        <f aca="false">O1020*L1020</f>
        <v>1969.73</v>
      </c>
      <c r="Q1020" s="5" t="s">
        <v>113</v>
      </c>
      <c r="R1020" s="5" t="n">
        <v>0</v>
      </c>
      <c r="S1020" s="5" t="n">
        <v>45</v>
      </c>
      <c r="T1020" s="12" t="n">
        <f aca="false">(O1020-M1020)/M1020</f>
        <v>0.0366999999999999</v>
      </c>
      <c r="U1020" s="8" t="n">
        <f aca="false">IF(AND(K1020&lt;=I1020,R1020=0),1,0)</f>
        <v>1</v>
      </c>
      <c r="V1020" s="10" t="n">
        <f aca="false">IF(Q1020="No",P1020,0)</f>
        <v>0</v>
      </c>
    </row>
    <row r="1021" customFormat="false" ht="15" hidden="false" customHeight="false" outlineLevel="0" collapsed="false">
      <c r="A1021" s="5" t="s">
        <v>1155</v>
      </c>
      <c r="B1021" s="5" t="s">
        <v>73</v>
      </c>
      <c r="C1021" s="7" t="n">
        <v>45758</v>
      </c>
      <c r="D1021" s="8" t="str">
        <f aca="false">INDEX(Dim_Supplier!$C$2:$C$21,MATCH(B1021,Dim_Supplier!$A$2:$A$21,0))</f>
        <v>MRO</v>
      </c>
      <c r="E1021" s="8" t="str">
        <f aca="false">INDEX(Dim_Supplier!$B$2:$B$21,MATCH(B1021,Dim_Supplier!$A$2:$A$21,0))</f>
        <v>Frontier MRO Solutions</v>
      </c>
      <c r="F1021" s="5" t="s">
        <v>179</v>
      </c>
      <c r="G1021" s="5" t="s">
        <v>125</v>
      </c>
      <c r="H1021" s="8" t="n">
        <f aca="false">INDEX(Lookup_Tables!$B$2:$B$5,MATCH(D1021,Lookup_Tables!$A$2:$A$5,0))</f>
        <v>10</v>
      </c>
      <c r="I1021" s="9" t="n">
        <f aca="false">C1021+H1021</f>
        <v>45768</v>
      </c>
      <c r="J1021" s="5" t="n">
        <v>3</v>
      </c>
      <c r="K1021" s="9" t="n">
        <f aca="false">I1021+J1021</f>
        <v>45771</v>
      </c>
      <c r="L1021" s="5" t="n">
        <v>114</v>
      </c>
      <c r="M1021" s="10" t="n">
        <f aca="false">INDEX(Dim_Supplier!$F$2:$F$21,MATCH(B1021,Dim_Supplier!$A$2:$A$21,0))</f>
        <v>15.9</v>
      </c>
      <c r="N1021" s="11" t="n">
        <v>0.1801</v>
      </c>
      <c r="O1021" s="10" t="n">
        <f aca="false">M1021*(1+N1021)</f>
        <v>18.76359</v>
      </c>
      <c r="P1021" s="10" t="n">
        <f aca="false">O1021*L1021</f>
        <v>2139.04926</v>
      </c>
      <c r="Q1021" s="5" t="s">
        <v>133</v>
      </c>
      <c r="R1021" s="5" t="n">
        <v>0</v>
      </c>
      <c r="S1021" s="5" t="n">
        <v>30</v>
      </c>
      <c r="T1021" s="12" t="n">
        <f aca="false">(O1021-M1021)/M1021</f>
        <v>0.1801</v>
      </c>
      <c r="U1021" s="8" t="n">
        <f aca="false">IF(AND(K1021&lt;=I1021,R1021=0),1,0)</f>
        <v>0</v>
      </c>
      <c r="V1021" s="10" t="n">
        <f aca="false">IF(Q1021="No",P1021,0)</f>
        <v>2139.04926</v>
      </c>
    </row>
    <row r="1022" customFormat="false" ht="15" hidden="false" customHeight="false" outlineLevel="0" collapsed="false">
      <c r="A1022" s="5" t="s">
        <v>1156</v>
      </c>
      <c r="B1022" s="5" t="s">
        <v>49</v>
      </c>
      <c r="C1022" s="7" t="n">
        <v>45730</v>
      </c>
      <c r="D1022" s="8" t="str">
        <f aca="false">INDEX(Dim_Supplier!$C$2:$C$21,MATCH(B1022,Dim_Supplier!$A$2:$A$21,0))</f>
        <v>Raw Materials</v>
      </c>
      <c r="E1022" s="8" t="str">
        <f aca="false">INDEX(Dim_Supplier!$B$2:$B$21,MATCH(B1022,Dim_Supplier!$A$2:$A$21,0))</f>
        <v>Great Lakes Polymer Co.</v>
      </c>
      <c r="F1022" s="5" t="s">
        <v>139</v>
      </c>
      <c r="G1022" s="5" t="s">
        <v>112</v>
      </c>
      <c r="H1022" s="8" t="n">
        <f aca="false">INDEX(Lookup_Tables!$B$2:$B$5,MATCH(D1022,Lookup_Tables!$A$2:$A$5,0))</f>
        <v>21</v>
      </c>
      <c r="I1022" s="9" t="n">
        <f aca="false">C1022+H1022</f>
        <v>45751</v>
      </c>
      <c r="J1022" s="5" t="n">
        <v>3</v>
      </c>
      <c r="K1022" s="9" t="n">
        <f aca="false">I1022+J1022</f>
        <v>45754</v>
      </c>
      <c r="L1022" s="5" t="n">
        <v>992</v>
      </c>
      <c r="M1022" s="10" t="n">
        <f aca="false">INDEX(Dim_Supplier!$F$2:$F$21,MATCH(B1022,Dim_Supplier!$A$2:$A$21,0))</f>
        <v>32.75</v>
      </c>
      <c r="N1022" s="11" t="n">
        <v>0.1161</v>
      </c>
      <c r="O1022" s="10" t="n">
        <f aca="false">M1022*(1+N1022)</f>
        <v>36.552275</v>
      </c>
      <c r="P1022" s="10" t="n">
        <f aca="false">O1022*L1022</f>
        <v>36259.8568</v>
      </c>
      <c r="Q1022" s="5" t="s">
        <v>113</v>
      </c>
      <c r="R1022" s="5" t="n">
        <v>0</v>
      </c>
      <c r="S1022" s="5" t="n">
        <v>45</v>
      </c>
      <c r="T1022" s="12" t="n">
        <f aca="false">(O1022-M1022)/M1022</f>
        <v>0.1161</v>
      </c>
      <c r="U1022" s="8" t="n">
        <f aca="false">IF(AND(K1022&lt;=I1022,R1022=0),1,0)</f>
        <v>0</v>
      </c>
      <c r="V1022" s="10" t="n">
        <f aca="false">IF(Q1022="No",P1022,0)</f>
        <v>0</v>
      </c>
    </row>
    <row r="1023" customFormat="false" ht="15" hidden="false" customHeight="false" outlineLevel="0" collapsed="false">
      <c r="A1023" s="5" t="s">
        <v>1157</v>
      </c>
      <c r="B1023" s="5" t="s">
        <v>62</v>
      </c>
      <c r="C1023" s="7" t="n">
        <v>45582</v>
      </c>
      <c r="D1023" s="8" t="str">
        <f aca="false">INDEX(Dim_Supplier!$C$2:$C$21,MATCH(B1023,Dim_Supplier!$A$2:$A$21,0))</f>
        <v>Packaging</v>
      </c>
      <c r="E1023" s="8" t="str">
        <f aca="false">INDEX(Dim_Supplier!$B$2:$B$21,MATCH(B1023,Dim_Supplier!$A$2:$A$21,0))</f>
        <v>Trillium Packaging Solutions</v>
      </c>
      <c r="F1023" s="5" t="s">
        <v>122</v>
      </c>
      <c r="G1023" s="5" t="s">
        <v>129</v>
      </c>
      <c r="H1023" s="8" t="n">
        <f aca="false">INDEX(Lookup_Tables!$B$2:$B$5,MATCH(D1023,Lookup_Tables!$A$2:$A$5,0))</f>
        <v>14</v>
      </c>
      <c r="I1023" s="9" t="n">
        <f aca="false">C1023+H1023</f>
        <v>45596</v>
      </c>
      <c r="J1023" s="5" t="n">
        <v>1</v>
      </c>
      <c r="K1023" s="9" t="n">
        <f aca="false">I1023+J1023</f>
        <v>45597</v>
      </c>
      <c r="L1023" s="5" t="n">
        <v>1350</v>
      </c>
      <c r="M1023" s="10" t="n">
        <f aca="false">INDEX(Dim_Supplier!$F$2:$F$21,MATCH(B1023,Dim_Supplier!$A$2:$A$21,0))</f>
        <v>5.6</v>
      </c>
      <c r="N1023" s="11" t="n">
        <v>0.0189</v>
      </c>
      <c r="O1023" s="10" t="n">
        <f aca="false">M1023*(1+N1023)</f>
        <v>5.70584</v>
      </c>
      <c r="P1023" s="10" t="n">
        <f aca="false">O1023*L1023</f>
        <v>7702.884</v>
      </c>
      <c r="Q1023" s="5" t="s">
        <v>113</v>
      </c>
      <c r="R1023" s="5" t="n">
        <v>53</v>
      </c>
      <c r="S1023" s="5" t="n">
        <v>30</v>
      </c>
      <c r="T1023" s="12" t="n">
        <f aca="false">(O1023-M1023)/M1023</f>
        <v>0.0188999999999999</v>
      </c>
      <c r="U1023" s="8" t="n">
        <f aca="false">IF(AND(K1023&lt;=I1023,R1023=0),1,0)</f>
        <v>0</v>
      </c>
      <c r="V1023" s="10" t="n">
        <f aca="false">IF(Q1023="No",P1023,0)</f>
        <v>0</v>
      </c>
    </row>
    <row r="1024" customFormat="false" ht="15" hidden="false" customHeight="false" outlineLevel="0" collapsed="false">
      <c r="A1024" s="5" t="s">
        <v>1158</v>
      </c>
      <c r="B1024" s="5" t="s">
        <v>77</v>
      </c>
      <c r="C1024" s="7" t="n">
        <v>45930</v>
      </c>
      <c r="D1024" s="8" t="str">
        <f aca="false">INDEX(Dim_Supplier!$C$2:$C$21,MATCH(B1024,Dim_Supplier!$A$2:$A$21,0))</f>
        <v>MRO</v>
      </c>
      <c r="E1024" s="8" t="str">
        <f aca="false">INDEX(Dim_Supplier!$B$2:$B$21,MATCH(B1024,Dim_Supplier!$A$2:$A$21,0))</f>
        <v>Apex Industrial Supply</v>
      </c>
      <c r="F1024" s="5" t="s">
        <v>132</v>
      </c>
      <c r="G1024" s="5" t="s">
        <v>129</v>
      </c>
      <c r="H1024" s="8" t="n">
        <f aca="false">INDEX(Lookup_Tables!$B$2:$B$5,MATCH(D1024,Lookup_Tables!$A$2:$A$5,0))</f>
        <v>10</v>
      </c>
      <c r="I1024" s="9" t="n">
        <f aca="false">C1024+H1024</f>
        <v>45940</v>
      </c>
      <c r="J1024" s="5" t="n">
        <v>-3</v>
      </c>
      <c r="K1024" s="9" t="n">
        <f aca="false">I1024+J1024</f>
        <v>45937</v>
      </c>
      <c r="L1024" s="5" t="n">
        <v>13</v>
      </c>
      <c r="M1024" s="10" t="n">
        <f aca="false">INDEX(Dim_Supplier!$F$2:$F$21,MATCH(B1024,Dim_Supplier!$A$2:$A$21,0))</f>
        <v>24.6</v>
      </c>
      <c r="N1024" s="11" t="n">
        <v>0.0324</v>
      </c>
      <c r="O1024" s="10" t="n">
        <f aca="false">M1024*(1+N1024)</f>
        <v>25.39704</v>
      </c>
      <c r="P1024" s="10" t="n">
        <f aca="false">O1024*L1024</f>
        <v>330.16152</v>
      </c>
      <c r="Q1024" s="5" t="s">
        <v>113</v>
      </c>
      <c r="R1024" s="5" t="n">
        <v>0</v>
      </c>
      <c r="S1024" s="5" t="n">
        <v>30</v>
      </c>
      <c r="T1024" s="12" t="n">
        <f aca="false">(O1024-M1024)/M1024</f>
        <v>0.0324</v>
      </c>
      <c r="U1024" s="8" t="n">
        <f aca="false">IF(AND(K1024&lt;=I1024,R1024=0),1,0)</f>
        <v>1</v>
      </c>
      <c r="V1024" s="10" t="n">
        <f aca="false">IF(Q1024="No",P1024,0)</f>
        <v>0</v>
      </c>
    </row>
    <row r="1025" customFormat="false" ht="15" hidden="false" customHeight="false" outlineLevel="0" collapsed="false">
      <c r="A1025" s="5" t="s">
        <v>1159</v>
      </c>
      <c r="B1025" s="5" t="s">
        <v>79</v>
      </c>
      <c r="C1025" s="7" t="n">
        <v>45856</v>
      </c>
      <c r="D1025" s="8" t="str">
        <f aca="false">INDEX(Dim_Supplier!$C$2:$C$21,MATCH(B1025,Dim_Supplier!$A$2:$A$21,0))</f>
        <v>Logistics</v>
      </c>
      <c r="E1025" s="8" t="str">
        <f aca="false">INDEX(Dim_Supplier!$B$2:$B$21,MATCH(B1025,Dim_Supplier!$A$2:$A$21,0))</f>
        <v>Niagara Freight Solutions</v>
      </c>
      <c r="F1025" s="5" t="s">
        <v>237</v>
      </c>
      <c r="G1025" s="5" t="s">
        <v>129</v>
      </c>
      <c r="H1025" s="8" t="n">
        <f aca="false">INDEX(Lookup_Tables!$B$2:$B$5,MATCH(D1025,Lookup_Tables!$A$2:$A$5,0))</f>
        <v>5</v>
      </c>
      <c r="I1025" s="9" t="n">
        <f aca="false">C1025+H1025</f>
        <v>45861</v>
      </c>
      <c r="J1025" s="5" t="n">
        <v>-1</v>
      </c>
      <c r="K1025" s="9" t="n">
        <f aca="false">I1025+J1025</f>
        <v>45860</v>
      </c>
      <c r="L1025" s="5" t="n">
        <v>8</v>
      </c>
      <c r="M1025" s="10" t="n">
        <f aca="false">INDEX(Dim_Supplier!$F$2:$F$21,MATCH(B1025,Dim_Supplier!$A$2:$A$21,0))</f>
        <v>340</v>
      </c>
      <c r="N1025" s="11" t="n">
        <v>0.0312</v>
      </c>
      <c r="O1025" s="10" t="n">
        <f aca="false">M1025*(1+N1025)</f>
        <v>350.608</v>
      </c>
      <c r="P1025" s="10" t="n">
        <f aca="false">O1025*L1025</f>
        <v>2804.864</v>
      </c>
      <c r="Q1025" s="5" t="s">
        <v>113</v>
      </c>
      <c r="R1025" s="5" t="n">
        <v>0</v>
      </c>
      <c r="S1025" s="5" t="n">
        <v>30</v>
      </c>
      <c r="T1025" s="12" t="n">
        <f aca="false">(O1025-M1025)/M1025</f>
        <v>0.0311999999999998</v>
      </c>
      <c r="U1025" s="8" t="n">
        <f aca="false">IF(AND(K1025&lt;=I1025,R1025=0),1,0)</f>
        <v>1</v>
      </c>
      <c r="V1025" s="10" t="n">
        <f aca="false">IF(Q1025="No",P1025,0)</f>
        <v>0</v>
      </c>
    </row>
    <row r="1026" customFormat="false" ht="15" hidden="false" customHeight="false" outlineLevel="0" collapsed="false">
      <c r="A1026" s="5" t="s">
        <v>1160</v>
      </c>
      <c r="B1026" s="5" t="s">
        <v>86</v>
      </c>
      <c r="C1026" s="7" t="n">
        <v>45952</v>
      </c>
      <c r="D1026" s="8" t="str">
        <f aca="false">INDEX(Dim_Supplier!$C$2:$C$21,MATCH(B1026,Dim_Supplier!$A$2:$A$21,0))</f>
        <v>Logistics</v>
      </c>
      <c r="E1026" s="8" t="str">
        <f aca="false">INDEX(Dim_Supplier!$B$2:$B$21,MATCH(B1026,Dim_Supplier!$A$2:$A$21,0))</f>
        <v>Blue Water Customs Brokerage</v>
      </c>
      <c r="F1026" s="5" t="s">
        <v>237</v>
      </c>
      <c r="G1026" s="5" t="s">
        <v>129</v>
      </c>
      <c r="H1026" s="8" t="n">
        <f aca="false">INDEX(Lookup_Tables!$B$2:$B$5,MATCH(D1026,Lookup_Tables!$A$2:$A$5,0))</f>
        <v>5</v>
      </c>
      <c r="I1026" s="9" t="n">
        <f aca="false">C1026+H1026</f>
        <v>45957</v>
      </c>
      <c r="J1026" s="5" t="n">
        <v>1</v>
      </c>
      <c r="K1026" s="9" t="n">
        <f aca="false">I1026+J1026</f>
        <v>45958</v>
      </c>
      <c r="L1026" s="5" t="n">
        <v>33</v>
      </c>
      <c r="M1026" s="10" t="n">
        <f aca="false">INDEX(Dim_Supplier!$F$2:$F$21,MATCH(B1026,Dim_Supplier!$A$2:$A$21,0))</f>
        <v>175</v>
      </c>
      <c r="N1026" s="11" t="n">
        <v>-0.0029</v>
      </c>
      <c r="O1026" s="10" t="n">
        <f aca="false">M1026*(1+N1026)</f>
        <v>174.4925</v>
      </c>
      <c r="P1026" s="10" t="n">
        <f aca="false">O1026*L1026</f>
        <v>5758.2525</v>
      </c>
      <c r="Q1026" s="5" t="s">
        <v>113</v>
      </c>
      <c r="R1026" s="5" t="n">
        <v>0</v>
      </c>
      <c r="S1026" s="5" t="n">
        <v>30</v>
      </c>
      <c r="T1026" s="12" t="n">
        <f aca="false">(O1026-M1026)/M1026</f>
        <v>-0.00289999999999996</v>
      </c>
      <c r="U1026" s="8" t="n">
        <f aca="false">IF(AND(K1026&lt;=I1026,R1026=0),1,0)</f>
        <v>0</v>
      </c>
      <c r="V1026" s="10" t="n">
        <f aca="false">IF(Q1026="No",P1026,0)</f>
        <v>0</v>
      </c>
    </row>
    <row r="1027" customFormat="false" ht="15" hidden="false" customHeight="false" outlineLevel="0" collapsed="false">
      <c r="A1027" s="5" t="s">
        <v>1161</v>
      </c>
      <c r="B1027" s="5" t="s">
        <v>82</v>
      </c>
      <c r="C1027" s="7" t="n">
        <v>46106</v>
      </c>
      <c r="D1027" s="8" t="str">
        <f aca="false">INDEX(Dim_Supplier!$C$2:$C$21,MATCH(B1027,Dim_Supplier!$A$2:$A$21,0))</f>
        <v>Logistics</v>
      </c>
      <c r="E1027" s="8" t="str">
        <f aca="false">INDEX(Dim_Supplier!$B$2:$B$21,MATCH(B1027,Dim_Supplier!$A$2:$A$21,0))</f>
        <v>Maple Route Logistics</v>
      </c>
      <c r="F1027" s="5" t="s">
        <v>237</v>
      </c>
      <c r="G1027" s="5" t="s">
        <v>112</v>
      </c>
      <c r="H1027" s="8" t="n">
        <f aca="false">INDEX(Lookup_Tables!$B$2:$B$5,MATCH(D1027,Lookup_Tables!$A$2:$A$5,0))</f>
        <v>5</v>
      </c>
      <c r="I1027" s="9" t="n">
        <f aca="false">C1027+H1027</f>
        <v>46111</v>
      </c>
      <c r="J1027" s="5" t="n">
        <v>3</v>
      </c>
      <c r="K1027" s="9" t="n">
        <f aca="false">I1027+J1027</f>
        <v>46114</v>
      </c>
      <c r="L1027" s="5" t="n">
        <v>3</v>
      </c>
      <c r="M1027" s="10" t="n">
        <f aca="false">INDEX(Dim_Supplier!$F$2:$F$21,MATCH(B1027,Dim_Supplier!$A$2:$A$21,0))</f>
        <v>285</v>
      </c>
      <c r="N1027" s="11" t="n">
        <v>0.0311</v>
      </c>
      <c r="O1027" s="10" t="n">
        <f aca="false">M1027*(1+N1027)</f>
        <v>293.8635</v>
      </c>
      <c r="P1027" s="10" t="n">
        <f aca="false">O1027*L1027</f>
        <v>881.5905</v>
      </c>
      <c r="Q1027" s="5" t="s">
        <v>113</v>
      </c>
      <c r="R1027" s="5" t="n">
        <v>0</v>
      </c>
      <c r="S1027" s="5" t="n">
        <v>30</v>
      </c>
      <c r="T1027" s="12" t="n">
        <f aca="false">(O1027-M1027)/M1027</f>
        <v>0.0311</v>
      </c>
      <c r="U1027" s="8" t="n">
        <f aca="false">IF(AND(K1027&lt;=I1027,R1027=0),1,0)</f>
        <v>0</v>
      </c>
      <c r="V1027" s="10" t="n">
        <f aca="false">IF(Q1027="No",P1027,0)</f>
        <v>0</v>
      </c>
    </row>
    <row r="1028" customFormat="false" ht="15" hidden="false" customHeight="false" outlineLevel="0" collapsed="false">
      <c r="A1028" s="5" t="s">
        <v>1162</v>
      </c>
      <c r="B1028" s="5" t="s">
        <v>79</v>
      </c>
      <c r="C1028" s="7" t="n">
        <v>46131</v>
      </c>
      <c r="D1028" s="8" t="str">
        <f aca="false">INDEX(Dim_Supplier!$C$2:$C$21,MATCH(B1028,Dim_Supplier!$A$2:$A$21,0))</f>
        <v>Logistics</v>
      </c>
      <c r="E1028" s="8" t="str">
        <f aca="false">INDEX(Dim_Supplier!$B$2:$B$21,MATCH(B1028,Dim_Supplier!$A$2:$A$21,0))</f>
        <v>Niagara Freight Solutions</v>
      </c>
      <c r="F1028" s="5" t="s">
        <v>185</v>
      </c>
      <c r="G1028" s="5" t="s">
        <v>120</v>
      </c>
      <c r="H1028" s="8" t="n">
        <f aca="false">INDEX(Lookup_Tables!$B$2:$B$5,MATCH(D1028,Lookup_Tables!$A$2:$A$5,0))</f>
        <v>5</v>
      </c>
      <c r="I1028" s="9" t="n">
        <f aca="false">C1028+H1028</f>
        <v>46136</v>
      </c>
      <c r="J1028" s="5" t="n">
        <v>-4</v>
      </c>
      <c r="K1028" s="9" t="n">
        <f aca="false">I1028+J1028</f>
        <v>46132</v>
      </c>
      <c r="L1028" s="5" t="n">
        <v>28</v>
      </c>
      <c r="M1028" s="10" t="n">
        <f aca="false">INDEX(Dim_Supplier!$F$2:$F$21,MATCH(B1028,Dim_Supplier!$A$2:$A$21,0))</f>
        <v>340</v>
      </c>
      <c r="N1028" s="11" t="n">
        <v>0.0535</v>
      </c>
      <c r="O1028" s="10" t="n">
        <f aca="false">M1028*(1+N1028)</f>
        <v>358.19</v>
      </c>
      <c r="P1028" s="10" t="n">
        <f aca="false">O1028*L1028</f>
        <v>10029.32</v>
      </c>
      <c r="Q1028" s="5" t="s">
        <v>113</v>
      </c>
      <c r="R1028" s="5" t="n">
        <v>0</v>
      </c>
      <c r="S1028" s="5" t="n">
        <v>30</v>
      </c>
      <c r="T1028" s="12" t="n">
        <f aca="false">(O1028-M1028)/M1028</f>
        <v>0.0535000000000002</v>
      </c>
      <c r="U1028" s="8" t="n">
        <f aca="false">IF(AND(K1028&lt;=I1028,R1028=0),1,0)</f>
        <v>1</v>
      </c>
      <c r="V1028" s="10" t="n">
        <f aca="false">IF(Q1028="No",P1028,0)</f>
        <v>0</v>
      </c>
    </row>
    <row r="1029" customFormat="false" ht="15" hidden="false" customHeight="false" outlineLevel="0" collapsed="false">
      <c r="A1029" s="5" t="s">
        <v>1163</v>
      </c>
      <c r="B1029" s="5" t="s">
        <v>73</v>
      </c>
      <c r="C1029" s="7" t="n">
        <v>46140</v>
      </c>
      <c r="D1029" s="8" t="str">
        <f aca="false">INDEX(Dim_Supplier!$C$2:$C$21,MATCH(B1029,Dim_Supplier!$A$2:$A$21,0))</f>
        <v>MRO</v>
      </c>
      <c r="E1029" s="8" t="str">
        <f aca="false">INDEX(Dim_Supplier!$B$2:$B$21,MATCH(B1029,Dim_Supplier!$A$2:$A$21,0))</f>
        <v>Frontier MRO Solutions</v>
      </c>
      <c r="F1029" s="5" t="s">
        <v>127</v>
      </c>
      <c r="G1029" s="5" t="s">
        <v>125</v>
      </c>
      <c r="H1029" s="8" t="n">
        <f aca="false">INDEX(Lookup_Tables!$B$2:$B$5,MATCH(D1029,Lookup_Tables!$A$2:$A$5,0))</f>
        <v>10</v>
      </c>
      <c r="I1029" s="9" t="n">
        <f aca="false">C1029+H1029</f>
        <v>46150</v>
      </c>
      <c r="J1029" s="5" t="n">
        <v>7</v>
      </c>
      <c r="K1029" s="9" t="n">
        <f aca="false">I1029+J1029</f>
        <v>46157</v>
      </c>
      <c r="L1029" s="5" t="n">
        <v>191</v>
      </c>
      <c r="M1029" s="10" t="n">
        <f aca="false">INDEX(Dim_Supplier!$F$2:$F$21,MATCH(B1029,Dim_Supplier!$A$2:$A$21,0))</f>
        <v>15.9</v>
      </c>
      <c r="N1029" s="11" t="n">
        <v>0.1706</v>
      </c>
      <c r="O1029" s="10" t="n">
        <f aca="false">M1029*(1+N1029)</f>
        <v>18.61254</v>
      </c>
      <c r="P1029" s="10" t="n">
        <f aca="false">O1029*L1029</f>
        <v>3554.99514</v>
      </c>
      <c r="Q1029" s="5" t="s">
        <v>113</v>
      </c>
      <c r="R1029" s="5" t="n">
        <v>0</v>
      </c>
      <c r="S1029" s="5" t="n">
        <v>45</v>
      </c>
      <c r="T1029" s="12" t="n">
        <f aca="false">(O1029-M1029)/M1029</f>
        <v>0.1706</v>
      </c>
      <c r="U1029" s="8" t="n">
        <f aca="false">IF(AND(K1029&lt;=I1029,R1029=0),1,0)</f>
        <v>0</v>
      </c>
      <c r="V1029" s="10" t="n">
        <f aca="false">IF(Q1029="No",P1029,0)</f>
        <v>0</v>
      </c>
    </row>
    <row r="1030" customFormat="false" ht="15" hidden="false" customHeight="false" outlineLevel="0" collapsed="false">
      <c r="A1030" s="5" t="s">
        <v>1164</v>
      </c>
      <c r="B1030" s="5" t="s">
        <v>62</v>
      </c>
      <c r="C1030" s="7" t="n">
        <v>45393</v>
      </c>
      <c r="D1030" s="8" t="str">
        <f aca="false">INDEX(Dim_Supplier!$C$2:$C$21,MATCH(B1030,Dim_Supplier!$A$2:$A$21,0))</f>
        <v>Packaging</v>
      </c>
      <c r="E1030" s="8" t="str">
        <f aca="false">INDEX(Dim_Supplier!$B$2:$B$21,MATCH(B1030,Dim_Supplier!$A$2:$A$21,0))</f>
        <v>Trillium Packaging Solutions</v>
      </c>
      <c r="F1030" s="5" t="s">
        <v>158</v>
      </c>
      <c r="G1030" s="5" t="s">
        <v>129</v>
      </c>
      <c r="H1030" s="8" t="n">
        <f aca="false">INDEX(Lookup_Tables!$B$2:$B$5,MATCH(D1030,Lookup_Tables!$A$2:$A$5,0))</f>
        <v>14</v>
      </c>
      <c r="I1030" s="9" t="n">
        <f aca="false">C1030+H1030</f>
        <v>45407</v>
      </c>
      <c r="J1030" s="5" t="n">
        <v>-4</v>
      </c>
      <c r="K1030" s="9" t="n">
        <f aca="false">I1030+J1030</f>
        <v>45403</v>
      </c>
      <c r="L1030" s="5" t="n">
        <v>2631</v>
      </c>
      <c r="M1030" s="10" t="n">
        <f aca="false">INDEX(Dim_Supplier!$F$2:$F$21,MATCH(B1030,Dim_Supplier!$A$2:$A$21,0))</f>
        <v>5.6</v>
      </c>
      <c r="N1030" s="11" t="n">
        <v>-0.0058</v>
      </c>
      <c r="O1030" s="10" t="n">
        <f aca="false">M1030*(1+N1030)</f>
        <v>5.56752</v>
      </c>
      <c r="P1030" s="10" t="n">
        <f aca="false">O1030*L1030</f>
        <v>14648.14512</v>
      </c>
      <c r="Q1030" s="5" t="s">
        <v>113</v>
      </c>
      <c r="R1030" s="5" t="n">
        <v>0</v>
      </c>
      <c r="S1030" s="5" t="n">
        <v>30</v>
      </c>
      <c r="T1030" s="12" t="n">
        <f aca="false">(O1030-M1030)/M1030</f>
        <v>-0.00580000000000009</v>
      </c>
      <c r="U1030" s="8" t="n">
        <f aca="false">IF(AND(K1030&lt;=I1030,R1030=0),1,0)</f>
        <v>1</v>
      </c>
      <c r="V1030" s="10" t="n">
        <f aca="false">IF(Q1030="No",P1030,0)</f>
        <v>0</v>
      </c>
    </row>
    <row r="1031" customFormat="false" ht="15" hidden="false" customHeight="false" outlineLevel="0" collapsed="false">
      <c r="A1031" s="5" t="s">
        <v>1165</v>
      </c>
      <c r="B1031" s="5" t="s">
        <v>46</v>
      </c>
      <c r="C1031" s="7" t="n">
        <v>45318</v>
      </c>
      <c r="D1031" s="8" t="str">
        <f aca="false">INDEX(Dim_Supplier!$C$2:$C$21,MATCH(B1031,Dim_Supplier!$A$2:$A$21,0))</f>
        <v>Raw Materials</v>
      </c>
      <c r="E1031" s="8" t="str">
        <f aca="false">INDEX(Dim_Supplier!$B$2:$B$21,MATCH(B1031,Dim_Supplier!$A$2:$A$21,0))</f>
        <v>Niagara Alloy Supply</v>
      </c>
      <c r="F1031" s="5" t="s">
        <v>142</v>
      </c>
      <c r="G1031" s="5" t="s">
        <v>129</v>
      </c>
      <c r="H1031" s="8" t="n">
        <f aca="false">INDEX(Lookup_Tables!$B$2:$B$5,MATCH(D1031,Lookup_Tables!$A$2:$A$5,0))</f>
        <v>21</v>
      </c>
      <c r="I1031" s="9" t="n">
        <f aca="false">C1031+H1031</f>
        <v>45339</v>
      </c>
      <c r="J1031" s="5" t="n">
        <v>-3</v>
      </c>
      <c r="K1031" s="9" t="n">
        <f aca="false">I1031+J1031</f>
        <v>45336</v>
      </c>
      <c r="L1031" s="5" t="n">
        <v>156</v>
      </c>
      <c r="M1031" s="10" t="n">
        <f aca="false">INDEX(Dim_Supplier!$F$2:$F$21,MATCH(B1031,Dim_Supplier!$A$2:$A$21,0))</f>
        <v>46.5</v>
      </c>
      <c r="N1031" s="11" t="n">
        <v>0.0106</v>
      </c>
      <c r="O1031" s="10" t="n">
        <f aca="false">M1031*(1+N1031)</f>
        <v>46.9929</v>
      </c>
      <c r="P1031" s="10" t="n">
        <f aca="false">O1031*L1031</f>
        <v>7330.8924</v>
      </c>
      <c r="Q1031" s="5" t="s">
        <v>113</v>
      </c>
      <c r="R1031" s="5" t="n">
        <v>0</v>
      </c>
      <c r="S1031" s="5" t="n">
        <v>60</v>
      </c>
      <c r="T1031" s="12" t="n">
        <f aca="false">(O1031-M1031)/M1031</f>
        <v>0.0106</v>
      </c>
      <c r="U1031" s="8" t="n">
        <f aca="false">IF(AND(K1031&lt;=I1031,R1031=0),1,0)</f>
        <v>1</v>
      </c>
      <c r="V1031" s="10" t="n">
        <f aca="false">IF(Q1031="No",P1031,0)</f>
        <v>0</v>
      </c>
    </row>
    <row r="1032" customFormat="false" ht="15" hidden="false" customHeight="false" outlineLevel="0" collapsed="false">
      <c r="A1032" s="5" t="s">
        <v>1166</v>
      </c>
      <c r="B1032" s="5" t="s">
        <v>68</v>
      </c>
      <c r="C1032" s="7" t="n">
        <v>45317</v>
      </c>
      <c r="D1032" s="8" t="str">
        <f aca="false">INDEX(Dim_Supplier!$C$2:$C$21,MATCH(B1032,Dim_Supplier!$A$2:$A$21,0))</f>
        <v>MRO</v>
      </c>
      <c r="E1032" s="8" t="str">
        <f aca="false">INDEX(Dim_Supplier!$B$2:$B$21,MATCH(B1032,Dim_Supplier!$A$2:$A$21,0))</f>
        <v>Precision Tool &amp; Supply</v>
      </c>
      <c r="F1032" s="5" t="s">
        <v>164</v>
      </c>
      <c r="G1032" s="5" t="s">
        <v>125</v>
      </c>
      <c r="H1032" s="8" t="n">
        <f aca="false">INDEX(Lookup_Tables!$B$2:$B$5,MATCH(D1032,Lookup_Tables!$A$2:$A$5,0))</f>
        <v>10</v>
      </c>
      <c r="I1032" s="9" t="n">
        <f aca="false">C1032+H1032</f>
        <v>45327</v>
      </c>
      <c r="J1032" s="5" t="n">
        <v>-4</v>
      </c>
      <c r="K1032" s="9" t="n">
        <f aca="false">I1032+J1032</f>
        <v>45323</v>
      </c>
      <c r="L1032" s="5" t="n">
        <v>52</v>
      </c>
      <c r="M1032" s="10" t="n">
        <f aca="false">INDEX(Dim_Supplier!$F$2:$F$21,MATCH(B1032,Dim_Supplier!$A$2:$A$21,0))</f>
        <v>22.4</v>
      </c>
      <c r="N1032" s="11" t="n">
        <v>-0.0159</v>
      </c>
      <c r="O1032" s="10" t="n">
        <f aca="false">M1032*(1+N1032)</f>
        <v>22.04384</v>
      </c>
      <c r="P1032" s="10" t="n">
        <f aca="false">O1032*L1032</f>
        <v>1146.27968</v>
      </c>
      <c r="Q1032" s="5" t="s">
        <v>113</v>
      </c>
      <c r="R1032" s="5" t="n">
        <v>0</v>
      </c>
      <c r="S1032" s="5" t="n">
        <v>30</v>
      </c>
      <c r="T1032" s="12" t="n">
        <f aca="false">(O1032-M1032)/M1032</f>
        <v>-0.0159</v>
      </c>
      <c r="U1032" s="8" t="n">
        <f aca="false">IF(AND(K1032&lt;=I1032,R1032=0),1,0)</f>
        <v>1</v>
      </c>
      <c r="V1032" s="10" t="n">
        <f aca="false">IF(Q1032="No",P1032,0)</f>
        <v>0</v>
      </c>
    </row>
    <row r="1033" customFormat="false" ht="15" hidden="false" customHeight="false" outlineLevel="0" collapsed="false">
      <c r="A1033" s="5" t="s">
        <v>1167</v>
      </c>
      <c r="B1033" s="5" t="s">
        <v>68</v>
      </c>
      <c r="C1033" s="7" t="n">
        <v>45543</v>
      </c>
      <c r="D1033" s="8" t="str">
        <f aca="false">INDEX(Dim_Supplier!$C$2:$C$21,MATCH(B1033,Dim_Supplier!$A$2:$A$21,0))</f>
        <v>MRO</v>
      </c>
      <c r="E1033" s="8" t="str">
        <f aca="false">INDEX(Dim_Supplier!$B$2:$B$21,MATCH(B1033,Dim_Supplier!$A$2:$A$21,0))</f>
        <v>Precision Tool &amp; Supply</v>
      </c>
      <c r="F1033" s="5" t="s">
        <v>179</v>
      </c>
      <c r="G1033" s="5" t="s">
        <v>120</v>
      </c>
      <c r="H1033" s="8" t="n">
        <f aca="false">INDEX(Lookup_Tables!$B$2:$B$5,MATCH(D1033,Lookup_Tables!$A$2:$A$5,0))</f>
        <v>10</v>
      </c>
      <c r="I1033" s="9" t="n">
        <f aca="false">C1033+H1033</f>
        <v>45553</v>
      </c>
      <c r="J1033" s="5" t="n">
        <v>-4</v>
      </c>
      <c r="K1033" s="9" t="n">
        <f aca="false">I1033+J1033</f>
        <v>45549</v>
      </c>
      <c r="L1033" s="5" t="n">
        <v>41</v>
      </c>
      <c r="M1033" s="10" t="n">
        <f aca="false">INDEX(Dim_Supplier!$F$2:$F$21,MATCH(B1033,Dim_Supplier!$A$2:$A$21,0))</f>
        <v>22.4</v>
      </c>
      <c r="N1033" s="11" t="n">
        <v>-0.0035</v>
      </c>
      <c r="O1033" s="10" t="n">
        <f aca="false">M1033*(1+N1033)</f>
        <v>22.3216</v>
      </c>
      <c r="P1033" s="10" t="n">
        <f aca="false">O1033*L1033</f>
        <v>915.1856</v>
      </c>
      <c r="Q1033" s="5" t="s">
        <v>113</v>
      </c>
      <c r="R1033" s="5" t="n">
        <v>0</v>
      </c>
      <c r="S1033" s="5" t="n">
        <v>45</v>
      </c>
      <c r="T1033" s="12" t="n">
        <f aca="false">(O1033-M1033)/M1033</f>
        <v>-0.00349999999999993</v>
      </c>
      <c r="U1033" s="8" t="n">
        <f aca="false">IF(AND(K1033&lt;=I1033,R1033=0),1,0)</f>
        <v>1</v>
      </c>
      <c r="V1033" s="10" t="n">
        <f aca="false">IF(Q1033="No",P1033,0)</f>
        <v>0</v>
      </c>
    </row>
    <row r="1034" customFormat="false" ht="15" hidden="false" customHeight="false" outlineLevel="0" collapsed="false">
      <c r="A1034" s="5" t="s">
        <v>1168</v>
      </c>
      <c r="B1034" s="5" t="s">
        <v>46</v>
      </c>
      <c r="C1034" s="7" t="n">
        <v>45762</v>
      </c>
      <c r="D1034" s="8" t="str">
        <f aca="false">INDEX(Dim_Supplier!$C$2:$C$21,MATCH(B1034,Dim_Supplier!$A$2:$A$21,0))</f>
        <v>Raw Materials</v>
      </c>
      <c r="E1034" s="8" t="str">
        <f aca="false">INDEX(Dim_Supplier!$B$2:$B$21,MATCH(B1034,Dim_Supplier!$A$2:$A$21,0))</f>
        <v>Niagara Alloy Supply</v>
      </c>
      <c r="F1034" s="5" t="s">
        <v>144</v>
      </c>
      <c r="G1034" s="5" t="s">
        <v>129</v>
      </c>
      <c r="H1034" s="8" t="n">
        <f aca="false">INDEX(Lookup_Tables!$B$2:$B$5,MATCH(D1034,Lookup_Tables!$A$2:$A$5,0))</f>
        <v>21</v>
      </c>
      <c r="I1034" s="9" t="n">
        <f aca="false">C1034+H1034</f>
        <v>45783</v>
      </c>
      <c r="J1034" s="5" t="n">
        <v>0</v>
      </c>
      <c r="K1034" s="9" t="n">
        <f aca="false">I1034+J1034</f>
        <v>45783</v>
      </c>
      <c r="L1034" s="5" t="n">
        <v>1932</v>
      </c>
      <c r="M1034" s="10" t="n">
        <f aca="false">INDEX(Dim_Supplier!$F$2:$F$21,MATCH(B1034,Dim_Supplier!$A$2:$A$21,0))</f>
        <v>46.5</v>
      </c>
      <c r="N1034" s="11" t="n">
        <v>0.0402</v>
      </c>
      <c r="O1034" s="10" t="n">
        <f aca="false">M1034*(1+N1034)</f>
        <v>48.3693</v>
      </c>
      <c r="P1034" s="10" t="n">
        <f aca="false">O1034*L1034</f>
        <v>93449.4876</v>
      </c>
      <c r="Q1034" s="5" t="s">
        <v>113</v>
      </c>
      <c r="R1034" s="5" t="n">
        <v>0</v>
      </c>
      <c r="S1034" s="5" t="n">
        <v>60</v>
      </c>
      <c r="T1034" s="12" t="n">
        <f aca="false">(O1034-M1034)/M1034</f>
        <v>0.0402000000000001</v>
      </c>
      <c r="U1034" s="8" t="n">
        <f aca="false">IF(AND(K1034&lt;=I1034,R1034=0),1,0)</f>
        <v>1</v>
      </c>
      <c r="V1034" s="10" t="n">
        <f aca="false">IF(Q1034="No",P1034,0)</f>
        <v>0</v>
      </c>
    </row>
    <row r="1035" customFormat="false" ht="15" hidden="false" customHeight="false" outlineLevel="0" collapsed="false">
      <c r="A1035" s="5" t="s">
        <v>1169</v>
      </c>
      <c r="B1035" s="5" t="s">
        <v>86</v>
      </c>
      <c r="C1035" s="7" t="n">
        <v>45504</v>
      </c>
      <c r="D1035" s="8" t="str">
        <f aca="false">INDEX(Dim_Supplier!$C$2:$C$21,MATCH(B1035,Dim_Supplier!$A$2:$A$21,0))</f>
        <v>Logistics</v>
      </c>
      <c r="E1035" s="8" t="str">
        <f aca="false">INDEX(Dim_Supplier!$B$2:$B$21,MATCH(B1035,Dim_Supplier!$A$2:$A$21,0))</f>
        <v>Blue Water Customs Brokerage</v>
      </c>
      <c r="F1035" s="5" t="s">
        <v>237</v>
      </c>
      <c r="G1035" s="5" t="s">
        <v>129</v>
      </c>
      <c r="H1035" s="8" t="n">
        <f aca="false">INDEX(Lookup_Tables!$B$2:$B$5,MATCH(D1035,Lookup_Tables!$A$2:$A$5,0))</f>
        <v>5</v>
      </c>
      <c r="I1035" s="9" t="n">
        <f aca="false">C1035+H1035</f>
        <v>45509</v>
      </c>
      <c r="J1035" s="5" t="n">
        <v>-2</v>
      </c>
      <c r="K1035" s="9" t="n">
        <f aca="false">I1035+J1035</f>
        <v>45507</v>
      </c>
      <c r="L1035" s="5" t="n">
        <v>5</v>
      </c>
      <c r="M1035" s="10" t="n">
        <f aca="false">INDEX(Dim_Supplier!$F$2:$F$21,MATCH(B1035,Dim_Supplier!$A$2:$A$21,0))</f>
        <v>175</v>
      </c>
      <c r="N1035" s="11" t="n">
        <v>0.0102</v>
      </c>
      <c r="O1035" s="10" t="n">
        <f aca="false">M1035*(1+N1035)</f>
        <v>176.785</v>
      </c>
      <c r="P1035" s="10" t="n">
        <f aca="false">O1035*L1035</f>
        <v>883.925</v>
      </c>
      <c r="Q1035" s="5" t="s">
        <v>113</v>
      </c>
      <c r="R1035" s="5" t="n">
        <v>0</v>
      </c>
      <c r="S1035" s="5" t="n">
        <v>30</v>
      </c>
      <c r="T1035" s="12" t="n">
        <f aca="false">(O1035-M1035)/M1035</f>
        <v>0.0102</v>
      </c>
      <c r="U1035" s="8" t="n">
        <f aca="false">IF(AND(K1035&lt;=I1035,R1035=0),1,0)</f>
        <v>1</v>
      </c>
      <c r="V1035" s="10" t="n">
        <f aca="false">IF(Q1035="No",P1035,0)</f>
        <v>0</v>
      </c>
    </row>
    <row r="1036" customFormat="false" ht="15" hidden="false" customHeight="false" outlineLevel="0" collapsed="false">
      <c r="A1036" s="5" t="s">
        <v>1170</v>
      </c>
      <c r="B1036" s="5" t="s">
        <v>62</v>
      </c>
      <c r="C1036" s="7" t="n">
        <v>46203</v>
      </c>
      <c r="D1036" s="8" t="str">
        <f aca="false">INDEX(Dim_Supplier!$C$2:$C$21,MATCH(B1036,Dim_Supplier!$A$2:$A$21,0))</f>
        <v>Packaging</v>
      </c>
      <c r="E1036" s="8" t="str">
        <f aca="false">INDEX(Dim_Supplier!$B$2:$B$21,MATCH(B1036,Dim_Supplier!$A$2:$A$21,0))</f>
        <v>Trillium Packaging Solutions</v>
      </c>
      <c r="F1036" s="5" t="s">
        <v>119</v>
      </c>
      <c r="G1036" s="5" t="s">
        <v>125</v>
      </c>
      <c r="H1036" s="8" t="n">
        <f aca="false">INDEX(Lookup_Tables!$B$2:$B$5,MATCH(D1036,Lookup_Tables!$A$2:$A$5,0))</f>
        <v>14</v>
      </c>
      <c r="I1036" s="9" t="n">
        <f aca="false">C1036+H1036</f>
        <v>46217</v>
      </c>
      <c r="J1036" s="5" t="n">
        <v>-3</v>
      </c>
      <c r="K1036" s="9" t="n">
        <f aca="false">I1036+J1036</f>
        <v>46214</v>
      </c>
      <c r="L1036" s="5" t="n">
        <v>583</v>
      </c>
      <c r="M1036" s="10" t="n">
        <f aca="false">INDEX(Dim_Supplier!$F$2:$F$21,MATCH(B1036,Dim_Supplier!$A$2:$A$21,0))</f>
        <v>5.6</v>
      </c>
      <c r="N1036" s="11" t="n">
        <v>0.0082</v>
      </c>
      <c r="O1036" s="10" t="n">
        <f aca="false">M1036*(1+N1036)</f>
        <v>5.64592</v>
      </c>
      <c r="P1036" s="10" t="n">
        <f aca="false">O1036*L1036</f>
        <v>3291.57136</v>
      </c>
      <c r="Q1036" s="5" t="s">
        <v>133</v>
      </c>
      <c r="R1036" s="5" t="n">
        <v>0</v>
      </c>
      <c r="S1036" s="5" t="n">
        <v>45</v>
      </c>
      <c r="T1036" s="12" t="n">
        <f aca="false">(O1036-M1036)/M1036</f>
        <v>0.00819999999999995</v>
      </c>
      <c r="U1036" s="8" t="n">
        <f aca="false">IF(AND(K1036&lt;=I1036,R1036=0),1,0)</f>
        <v>1</v>
      </c>
      <c r="V1036" s="10" t="n">
        <f aca="false">IF(Q1036="No",P1036,0)</f>
        <v>3291.57136</v>
      </c>
    </row>
    <row r="1037" customFormat="false" ht="15" hidden="false" customHeight="false" outlineLevel="0" collapsed="false">
      <c r="A1037" s="5" t="s">
        <v>1171</v>
      </c>
      <c r="B1037" s="5" t="s">
        <v>82</v>
      </c>
      <c r="C1037" s="7" t="n">
        <v>45412</v>
      </c>
      <c r="D1037" s="8" t="str">
        <f aca="false">INDEX(Dim_Supplier!$C$2:$C$21,MATCH(B1037,Dim_Supplier!$A$2:$A$21,0))</f>
        <v>Logistics</v>
      </c>
      <c r="E1037" s="8" t="str">
        <f aca="false">INDEX(Dim_Supplier!$B$2:$B$21,MATCH(B1037,Dim_Supplier!$A$2:$A$21,0))</f>
        <v>Maple Route Logistics</v>
      </c>
      <c r="F1037" s="5" t="s">
        <v>146</v>
      </c>
      <c r="G1037" s="5" t="s">
        <v>120</v>
      </c>
      <c r="H1037" s="8" t="n">
        <f aca="false">INDEX(Lookup_Tables!$B$2:$B$5,MATCH(D1037,Lookup_Tables!$A$2:$A$5,0))</f>
        <v>5</v>
      </c>
      <c r="I1037" s="9" t="n">
        <f aca="false">C1037+H1037</f>
        <v>45417</v>
      </c>
      <c r="J1037" s="5" t="n">
        <v>-4</v>
      </c>
      <c r="K1037" s="9" t="n">
        <f aca="false">I1037+J1037</f>
        <v>45413</v>
      </c>
      <c r="L1037" s="5" t="n">
        <v>35</v>
      </c>
      <c r="M1037" s="10" t="n">
        <f aca="false">INDEX(Dim_Supplier!$F$2:$F$21,MATCH(B1037,Dim_Supplier!$A$2:$A$21,0))</f>
        <v>285</v>
      </c>
      <c r="N1037" s="11" t="n">
        <v>0.0328</v>
      </c>
      <c r="O1037" s="10" t="n">
        <f aca="false">M1037*(1+N1037)</f>
        <v>294.348</v>
      </c>
      <c r="P1037" s="10" t="n">
        <f aca="false">O1037*L1037</f>
        <v>10302.18</v>
      </c>
      <c r="Q1037" s="5" t="s">
        <v>113</v>
      </c>
      <c r="R1037" s="5" t="n">
        <v>0</v>
      </c>
      <c r="S1037" s="5" t="n">
        <v>30</v>
      </c>
      <c r="T1037" s="12" t="n">
        <f aca="false">(O1037-M1037)/M1037</f>
        <v>0.0327999999999999</v>
      </c>
      <c r="U1037" s="8" t="n">
        <f aca="false">IF(AND(K1037&lt;=I1037,R1037=0),1,0)</f>
        <v>1</v>
      </c>
      <c r="V1037" s="10" t="n">
        <f aca="false">IF(Q1037="No",P1037,0)</f>
        <v>0</v>
      </c>
    </row>
    <row r="1038" customFormat="false" ht="15" hidden="false" customHeight="false" outlineLevel="0" collapsed="false">
      <c r="A1038" s="5" t="s">
        <v>1172</v>
      </c>
      <c r="B1038" s="5" t="s">
        <v>46</v>
      </c>
      <c r="C1038" s="7" t="n">
        <v>45912</v>
      </c>
      <c r="D1038" s="8" t="str">
        <f aca="false">INDEX(Dim_Supplier!$C$2:$C$21,MATCH(B1038,Dim_Supplier!$A$2:$A$21,0))</f>
        <v>Raw Materials</v>
      </c>
      <c r="E1038" s="8" t="str">
        <f aca="false">INDEX(Dim_Supplier!$B$2:$B$21,MATCH(B1038,Dim_Supplier!$A$2:$A$21,0))</f>
        <v>Niagara Alloy Supply</v>
      </c>
      <c r="F1038" s="5" t="s">
        <v>148</v>
      </c>
      <c r="G1038" s="5" t="s">
        <v>129</v>
      </c>
      <c r="H1038" s="8" t="n">
        <f aca="false">INDEX(Lookup_Tables!$B$2:$B$5,MATCH(D1038,Lookup_Tables!$A$2:$A$5,0))</f>
        <v>21</v>
      </c>
      <c r="I1038" s="9" t="n">
        <f aca="false">C1038+H1038</f>
        <v>45933</v>
      </c>
      <c r="J1038" s="5" t="n">
        <v>-4</v>
      </c>
      <c r="K1038" s="9" t="n">
        <f aca="false">I1038+J1038</f>
        <v>45929</v>
      </c>
      <c r="L1038" s="5" t="n">
        <v>542</v>
      </c>
      <c r="M1038" s="10" t="n">
        <f aca="false">INDEX(Dim_Supplier!$F$2:$F$21,MATCH(B1038,Dim_Supplier!$A$2:$A$21,0))</f>
        <v>46.5</v>
      </c>
      <c r="N1038" s="11" t="n">
        <v>0.0262</v>
      </c>
      <c r="O1038" s="10" t="n">
        <f aca="false">M1038*(1+N1038)</f>
        <v>47.7183</v>
      </c>
      <c r="P1038" s="10" t="n">
        <f aca="false">O1038*L1038</f>
        <v>25863.3186</v>
      </c>
      <c r="Q1038" s="5" t="s">
        <v>113</v>
      </c>
      <c r="R1038" s="5" t="n">
        <v>0</v>
      </c>
      <c r="S1038" s="5" t="n">
        <v>30</v>
      </c>
      <c r="T1038" s="12" t="n">
        <f aca="false">(O1038-M1038)/M1038</f>
        <v>0.0262</v>
      </c>
      <c r="U1038" s="8" t="n">
        <f aca="false">IF(AND(K1038&lt;=I1038,R1038=0),1,0)</f>
        <v>1</v>
      </c>
      <c r="V1038" s="10" t="n">
        <f aca="false">IF(Q1038="No",P1038,0)</f>
        <v>0</v>
      </c>
    </row>
    <row r="1039" customFormat="false" ht="15" hidden="false" customHeight="false" outlineLevel="0" collapsed="false">
      <c r="A1039" s="5" t="s">
        <v>1173</v>
      </c>
      <c r="B1039" s="5" t="s">
        <v>57</v>
      </c>
      <c r="C1039" s="7" t="n">
        <v>45517</v>
      </c>
      <c r="D1039" s="8" t="str">
        <f aca="false">INDEX(Dim_Supplier!$C$2:$C$21,MATCH(B1039,Dim_Supplier!$A$2:$A$21,0))</f>
        <v>Packaging</v>
      </c>
      <c r="E1039" s="8" t="str">
        <f aca="false">INDEX(Dim_Supplier!$B$2:$B$21,MATCH(B1039,Dim_Supplier!$A$2:$A$21,0))</f>
        <v>Great Lakes Packaging Co.</v>
      </c>
      <c r="F1039" s="5" t="s">
        <v>117</v>
      </c>
      <c r="G1039" s="5" t="s">
        <v>112</v>
      </c>
      <c r="H1039" s="8" t="n">
        <f aca="false">INDEX(Lookup_Tables!$B$2:$B$5,MATCH(D1039,Lookup_Tables!$A$2:$A$5,0))</f>
        <v>14</v>
      </c>
      <c r="I1039" s="9" t="n">
        <f aca="false">C1039+H1039</f>
        <v>45531</v>
      </c>
      <c r="J1039" s="5" t="n">
        <v>-3</v>
      </c>
      <c r="K1039" s="9" t="n">
        <f aca="false">I1039+J1039</f>
        <v>45528</v>
      </c>
      <c r="L1039" s="5" t="n">
        <v>1253</v>
      </c>
      <c r="M1039" s="10" t="n">
        <f aca="false">INDEX(Dim_Supplier!$F$2:$F$21,MATCH(B1039,Dim_Supplier!$A$2:$A$21,0))</f>
        <v>4.35</v>
      </c>
      <c r="N1039" s="11" t="n">
        <v>0.0328</v>
      </c>
      <c r="O1039" s="10" t="n">
        <f aca="false">M1039*(1+N1039)</f>
        <v>4.49268</v>
      </c>
      <c r="P1039" s="10" t="n">
        <f aca="false">O1039*L1039</f>
        <v>5629.32804</v>
      </c>
      <c r="Q1039" s="5" t="s">
        <v>113</v>
      </c>
      <c r="R1039" s="5" t="n">
        <v>0</v>
      </c>
      <c r="S1039" s="5" t="n">
        <v>30</v>
      </c>
      <c r="T1039" s="12" t="n">
        <f aca="false">(O1039-M1039)/M1039</f>
        <v>0.0327999999999999</v>
      </c>
      <c r="U1039" s="8" t="n">
        <f aca="false">IF(AND(K1039&lt;=I1039,R1039=0),1,0)</f>
        <v>1</v>
      </c>
      <c r="V1039" s="10" t="n">
        <f aca="false">IF(Q1039="No",P1039,0)</f>
        <v>0</v>
      </c>
    </row>
    <row r="1040" customFormat="false" ht="15" hidden="false" customHeight="false" outlineLevel="0" collapsed="false">
      <c r="A1040" s="5" t="s">
        <v>1174</v>
      </c>
      <c r="B1040" s="5" t="s">
        <v>77</v>
      </c>
      <c r="C1040" s="7" t="n">
        <v>45799</v>
      </c>
      <c r="D1040" s="8" t="str">
        <f aca="false">INDEX(Dim_Supplier!$C$2:$C$21,MATCH(B1040,Dim_Supplier!$A$2:$A$21,0))</f>
        <v>MRO</v>
      </c>
      <c r="E1040" s="8" t="str">
        <f aca="false">INDEX(Dim_Supplier!$B$2:$B$21,MATCH(B1040,Dim_Supplier!$A$2:$A$21,0))</f>
        <v>Apex Industrial Supply</v>
      </c>
      <c r="F1040" s="5" t="s">
        <v>179</v>
      </c>
      <c r="G1040" s="5" t="s">
        <v>125</v>
      </c>
      <c r="H1040" s="8" t="n">
        <f aca="false">INDEX(Lookup_Tables!$B$2:$B$5,MATCH(D1040,Lookup_Tables!$A$2:$A$5,0))</f>
        <v>10</v>
      </c>
      <c r="I1040" s="9" t="n">
        <f aca="false">C1040+H1040</f>
        <v>45809</v>
      </c>
      <c r="J1040" s="5" t="n">
        <v>0</v>
      </c>
      <c r="K1040" s="9" t="n">
        <f aca="false">I1040+J1040</f>
        <v>45809</v>
      </c>
      <c r="L1040" s="5" t="n">
        <v>55</v>
      </c>
      <c r="M1040" s="10" t="n">
        <f aca="false">INDEX(Dim_Supplier!$F$2:$F$21,MATCH(B1040,Dim_Supplier!$A$2:$A$21,0))</f>
        <v>24.6</v>
      </c>
      <c r="N1040" s="11" t="n">
        <v>0.0429</v>
      </c>
      <c r="O1040" s="10" t="n">
        <f aca="false">M1040*(1+N1040)</f>
        <v>25.65534</v>
      </c>
      <c r="P1040" s="10" t="n">
        <f aca="false">O1040*L1040</f>
        <v>1411.0437</v>
      </c>
      <c r="Q1040" s="5" t="s">
        <v>113</v>
      </c>
      <c r="R1040" s="5" t="n">
        <v>0</v>
      </c>
      <c r="S1040" s="5" t="n">
        <v>30</v>
      </c>
      <c r="T1040" s="12" t="n">
        <f aca="false">(O1040-M1040)/M1040</f>
        <v>0.0428999999999999</v>
      </c>
      <c r="U1040" s="8" t="n">
        <f aca="false">IF(AND(K1040&lt;=I1040,R1040=0),1,0)</f>
        <v>1</v>
      </c>
      <c r="V1040" s="10" t="n">
        <f aca="false">IF(Q1040="No",P1040,0)</f>
        <v>0</v>
      </c>
    </row>
    <row r="1041" customFormat="false" ht="15" hidden="false" customHeight="false" outlineLevel="0" collapsed="false">
      <c r="A1041" s="5" t="s">
        <v>1175</v>
      </c>
      <c r="B1041" s="5" t="s">
        <v>60</v>
      </c>
      <c r="C1041" s="7" t="n">
        <v>45889</v>
      </c>
      <c r="D1041" s="8" t="str">
        <f aca="false">INDEX(Dim_Supplier!$C$2:$C$21,MATCH(B1041,Dim_Supplier!$A$2:$A$21,0))</f>
        <v>Packaging</v>
      </c>
      <c r="E1041" s="8" t="str">
        <f aca="false">INDEX(Dim_Supplier!$B$2:$B$21,MATCH(B1041,Dim_Supplier!$A$2:$A$21,0))</f>
        <v>Maple Leaf Box &amp; Crate</v>
      </c>
      <c r="F1041" s="5" t="s">
        <v>122</v>
      </c>
      <c r="G1041" s="5" t="s">
        <v>120</v>
      </c>
      <c r="H1041" s="8" t="n">
        <f aca="false">INDEX(Lookup_Tables!$B$2:$B$5,MATCH(D1041,Lookup_Tables!$A$2:$A$5,0))</f>
        <v>14</v>
      </c>
      <c r="I1041" s="9" t="n">
        <f aca="false">C1041+H1041</f>
        <v>45903</v>
      </c>
      <c r="J1041" s="5" t="n">
        <v>0</v>
      </c>
      <c r="K1041" s="9" t="n">
        <f aca="false">I1041+J1041</f>
        <v>45903</v>
      </c>
      <c r="L1041" s="5" t="n">
        <v>4496</v>
      </c>
      <c r="M1041" s="10" t="n">
        <f aca="false">INDEX(Dim_Supplier!$F$2:$F$21,MATCH(B1041,Dim_Supplier!$A$2:$A$21,0))</f>
        <v>3.1</v>
      </c>
      <c r="N1041" s="11" t="n">
        <v>0.0517</v>
      </c>
      <c r="O1041" s="10" t="n">
        <f aca="false">M1041*(1+N1041)</f>
        <v>3.26027</v>
      </c>
      <c r="P1041" s="10" t="n">
        <f aca="false">O1041*L1041</f>
        <v>14658.17392</v>
      </c>
      <c r="Q1041" s="5" t="s">
        <v>113</v>
      </c>
      <c r="R1041" s="5" t="n">
        <v>0</v>
      </c>
      <c r="S1041" s="5" t="n">
        <v>45</v>
      </c>
      <c r="T1041" s="12" t="n">
        <f aca="false">(O1041-M1041)/M1041</f>
        <v>0.0517</v>
      </c>
      <c r="U1041" s="8" t="n">
        <f aca="false">IF(AND(K1041&lt;=I1041,R1041=0),1,0)</f>
        <v>1</v>
      </c>
      <c r="V1041" s="10" t="n">
        <f aca="false">IF(Q1041="No",P1041,0)</f>
        <v>0</v>
      </c>
    </row>
    <row r="1042" customFormat="false" ht="15" hidden="false" customHeight="false" outlineLevel="0" collapsed="false">
      <c r="A1042" s="5" t="s">
        <v>1176</v>
      </c>
      <c r="B1042" s="5" t="s">
        <v>54</v>
      </c>
      <c r="C1042" s="7" t="n">
        <v>45618</v>
      </c>
      <c r="D1042" s="8" t="str">
        <f aca="false">INDEX(Dim_Supplier!$C$2:$C$21,MATCH(B1042,Dim_Supplier!$A$2:$A$21,0))</f>
        <v>Raw Materials</v>
      </c>
      <c r="E1042" s="8" t="str">
        <f aca="false">INDEX(Dim_Supplier!$B$2:$B$21,MATCH(B1042,Dim_Supplier!$A$2:$A$21,0))</f>
        <v>Northern Resin Solutions</v>
      </c>
      <c r="F1042" s="5" t="s">
        <v>144</v>
      </c>
      <c r="G1042" s="5" t="s">
        <v>129</v>
      </c>
      <c r="H1042" s="8" t="n">
        <f aca="false">INDEX(Lookup_Tables!$B$2:$B$5,MATCH(D1042,Lookup_Tables!$A$2:$A$5,0))</f>
        <v>21</v>
      </c>
      <c r="I1042" s="9" t="n">
        <f aca="false">C1042+H1042</f>
        <v>45639</v>
      </c>
      <c r="J1042" s="5" t="n">
        <v>-3</v>
      </c>
      <c r="K1042" s="9" t="n">
        <f aca="false">I1042+J1042</f>
        <v>45636</v>
      </c>
      <c r="L1042" s="5" t="n">
        <v>1261</v>
      </c>
      <c r="M1042" s="10" t="n">
        <f aca="false">INDEX(Dim_Supplier!$F$2:$F$21,MATCH(B1042,Dim_Supplier!$A$2:$A$21,0))</f>
        <v>38.9</v>
      </c>
      <c r="N1042" s="11" t="n">
        <v>0.0368</v>
      </c>
      <c r="O1042" s="10" t="n">
        <f aca="false">M1042*(1+N1042)</f>
        <v>40.33152</v>
      </c>
      <c r="P1042" s="10" t="n">
        <f aca="false">O1042*L1042</f>
        <v>50858.04672</v>
      </c>
      <c r="Q1042" s="5" t="s">
        <v>113</v>
      </c>
      <c r="R1042" s="5" t="n">
        <v>0</v>
      </c>
      <c r="S1042" s="5" t="n">
        <v>60</v>
      </c>
      <c r="T1042" s="12" t="n">
        <f aca="false">(O1042-M1042)/M1042</f>
        <v>0.0368</v>
      </c>
      <c r="U1042" s="8" t="n">
        <f aca="false">IF(AND(K1042&lt;=I1042,R1042=0),1,0)</f>
        <v>1</v>
      </c>
      <c r="V1042" s="10" t="n">
        <f aca="false">IF(Q1042="No",P1042,0)</f>
        <v>0</v>
      </c>
    </row>
    <row r="1043" customFormat="false" ht="15" hidden="false" customHeight="false" outlineLevel="0" collapsed="false">
      <c r="A1043" s="5" t="s">
        <v>1177</v>
      </c>
      <c r="B1043" s="5" t="s">
        <v>62</v>
      </c>
      <c r="C1043" s="7" t="n">
        <v>46202</v>
      </c>
      <c r="D1043" s="8" t="str">
        <f aca="false">INDEX(Dim_Supplier!$C$2:$C$21,MATCH(B1043,Dim_Supplier!$A$2:$A$21,0))</f>
        <v>Packaging</v>
      </c>
      <c r="E1043" s="8" t="str">
        <f aca="false">INDEX(Dim_Supplier!$B$2:$B$21,MATCH(B1043,Dim_Supplier!$A$2:$A$21,0))</f>
        <v>Trillium Packaging Solutions</v>
      </c>
      <c r="F1043" s="5" t="s">
        <v>117</v>
      </c>
      <c r="G1043" s="5" t="s">
        <v>120</v>
      </c>
      <c r="H1043" s="8" t="n">
        <f aca="false">INDEX(Lookup_Tables!$B$2:$B$5,MATCH(D1043,Lookup_Tables!$A$2:$A$5,0))</f>
        <v>14</v>
      </c>
      <c r="I1043" s="9" t="n">
        <f aca="false">C1043+H1043</f>
        <v>46216</v>
      </c>
      <c r="J1043" s="5" t="n">
        <v>-4</v>
      </c>
      <c r="K1043" s="9" t="n">
        <f aca="false">I1043+J1043</f>
        <v>46212</v>
      </c>
      <c r="L1043" s="5" t="n">
        <v>4845</v>
      </c>
      <c r="M1043" s="10" t="n">
        <f aca="false">INDEX(Dim_Supplier!$F$2:$F$21,MATCH(B1043,Dim_Supplier!$A$2:$A$21,0))</f>
        <v>5.6</v>
      </c>
      <c r="N1043" s="11" t="n">
        <v>0.0113</v>
      </c>
      <c r="O1043" s="10" t="n">
        <f aca="false">M1043*(1+N1043)</f>
        <v>5.66328</v>
      </c>
      <c r="P1043" s="10" t="n">
        <f aca="false">O1043*L1043</f>
        <v>27438.5916</v>
      </c>
      <c r="Q1043" s="5" t="s">
        <v>113</v>
      </c>
      <c r="R1043" s="5" t="n">
        <v>0</v>
      </c>
      <c r="S1043" s="5" t="n">
        <v>30</v>
      </c>
      <c r="T1043" s="12" t="n">
        <f aca="false">(O1043-M1043)/M1043</f>
        <v>0.0113000000000001</v>
      </c>
      <c r="U1043" s="8" t="n">
        <f aca="false">IF(AND(K1043&lt;=I1043,R1043=0),1,0)</f>
        <v>1</v>
      </c>
      <c r="V1043" s="10" t="n">
        <f aca="false">IF(Q1043="No",P1043,0)</f>
        <v>0</v>
      </c>
    </row>
    <row r="1044" customFormat="false" ht="15" hidden="false" customHeight="false" outlineLevel="0" collapsed="false">
      <c r="A1044" s="5" t="s">
        <v>1178</v>
      </c>
      <c r="B1044" s="5" t="s">
        <v>57</v>
      </c>
      <c r="C1044" s="7" t="n">
        <v>46101</v>
      </c>
      <c r="D1044" s="8" t="str">
        <f aca="false">INDEX(Dim_Supplier!$C$2:$C$21,MATCH(B1044,Dim_Supplier!$A$2:$A$21,0))</f>
        <v>Packaging</v>
      </c>
      <c r="E1044" s="8" t="str">
        <f aca="false">INDEX(Dim_Supplier!$B$2:$B$21,MATCH(B1044,Dim_Supplier!$A$2:$A$21,0))</f>
        <v>Great Lakes Packaging Co.</v>
      </c>
      <c r="F1044" s="5" t="s">
        <v>158</v>
      </c>
      <c r="G1044" s="5" t="s">
        <v>120</v>
      </c>
      <c r="H1044" s="8" t="n">
        <f aca="false">INDEX(Lookup_Tables!$B$2:$B$5,MATCH(D1044,Lookup_Tables!$A$2:$A$5,0))</f>
        <v>14</v>
      </c>
      <c r="I1044" s="9" t="n">
        <f aca="false">C1044+H1044</f>
        <v>46115</v>
      </c>
      <c r="J1044" s="5" t="n">
        <v>-3</v>
      </c>
      <c r="K1044" s="9" t="n">
        <f aca="false">I1044+J1044</f>
        <v>46112</v>
      </c>
      <c r="L1044" s="5" t="n">
        <v>3544</v>
      </c>
      <c r="M1044" s="10" t="n">
        <f aca="false">INDEX(Dim_Supplier!$F$2:$F$21,MATCH(B1044,Dim_Supplier!$A$2:$A$21,0))</f>
        <v>4.35</v>
      </c>
      <c r="N1044" s="11" t="n">
        <v>0.0239</v>
      </c>
      <c r="O1044" s="10" t="n">
        <f aca="false">M1044*(1+N1044)</f>
        <v>4.453965</v>
      </c>
      <c r="P1044" s="10" t="n">
        <f aca="false">O1044*L1044</f>
        <v>15784.85196</v>
      </c>
      <c r="Q1044" s="5" t="s">
        <v>113</v>
      </c>
      <c r="R1044" s="5" t="n">
        <v>0</v>
      </c>
      <c r="S1044" s="5" t="n">
        <v>30</v>
      </c>
      <c r="T1044" s="12" t="n">
        <f aca="false">(O1044-M1044)/M1044</f>
        <v>0.0239000000000001</v>
      </c>
      <c r="U1044" s="8" t="n">
        <f aca="false">IF(AND(K1044&lt;=I1044,R1044=0),1,0)</f>
        <v>1</v>
      </c>
      <c r="V1044" s="10" t="n">
        <f aca="false">IF(Q1044="No",P1044,0)</f>
        <v>0</v>
      </c>
    </row>
    <row r="1045" customFormat="false" ht="15" hidden="false" customHeight="false" outlineLevel="0" collapsed="false">
      <c r="A1045" s="5" t="s">
        <v>1179</v>
      </c>
      <c r="B1045" s="5" t="s">
        <v>57</v>
      </c>
      <c r="C1045" s="7" t="n">
        <v>45303</v>
      </c>
      <c r="D1045" s="8" t="str">
        <f aca="false">INDEX(Dim_Supplier!$C$2:$C$21,MATCH(B1045,Dim_Supplier!$A$2:$A$21,0))</f>
        <v>Packaging</v>
      </c>
      <c r="E1045" s="8" t="str">
        <f aca="false">INDEX(Dim_Supplier!$B$2:$B$21,MATCH(B1045,Dim_Supplier!$A$2:$A$21,0))</f>
        <v>Great Lakes Packaging Co.</v>
      </c>
      <c r="F1045" s="5" t="s">
        <v>119</v>
      </c>
      <c r="G1045" s="5" t="s">
        <v>112</v>
      </c>
      <c r="H1045" s="8" t="n">
        <f aca="false">INDEX(Lookup_Tables!$B$2:$B$5,MATCH(D1045,Lookup_Tables!$A$2:$A$5,0))</f>
        <v>14</v>
      </c>
      <c r="I1045" s="9" t="n">
        <f aca="false">C1045+H1045</f>
        <v>45317</v>
      </c>
      <c r="J1045" s="5" t="n">
        <v>-4</v>
      </c>
      <c r="K1045" s="9" t="n">
        <f aca="false">I1045+J1045</f>
        <v>45313</v>
      </c>
      <c r="L1045" s="5" t="n">
        <v>2405</v>
      </c>
      <c r="M1045" s="10" t="n">
        <f aca="false">INDEX(Dim_Supplier!$F$2:$F$21,MATCH(B1045,Dim_Supplier!$A$2:$A$21,0))</f>
        <v>4.35</v>
      </c>
      <c r="N1045" s="11" t="n">
        <v>0.0177</v>
      </c>
      <c r="O1045" s="10" t="n">
        <f aca="false">M1045*(1+N1045)</f>
        <v>4.426995</v>
      </c>
      <c r="P1045" s="10" t="n">
        <f aca="false">O1045*L1045</f>
        <v>10646.922975</v>
      </c>
      <c r="Q1045" s="5" t="s">
        <v>113</v>
      </c>
      <c r="R1045" s="5" t="n">
        <v>0</v>
      </c>
      <c r="S1045" s="5" t="n">
        <v>45</v>
      </c>
      <c r="T1045" s="12" t="n">
        <f aca="false">(O1045-M1045)/M1045</f>
        <v>0.0177</v>
      </c>
      <c r="U1045" s="8" t="n">
        <f aca="false">IF(AND(K1045&lt;=I1045,R1045=0),1,0)</f>
        <v>1</v>
      </c>
      <c r="V1045" s="10" t="n">
        <f aca="false">IF(Q1045="No",P1045,0)</f>
        <v>0</v>
      </c>
    </row>
    <row r="1046" customFormat="false" ht="15" hidden="false" customHeight="false" outlineLevel="0" collapsed="false">
      <c r="A1046" s="5" t="s">
        <v>1180</v>
      </c>
      <c r="B1046" s="5" t="s">
        <v>68</v>
      </c>
      <c r="C1046" s="7" t="n">
        <v>45397</v>
      </c>
      <c r="D1046" s="8" t="str">
        <f aca="false">INDEX(Dim_Supplier!$C$2:$C$21,MATCH(B1046,Dim_Supplier!$A$2:$A$21,0))</f>
        <v>MRO</v>
      </c>
      <c r="E1046" s="8" t="str">
        <f aca="false">INDEX(Dim_Supplier!$B$2:$B$21,MATCH(B1046,Dim_Supplier!$A$2:$A$21,0))</f>
        <v>Precision Tool &amp; Supply</v>
      </c>
      <c r="F1046" s="5" t="s">
        <v>132</v>
      </c>
      <c r="G1046" s="5" t="s">
        <v>120</v>
      </c>
      <c r="H1046" s="8" t="n">
        <f aca="false">INDEX(Lookup_Tables!$B$2:$B$5,MATCH(D1046,Lookup_Tables!$A$2:$A$5,0))</f>
        <v>10</v>
      </c>
      <c r="I1046" s="9" t="n">
        <f aca="false">C1046+H1046</f>
        <v>45407</v>
      </c>
      <c r="J1046" s="5" t="n">
        <v>-4</v>
      </c>
      <c r="K1046" s="9" t="n">
        <f aca="false">I1046+J1046</f>
        <v>45403</v>
      </c>
      <c r="L1046" s="5" t="n">
        <v>176</v>
      </c>
      <c r="M1046" s="10" t="n">
        <f aca="false">INDEX(Dim_Supplier!$F$2:$F$21,MATCH(B1046,Dim_Supplier!$A$2:$A$21,0))</f>
        <v>22.4</v>
      </c>
      <c r="N1046" s="11" t="n">
        <v>-0.0373</v>
      </c>
      <c r="O1046" s="10" t="n">
        <f aca="false">M1046*(1+N1046)</f>
        <v>21.56448</v>
      </c>
      <c r="P1046" s="10" t="n">
        <f aca="false">O1046*L1046</f>
        <v>3795.34848</v>
      </c>
      <c r="Q1046" s="5" t="s">
        <v>113</v>
      </c>
      <c r="R1046" s="5" t="n">
        <v>0</v>
      </c>
      <c r="S1046" s="5" t="n">
        <v>30</v>
      </c>
      <c r="T1046" s="12" t="n">
        <f aca="false">(O1046-M1046)/M1046</f>
        <v>-0.0373</v>
      </c>
      <c r="U1046" s="8" t="n">
        <f aca="false">IF(AND(K1046&lt;=I1046,R1046=0),1,0)</f>
        <v>1</v>
      </c>
      <c r="V1046" s="10" t="n">
        <f aca="false">IF(Q1046="No",P1046,0)</f>
        <v>0</v>
      </c>
    </row>
    <row r="1047" customFormat="false" ht="15" hidden="false" customHeight="false" outlineLevel="0" collapsed="false">
      <c r="A1047" s="5" t="s">
        <v>1181</v>
      </c>
      <c r="B1047" s="5" t="s">
        <v>79</v>
      </c>
      <c r="C1047" s="7" t="n">
        <v>45617</v>
      </c>
      <c r="D1047" s="8" t="str">
        <f aca="false">INDEX(Dim_Supplier!$C$2:$C$21,MATCH(B1047,Dim_Supplier!$A$2:$A$21,0))</f>
        <v>Logistics</v>
      </c>
      <c r="E1047" s="8" t="str">
        <f aca="false">INDEX(Dim_Supplier!$B$2:$B$21,MATCH(B1047,Dim_Supplier!$A$2:$A$21,0))</f>
        <v>Niagara Freight Solutions</v>
      </c>
      <c r="F1047" s="5" t="s">
        <v>146</v>
      </c>
      <c r="G1047" s="5" t="s">
        <v>112</v>
      </c>
      <c r="H1047" s="8" t="n">
        <f aca="false">INDEX(Lookup_Tables!$B$2:$B$5,MATCH(D1047,Lookup_Tables!$A$2:$A$5,0))</f>
        <v>5</v>
      </c>
      <c r="I1047" s="9" t="n">
        <f aca="false">C1047+H1047</f>
        <v>45622</v>
      </c>
      <c r="J1047" s="5" t="n">
        <v>-1</v>
      </c>
      <c r="K1047" s="9" t="n">
        <f aca="false">I1047+J1047</f>
        <v>45621</v>
      </c>
      <c r="L1047" s="5" t="n">
        <v>32</v>
      </c>
      <c r="M1047" s="10" t="n">
        <f aca="false">INDEX(Dim_Supplier!$F$2:$F$21,MATCH(B1047,Dim_Supplier!$A$2:$A$21,0))</f>
        <v>340</v>
      </c>
      <c r="N1047" s="11" t="n">
        <v>0.0441</v>
      </c>
      <c r="O1047" s="10" t="n">
        <f aca="false">M1047*(1+N1047)</f>
        <v>354.994</v>
      </c>
      <c r="P1047" s="10" t="n">
        <f aca="false">O1047*L1047</f>
        <v>11359.808</v>
      </c>
      <c r="Q1047" s="5" t="s">
        <v>113</v>
      </c>
      <c r="R1047" s="5" t="n">
        <v>0</v>
      </c>
      <c r="S1047" s="5" t="n">
        <v>30</v>
      </c>
      <c r="T1047" s="12" t="n">
        <f aca="false">(O1047-M1047)/M1047</f>
        <v>0.0441000000000001</v>
      </c>
      <c r="U1047" s="8" t="n">
        <f aca="false">IF(AND(K1047&lt;=I1047,R1047=0),1,0)</f>
        <v>1</v>
      </c>
      <c r="V1047" s="10" t="n">
        <f aca="false">IF(Q1047="No",P1047,0)</f>
        <v>0</v>
      </c>
    </row>
    <row r="1048" customFormat="false" ht="15" hidden="false" customHeight="false" outlineLevel="0" collapsed="false">
      <c r="A1048" s="5" t="s">
        <v>1182</v>
      </c>
      <c r="B1048" s="5" t="s">
        <v>62</v>
      </c>
      <c r="C1048" s="7" t="n">
        <v>45907</v>
      </c>
      <c r="D1048" s="8" t="str">
        <f aca="false">INDEX(Dim_Supplier!$C$2:$C$21,MATCH(B1048,Dim_Supplier!$A$2:$A$21,0))</f>
        <v>Packaging</v>
      </c>
      <c r="E1048" s="8" t="str">
        <f aca="false">INDEX(Dim_Supplier!$B$2:$B$21,MATCH(B1048,Dim_Supplier!$A$2:$A$21,0))</f>
        <v>Trillium Packaging Solutions</v>
      </c>
      <c r="F1048" s="5" t="s">
        <v>119</v>
      </c>
      <c r="G1048" s="5" t="s">
        <v>125</v>
      </c>
      <c r="H1048" s="8" t="n">
        <f aca="false">INDEX(Lookup_Tables!$B$2:$B$5,MATCH(D1048,Lookup_Tables!$A$2:$A$5,0))</f>
        <v>14</v>
      </c>
      <c r="I1048" s="9" t="n">
        <f aca="false">C1048+H1048</f>
        <v>45921</v>
      </c>
      <c r="J1048" s="5" t="n">
        <v>-3</v>
      </c>
      <c r="K1048" s="9" t="n">
        <f aca="false">I1048+J1048</f>
        <v>45918</v>
      </c>
      <c r="L1048" s="5" t="n">
        <v>646</v>
      </c>
      <c r="M1048" s="10" t="n">
        <f aca="false">INDEX(Dim_Supplier!$F$2:$F$21,MATCH(B1048,Dim_Supplier!$A$2:$A$21,0))</f>
        <v>5.6</v>
      </c>
      <c r="N1048" s="11" t="n">
        <v>0.0241</v>
      </c>
      <c r="O1048" s="10" t="n">
        <f aca="false">M1048*(1+N1048)</f>
        <v>5.73496</v>
      </c>
      <c r="P1048" s="10" t="n">
        <f aca="false">O1048*L1048</f>
        <v>3704.78416</v>
      </c>
      <c r="Q1048" s="5" t="s">
        <v>113</v>
      </c>
      <c r="R1048" s="5" t="n">
        <v>0</v>
      </c>
      <c r="S1048" s="5" t="n">
        <v>60</v>
      </c>
      <c r="T1048" s="12" t="n">
        <f aca="false">(O1048-M1048)/M1048</f>
        <v>0.0241000000000001</v>
      </c>
      <c r="U1048" s="8" t="n">
        <f aca="false">IF(AND(K1048&lt;=I1048,R1048=0),1,0)</f>
        <v>1</v>
      </c>
      <c r="V1048" s="10" t="n">
        <f aca="false">IF(Q1048="No",P1048,0)</f>
        <v>0</v>
      </c>
    </row>
    <row r="1049" customFormat="false" ht="15" hidden="false" customHeight="false" outlineLevel="0" collapsed="false">
      <c r="A1049" s="5" t="s">
        <v>1183</v>
      </c>
      <c r="B1049" s="5" t="s">
        <v>86</v>
      </c>
      <c r="C1049" s="7" t="n">
        <v>45583</v>
      </c>
      <c r="D1049" s="8" t="str">
        <f aca="false">INDEX(Dim_Supplier!$C$2:$C$21,MATCH(B1049,Dim_Supplier!$A$2:$A$21,0))</f>
        <v>Logistics</v>
      </c>
      <c r="E1049" s="8" t="str">
        <f aca="false">INDEX(Dim_Supplier!$B$2:$B$21,MATCH(B1049,Dim_Supplier!$A$2:$A$21,0))</f>
        <v>Blue Water Customs Brokerage</v>
      </c>
      <c r="F1049" s="5" t="s">
        <v>154</v>
      </c>
      <c r="G1049" s="5" t="s">
        <v>125</v>
      </c>
      <c r="H1049" s="8" t="n">
        <f aca="false">INDEX(Lookup_Tables!$B$2:$B$5,MATCH(D1049,Lookup_Tables!$A$2:$A$5,0))</f>
        <v>5</v>
      </c>
      <c r="I1049" s="9" t="n">
        <f aca="false">C1049+H1049</f>
        <v>45588</v>
      </c>
      <c r="J1049" s="5" t="n">
        <v>0</v>
      </c>
      <c r="K1049" s="9" t="n">
        <f aca="false">I1049+J1049</f>
        <v>45588</v>
      </c>
      <c r="L1049" s="5" t="n">
        <v>34</v>
      </c>
      <c r="M1049" s="10" t="n">
        <f aca="false">INDEX(Dim_Supplier!$F$2:$F$21,MATCH(B1049,Dim_Supplier!$A$2:$A$21,0))</f>
        <v>175</v>
      </c>
      <c r="N1049" s="11" t="n">
        <v>0.0157</v>
      </c>
      <c r="O1049" s="10" t="n">
        <f aca="false">M1049*(1+N1049)</f>
        <v>177.7475</v>
      </c>
      <c r="P1049" s="10" t="n">
        <f aca="false">O1049*L1049</f>
        <v>6043.415</v>
      </c>
      <c r="Q1049" s="5" t="s">
        <v>113</v>
      </c>
      <c r="R1049" s="5" t="n">
        <v>0</v>
      </c>
      <c r="S1049" s="5" t="n">
        <v>30</v>
      </c>
      <c r="T1049" s="12" t="n">
        <f aca="false">(O1049-M1049)/M1049</f>
        <v>0.0157</v>
      </c>
      <c r="U1049" s="8" t="n">
        <f aca="false">IF(AND(K1049&lt;=I1049,R1049=0),1,0)</f>
        <v>1</v>
      </c>
      <c r="V1049" s="10" t="n">
        <f aca="false">IF(Q1049="No",P1049,0)</f>
        <v>0</v>
      </c>
    </row>
    <row r="1050" customFormat="false" ht="15" hidden="false" customHeight="false" outlineLevel="0" collapsed="false">
      <c r="A1050" s="5" t="s">
        <v>1184</v>
      </c>
      <c r="B1050" s="5" t="s">
        <v>46</v>
      </c>
      <c r="C1050" s="7" t="n">
        <v>46113</v>
      </c>
      <c r="D1050" s="8" t="str">
        <f aca="false">INDEX(Dim_Supplier!$C$2:$C$21,MATCH(B1050,Dim_Supplier!$A$2:$A$21,0))</f>
        <v>Raw Materials</v>
      </c>
      <c r="E1050" s="8" t="str">
        <f aca="false">INDEX(Dim_Supplier!$B$2:$B$21,MATCH(B1050,Dim_Supplier!$A$2:$A$21,0))</f>
        <v>Niagara Alloy Supply</v>
      </c>
      <c r="F1050" s="5" t="s">
        <v>142</v>
      </c>
      <c r="G1050" s="5" t="s">
        <v>120</v>
      </c>
      <c r="H1050" s="8" t="n">
        <f aca="false">INDEX(Lookup_Tables!$B$2:$B$5,MATCH(D1050,Lookup_Tables!$A$2:$A$5,0))</f>
        <v>21</v>
      </c>
      <c r="I1050" s="9" t="n">
        <f aca="false">C1050+H1050</f>
        <v>46134</v>
      </c>
      <c r="J1050" s="5" t="n">
        <v>-2</v>
      </c>
      <c r="K1050" s="9" t="n">
        <f aca="false">I1050+J1050</f>
        <v>46132</v>
      </c>
      <c r="L1050" s="5" t="n">
        <v>919</v>
      </c>
      <c r="M1050" s="10" t="n">
        <f aca="false">INDEX(Dim_Supplier!$F$2:$F$21,MATCH(B1050,Dim_Supplier!$A$2:$A$21,0))</f>
        <v>46.5</v>
      </c>
      <c r="N1050" s="11" t="n">
        <v>0.0631</v>
      </c>
      <c r="O1050" s="10" t="n">
        <f aca="false">M1050*(1+N1050)</f>
        <v>49.43415</v>
      </c>
      <c r="P1050" s="10" t="n">
        <f aca="false">O1050*L1050</f>
        <v>45429.98385</v>
      </c>
      <c r="Q1050" s="5" t="s">
        <v>113</v>
      </c>
      <c r="R1050" s="5" t="n">
        <v>0</v>
      </c>
      <c r="S1050" s="5" t="n">
        <v>30</v>
      </c>
      <c r="T1050" s="12" t="n">
        <f aca="false">(O1050-M1050)/M1050</f>
        <v>0.0630999999999999</v>
      </c>
      <c r="U1050" s="8" t="n">
        <f aca="false">IF(AND(K1050&lt;=I1050,R1050=0),1,0)</f>
        <v>1</v>
      </c>
      <c r="V1050" s="10" t="n">
        <f aca="false">IF(Q1050="No",P1050,0)</f>
        <v>0</v>
      </c>
    </row>
    <row r="1051" customFormat="false" ht="15" hidden="false" customHeight="false" outlineLevel="0" collapsed="false">
      <c r="A1051" s="5" t="s">
        <v>1185</v>
      </c>
      <c r="B1051" s="5" t="s">
        <v>41</v>
      </c>
      <c r="C1051" s="7" t="n">
        <v>45597</v>
      </c>
      <c r="D1051" s="8" t="str">
        <f aca="false">INDEX(Dim_Supplier!$C$2:$C$21,MATCH(B1051,Dim_Supplier!$A$2:$A$21,0))</f>
        <v>Raw Materials</v>
      </c>
      <c r="E1051" s="8" t="str">
        <f aca="false">INDEX(Dim_Supplier!$B$2:$B$21,MATCH(B1051,Dim_Supplier!$A$2:$A$21,0))</f>
        <v>Ontario Steel Partners</v>
      </c>
      <c r="F1051" s="5" t="s">
        <v>142</v>
      </c>
      <c r="G1051" s="5" t="s">
        <v>125</v>
      </c>
      <c r="H1051" s="8" t="n">
        <f aca="false">INDEX(Lookup_Tables!$B$2:$B$5,MATCH(D1051,Lookup_Tables!$A$2:$A$5,0))</f>
        <v>21</v>
      </c>
      <c r="I1051" s="9" t="n">
        <f aca="false">C1051+H1051</f>
        <v>45618</v>
      </c>
      <c r="J1051" s="5" t="n">
        <v>0</v>
      </c>
      <c r="K1051" s="9" t="n">
        <f aca="false">I1051+J1051</f>
        <v>45618</v>
      </c>
      <c r="L1051" s="5" t="n">
        <v>348</v>
      </c>
      <c r="M1051" s="10" t="n">
        <f aca="false">INDEX(Dim_Supplier!$F$2:$F$21,MATCH(B1051,Dim_Supplier!$A$2:$A$21,0))</f>
        <v>58</v>
      </c>
      <c r="N1051" s="11" t="n">
        <v>-0.0325</v>
      </c>
      <c r="O1051" s="10" t="n">
        <f aca="false">M1051*(1+N1051)</f>
        <v>56.115</v>
      </c>
      <c r="P1051" s="10" t="n">
        <f aca="false">O1051*L1051</f>
        <v>19528.02</v>
      </c>
      <c r="Q1051" s="5" t="s">
        <v>113</v>
      </c>
      <c r="R1051" s="5" t="n">
        <v>0</v>
      </c>
      <c r="S1051" s="5" t="n">
        <v>30</v>
      </c>
      <c r="T1051" s="12" t="n">
        <f aca="false">(O1051-M1051)/M1051</f>
        <v>-0.0325</v>
      </c>
      <c r="U1051" s="8" t="n">
        <f aca="false">IF(AND(K1051&lt;=I1051,R1051=0),1,0)</f>
        <v>1</v>
      </c>
      <c r="V1051" s="10" t="n">
        <f aca="false">IF(Q1051="No",P1051,0)</f>
        <v>0</v>
      </c>
    </row>
    <row r="1052" customFormat="false" ht="15" hidden="false" customHeight="false" outlineLevel="0" collapsed="false">
      <c r="A1052" s="5" t="s">
        <v>1186</v>
      </c>
      <c r="B1052" s="5" t="s">
        <v>52</v>
      </c>
      <c r="C1052" s="7" t="n">
        <v>46137</v>
      </c>
      <c r="D1052" s="8" t="str">
        <f aca="false">INDEX(Dim_Supplier!$C$2:$C$21,MATCH(B1052,Dim_Supplier!$A$2:$A$21,0))</f>
        <v>Raw Materials</v>
      </c>
      <c r="E1052" s="8" t="str">
        <f aca="false">INDEX(Dim_Supplier!$B$2:$B$21,MATCH(B1052,Dim_Supplier!$A$2:$A$21,0))</f>
        <v>Laurentian Metals Inc.</v>
      </c>
      <c r="F1052" s="5" t="s">
        <v>148</v>
      </c>
      <c r="G1052" s="5" t="s">
        <v>112</v>
      </c>
      <c r="H1052" s="8" t="n">
        <f aca="false">INDEX(Lookup_Tables!$B$2:$B$5,MATCH(D1052,Lookup_Tables!$A$2:$A$5,0))</f>
        <v>21</v>
      </c>
      <c r="I1052" s="9" t="n">
        <f aca="false">C1052+H1052</f>
        <v>46158</v>
      </c>
      <c r="J1052" s="5" t="n">
        <v>-2</v>
      </c>
      <c r="K1052" s="9" t="n">
        <f aca="false">I1052+J1052</f>
        <v>46156</v>
      </c>
      <c r="L1052" s="5" t="n">
        <v>1508</v>
      </c>
      <c r="M1052" s="10" t="n">
        <f aca="false">INDEX(Dim_Supplier!$F$2:$F$21,MATCH(B1052,Dim_Supplier!$A$2:$A$21,0))</f>
        <v>61.2</v>
      </c>
      <c r="N1052" s="11" t="n">
        <v>0.0308</v>
      </c>
      <c r="O1052" s="10" t="n">
        <f aca="false">M1052*(1+N1052)</f>
        <v>63.08496</v>
      </c>
      <c r="P1052" s="10" t="n">
        <f aca="false">O1052*L1052</f>
        <v>95132.11968</v>
      </c>
      <c r="Q1052" s="5" t="s">
        <v>113</v>
      </c>
      <c r="R1052" s="5" t="n">
        <v>0</v>
      </c>
      <c r="S1052" s="5" t="n">
        <v>30</v>
      </c>
      <c r="T1052" s="12" t="n">
        <f aca="false">(O1052-M1052)/M1052</f>
        <v>0.0308</v>
      </c>
      <c r="U1052" s="8" t="n">
        <f aca="false">IF(AND(K1052&lt;=I1052,R1052=0),1,0)</f>
        <v>1</v>
      </c>
      <c r="V1052" s="10" t="n">
        <f aca="false">IF(Q1052="No",P1052,0)</f>
        <v>0</v>
      </c>
    </row>
    <row r="1053" customFormat="false" ht="15" hidden="false" customHeight="false" outlineLevel="0" collapsed="false">
      <c r="A1053" s="5" t="s">
        <v>1187</v>
      </c>
      <c r="B1053" s="5" t="s">
        <v>77</v>
      </c>
      <c r="C1053" s="7" t="n">
        <v>46123</v>
      </c>
      <c r="D1053" s="8" t="str">
        <f aca="false">INDEX(Dim_Supplier!$C$2:$C$21,MATCH(B1053,Dim_Supplier!$A$2:$A$21,0))</f>
        <v>MRO</v>
      </c>
      <c r="E1053" s="8" t="str">
        <f aca="false">INDEX(Dim_Supplier!$B$2:$B$21,MATCH(B1053,Dim_Supplier!$A$2:$A$21,0))</f>
        <v>Apex Industrial Supply</v>
      </c>
      <c r="F1053" s="5" t="s">
        <v>111</v>
      </c>
      <c r="G1053" s="5" t="s">
        <v>129</v>
      </c>
      <c r="H1053" s="8" t="n">
        <f aca="false">INDEX(Lookup_Tables!$B$2:$B$5,MATCH(D1053,Lookup_Tables!$A$2:$A$5,0))</f>
        <v>10</v>
      </c>
      <c r="I1053" s="9" t="n">
        <f aca="false">C1053+H1053</f>
        <v>46133</v>
      </c>
      <c r="J1053" s="5" t="n">
        <v>3</v>
      </c>
      <c r="K1053" s="9" t="n">
        <f aca="false">I1053+J1053</f>
        <v>46136</v>
      </c>
      <c r="L1053" s="5" t="n">
        <v>71</v>
      </c>
      <c r="M1053" s="10" t="n">
        <f aca="false">INDEX(Dim_Supplier!$F$2:$F$21,MATCH(B1053,Dim_Supplier!$A$2:$A$21,0))</f>
        <v>24.6</v>
      </c>
      <c r="N1053" s="11" t="n">
        <v>0.0338</v>
      </c>
      <c r="O1053" s="10" t="n">
        <f aca="false">M1053*(1+N1053)</f>
        <v>25.43148</v>
      </c>
      <c r="P1053" s="10" t="n">
        <f aca="false">O1053*L1053</f>
        <v>1805.63508</v>
      </c>
      <c r="Q1053" s="5" t="s">
        <v>133</v>
      </c>
      <c r="R1053" s="5" t="n">
        <v>0</v>
      </c>
      <c r="S1053" s="5" t="n">
        <v>30</v>
      </c>
      <c r="T1053" s="12" t="n">
        <f aca="false">(O1053-M1053)/M1053</f>
        <v>0.0338000000000001</v>
      </c>
      <c r="U1053" s="8" t="n">
        <f aca="false">IF(AND(K1053&lt;=I1053,R1053=0),1,0)</f>
        <v>0</v>
      </c>
      <c r="V1053" s="10" t="n">
        <f aca="false">IF(Q1053="No",P1053,0)</f>
        <v>1805.63508</v>
      </c>
    </row>
    <row r="1054" customFormat="false" ht="15" hidden="false" customHeight="false" outlineLevel="0" collapsed="false">
      <c r="A1054" s="5" t="s">
        <v>1188</v>
      </c>
      <c r="B1054" s="5" t="s">
        <v>57</v>
      </c>
      <c r="C1054" s="7" t="n">
        <v>45562</v>
      </c>
      <c r="D1054" s="8" t="str">
        <f aca="false">INDEX(Dim_Supplier!$C$2:$C$21,MATCH(B1054,Dim_Supplier!$A$2:$A$21,0))</f>
        <v>Packaging</v>
      </c>
      <c r="E1054" s="8" t="str">
        <f aca="false">INDEX(Dim_Supplier!$B$2:$B$21,MATCH(B1054,Dim_Supplier!$A$2:$A$21,0))</f>
        <v>Great Lakes Packaging Co.</v>
      </c>
      <c r="F1054" s="5" t="s">
        <v>119</v>
      </c>
      <c r="G1054" s="5" t="s">
        <v>125</v>
      </c>
      <c r="H1054" s="8" t="n">
        <f aca="false">INDEX(Lookup_Tables!$B$2:$B$5,MATCH(D1054,Lookup_Tables!$A$2:$A$5,0))</f>
        <v>14</v>
      </c>
      <c r="I1054" s="9" t="n">
        <f aca="false">C1054+H1054</f>
        <v>45576</v>
      </c>
      <c r="J1054" s="5" t="n">
        <v>-3</v>
      </c>
      <c r="K1054" s="9" t="n">
        <f aca="false">I1054+J1054</f>
        <v>45573</v>
      </c>
      <c r="L1054" s="5" t="n">
        <v>1628</v>
      </c>
      <c r="M1054" s="10" t="n">
        <f aca="false">INDEX(Dim_Supplier!$F$2:$F$21,MATCH(B1054,Dim_Supplier!$A$2:$A$21,0))</f>
        <v>4.35</v>
      </c>
      <c r="N1054" s="11" t="n">
        <v>0.0221</v>
      </c>
      <c r="O1054" s="10" t="n">
        <f aca="false">M1054*(1+N1054)</f>
        <v>4.446135</v>
      </c>
      <c r="P1054" s="10" t="n">
        <f aca="false">O1054*L1054</f>
        <v>7238.30778</v>
      </c>
      <c r="Q1054" s="5" t="s">
        <v>113</v>
      </c>
      <c r="R1054" s="5" t="n">
        <v>0</v>
      </c>
      <c r="S1054" s="5" t="n">
        <v>30</v>
      </c>
      <c r="T1054" s="12" t="n">
        <f aca="false">(O1054-M1054)/M1054</f>
        <v>0.0221000000000001</v>
      </c>
      <c r="U1054" s="8" t="n">
        <f aca="false">IF(AND(K1054&lt;=I1054,R1054=0),1,0)</f>
        <v>1</v>
      </c>
      <c r="V1054" s="10" t="n">
        <f aca="false">IF(Q1054="No",P1054,0)</f>
        <v>0</v>
      </c>
    </row>
    <row r="1055" customFormat="false" ht="15" hidden="false" customHeight="false" outlineLevel="0" collapsed="false">
      <c r="A1055" s="5" t="s">
        <v>1189</v>
      </c>
      <c r="B1055" s="5" t="s">
        <v>46</v>
      </c>
      <c r="C1055" s="7" t="n">
        <v>45890</v>
      </c>
      <c r="D1055" s="8" t="str">
        <f aca="false">INDEX(Dim_Supplier!$C$2:$C$21,MATCH(B1055,Dim_Supplier!$A$2:$A$21,0))</f>
        <v>Raw Materials</v>
      </c>
      <c r="E1055" s="8" t="str">
        <f aca="false">INDEX(Dim_Supplier!$B$2:$B$21,MATCH(B1055,Dim_Supplier!$A$2:$A$21,0))</f>
        <v>Niagara Alloy Supply</v>
      </c>
      <c r="F1055" s="5" t="s">
        <v>142</v>
      </c>
      <c r="G1055" s="5" t="s">
        <v>125</v>
      </c>
      <c r="H1055" s="8" t="n">
        <f aca="false">INDEX(Lookup_Tables!$B$2:$B$5,MATCH(D1055,Lookup_Tables!$A$2:$A$5,0))</f>
        <v>21</v>
      </c>
      <c r="I1055" s="9" t="n">
        <f aca="false">C1055+H1055</f>
        <v>45911</v>
      </c>
      <c r="J1055" s="5" t="n">
        <v>-2</v>
      </c>
      <c r="K1055" s="9" t="n">
        <f aca="false">I1055+J1055</f>
        <v>45909</v>
      </c>
      <c r="L1055" s="5" t="n">
        <v>592</v>
      </c>
      <c r="M1055" s="10" t="n">
        <f aca="false">INDEX(Dim_Supplier!$F$2:$F$21,MATCH(B1055,Dim_Supplier!$A$2:$A$21,0))</f>
        <v>46.5</v>
      </c>
      <c r="N1055" s="11" t="n">
        <v>0.0088</v>
      </c>
      <c r="O1055" s="10" t="n">
        <f aca="false">M1055*(1+N1055)</f>
        <v>46.9092</v>
      </c>
      <c r="P1055" s="10" t="n">
        <f aca="false">O1055*L1055</f>
        <v>27770.2464</v>
      </c>
      <c r="Q1055" s="5" t="s">
        <v>113</v>
      </c>
      <c r="R1055" s="5" t="n">
        <v>0</v>
      </c>
      <c r="S1055" s="5" t="n">
        <v>60</v>
      </c>
      <c r="T1055" s="12" t="n">
        <f aca="false">(O1055-M1055)/M1055</f>
        <v>0.00879999999999997</v>
      </c>
      <c r="U1055" s="8" t="n">
        <f aca="false">IF(AND(K1055&lt;=I1055,R1055=0),1,0)</f>
        <v>1</v>
      </c>
      <c r="V1055" s="10" t="n">
        <f aca="false">IF(Q1055="No",P1055,0)</f>
        <v>0</v>
      </c>
    </row>
    <row r="1056" customFormat="false" ht="15" hidden="false" customHeight="false" outlineLevel="0" collapsed="false">
      <c r="A1056" s="5" t="s">
        <v>1190</v>
      </c>
      <c r="B1056" s="5" t="s">
        <v>57</v>
      </c>
      <c r="C1056" s="7" t="n">
        <v>46040</v>
      </c>
      <c r="D1056" s="8" t="str">
        <f aca="false">INDEX(Dim_Supplier!$C$2:$C$21,MATCH(B1056,Dim_Supplier!$A$2:$A$21,0))</f>
        <v>Packaging</v>
      </c>
      <c r="E1056" s="8" t="str">
        <f aca="false">INDEX(Dim_Supplier!$B$2:$B$21,MATCH(B1056,Dim_Supplier!$A$2:$A$21,0))</f>
        <v>Great Lakes Packaging Co.</v>
      </c>
      <c r="F1056" s="5" t="s">
        <v>137</v>
      </c>
      <c r="G1056" s="5" t="s">
        <v>112</v>
      </c>
      <c r="H1056" s="8" t="n">
        <f aca="false">INDEX(Lookup_Tables!$B$2:$B$5,MATCH(D1056,Lookup_Tables!$A$2:$A$5,0))</f>
        <v>14</v>
      </c>
      <c r="I1056" s="9" t="n">
        <f aca="false">C1056+H1056</f>
        <v>46054</v>
      </c>
      <c r="J1056" s="5" t="n">
        <v>0</v>
      </c>
      <c r="K1056" s="9" t="n">
        <f aca="false">I1056+J1056</f>
        <v>46054</v>
      </c>
      <c r="L1056" s="5" t="n">
        <v>1178</v>
      </c>
      <c r="M1056" s="10" t="n">
        <f aca="false">INDEX(Dim_Supplier!$F$2:$F$21,MATCH(B1056,Dim_Supplier!$A$2:$A$21,0))</f>
        <v>4.35</v>
      </c>
      <c r="N1056" s="11" t="n">
        <v>0.0286</v>
      </c>
      <c r="O1056" s="10" t="n">
        <f aca="false">M1056*(1+N1056)</f>
        <v>4.47441</v>
      </c>
      <c r="P1056" s="10" t="n">
        <f aca="false">O1056*L1056</f>
        <v>5270.85498</v>
      </c>
      <c r="Q1056" s="5" t="s">
        <v>113</v>
      </c>
      <c r="R1056" s="5" t="n">
        <v>0</v>
      </c>
      <c r="S1056" s="5" t="n">
        <v>30</v>
      </c>
      <c r="T1056" s="12" t="n">
        <f aca="false">(O1056-M1056)/M1056</f>
        <v>0.0286</v>
      </c>
      <c r="U1056" s="8" t="n">
        <f aca="false">IF(AND(K1056&lt;=I1056,R1056=0),1,0)</f>
        <v>1</v>
      </c>
      <c r="V1056" s="10" t="n">
        <f aca="false">IF(Q1056="No",P1056,0)</f>
        <v>0</v>
      </c>
    </row>
    <row r="1057" customFormat="false" ht="15" hidden="false" customHeight="false" outlineLevel="0" collapsed="false">
      <c r="A1057" s="5" t="s">
        <v>1191</v>
      </c>
      <c r="B1057" s="5" t="s">
        <v>73</v>
      </c>
      <c r="C1057" s="7" t="n">
        <v>46168</v>
      </c>
      <c r="D1057" s="8" t="str">
        <f aca="false">INDEX(Dim_Supplier!$C$2:$C$21,MATCH(B1057,Dim_Supplier!$A$2:$A$21,0))</f>
        <v>MRO</v>
      </c>
      <c r="E1057" s="8" t="str">
        <f aca="false">INDEX(Dim_Supplier!$B$2:$B$21,MATCH(B1057,Dim_Supplier!$A$2:$A$21,0))</f>
        <v>Frontier MRO Solutions</v>
      </c>
      <c r="F1057" s="5" t="s">
        <v>164</v>
      </c>
      <c r="G1057" s="5" t="s">
        <v>129</v>
      </c>
      <c r="H1057" s="8" t="n">
        <f aca="false">INDEX(Lookup_Tables!$B$2:$B$5,MATCH(D1057,Lookup_Tables!$A$2:$A$5,0))</f>
        <v>10</v>
      </c>
      <c r="I1057" s="9" t="n">
        <f aca="false">C1057+H1057</f>
        <v>46178</v>
      </c>
      <c r="J1057" s="5" t="n">
        <v>7</v>
      </c>
      <c r="K1057" s="9" t="n">
        <f aca="false">I1057+J1057</f>
        <v>46185</v>
      </c>
      <c r="L1057" s="5" t="n">
        <v>59</v>
      </c>
      <c r="M1057" s="10" t="n">
        <f aca="false">INDEX(Dim_Supplier!$F$2:$F$21,MATCH(B1057,Dim_Supplier!$A$2:$A$21,0))</f>
        <v>15.9</v>
      </c>
      <c r="N1057" s="11" t="n">
        <v>0.1606</v>
      </c>
      <c r="O1057" s="10" t="n">
        <f aca="false">M1057*(1+N1057)</f>
        <v>18.45354</v>
      </c>
      <c r="P1057" s="10" t="n">
        <f aca="false">O1057*L1057</f>
        <v>1088.75886</v>
      </c>
      <c r="Q1057" s="5" t="s">
        <v>113</v>
      </c>
      <c r="R1057" s="5" t="n">
        <v>0</v>
      </c>
      <c r="S1057" s="5" t="n">
        <v>60</v>
      </c>
      <c r="T1057" s="12" t="n">
        <f aca="false">(O1057-M1057)/M1057</f>
        <v>0.1606</v>
      </c>
      <c r="U1057" s="8" t="n">
        <f aca="false">IF(AND(K1057&lt;=I1057,R1057=0),1,0)</f>
        <v>0</v>
      </c>
      <c r="V1057" s="10" t="n">
        <f aca="false">IF(Q1057="No",P1057,0)</f>
        <v>0</v>
      </c>
    </row>
    <row r="1058" customFormat="false" ht="15" hidden="false" customHeight="false" outlineLevel="0" collapsed="false">
      <c r="A1058" s="5" t="s">
        <v>1192</v>
      </c>
      <c r="B1058" s="5" t="s">
        <v>52</v>
      </c>
      <c r="C1058" s="7" t="n">
        <v>45399</v>
      </c>
      <c r="D1058" s="8" t="str">
        <f aca="false">INDEX(Dim_Supplier!$C$2:$C$21,MATCH(B1058,Dim_Supplier!$A$2:$A$21,0))</f>
        <v>Raw Materials</v>
      </c>
      <c r="E1058" s="8" t="str">
        <f aca="false">INDEX(Dim_Supplier!$B$2:$B$21,MATCH(B1058,Dim_Supplier!$A$2:$A$21,0))</f>
        <v>Laurentian Metals Inc.</v>
      </c>
      <c r="F1058" s="5" t="s">
        <v>139</v>
      </c>
      <c r="G1058" s="5" t="s">
        <v>112</v>
      </c>
      <c r="H1058" s="8" t="n">
        <f aca="false">INDEX(Lookup_Tables!$B$2:$B$5,MATCH(D1058,Lookup_Tables!$A$2:$A$5,0))</f>
        <v>21</v>
      </c>
      <c r="I1058" s="9" t="n">
        <f aca="false">C1058+H1058</f>
        <v>45420</v>
      </c>
      <c r="J1058" s="5" t="n">
        <v>-2</v>
      </c>
      <c r="K1058" s="9" t="n">
        <f aca="false">I1058+J1058</f>
        <v>45418</v>
      </c>
      <c r="L1058" s="5" t="n">
        <v>1152</v>
      </c>
      <c r="M1058" s="10" t="n">
        <f aca="false">INDEX(Dim_Supplier!$F$2:$F$21,MATCH(B1058,Dim_Supplier!$A$2:$A$21,0))</f>
        <v>61.2</v>
      </c>
      <c r="N1058" s="11" t="n">
        <v>-0.0112</v>
      </c>
      <c r="O1058" s="10" t="n">
        <f aca="false">M1058*(1+N1058)</f>
        <v>60.51456</v>
      </c>
      <c r="P1058" s="10" t="n">
        <f aca="false">O1058*L1058</f>
        <v>69712.77312</v>
      </c>
      <c r="Q1058" s="5" t="s">
        <v>113</v>
      </c>
      <c r="R1058" s="5" t="n">
        <v>0</v>
      </c>
      <c r="S1058" s="5" t="n">
        <v>30</v>
      </c>
      <c r="T1058" s="12" t="n">
        <f aca="false">(O1058-M1058)/M1058</f>
        <v>-0.0112</v>
      </c>
      <c r="U1058" s="8" t="n">
        <f aca="false">IF(AND(K1058&lt;=I1058,R1058=0),1,0)</f>
        <v>1</v>
      </c>
      <c r="V1058" s="10" t="n">
        <f aca="false">IF(Q1058="No",P1058,0)</f>
        <v>0</v>
      </c>
    </row>
    <row r="1059" customFormat="false" ht="15" hidden="false" customHeight="false" outlineLevel="0" collapsed="false">
      <c r="A1059" s="5" t="s">
        <v>1193</v>
      </c>
      <c r="B1059" s="5" t="s">
        <v>62</v>
      </c>
      <c r="C1059" s="7" t="n">
        <v>45449</v>
      </c>
      <c r="D1059" s="8" t="str">
        <f aca="false">INDEX(Dim_Supplier!$C$2:$C$21,MATCH(B1059,Dim_Supplier!$A$2:$A$21,0))</f>
        <v>Packaging</v>
      </c>
      <c r="E1059" s="8" t="str">
        <f aca="false">INDEX(Dim_Supplier!$B$2:$B$21,MATCH(B1059,Dim_Supplier!$A$2:$A$21,0))</f>
        <v>Trillium Packaging Solutions</v>
      </c>
      <c r="F1059" s="5" t="s">
        <v>122</v>
      </c>
      <c r="G1059" s="5" t="s">
        <v>129</v>
      </c>
      <c r="H1059" s="8" t="n">
        <f aca="false">INDEX(Lookup_Tables!$B$2:$B$5,MATCH(D1059,Lookup_Tables!$A$2:$A$5,0))</f>
        <v>14</v>
      </c>
      <c r="I1059" s="9" t="n">
        <f aca="false">C1059+H1059</f>
        <v>45463</v>
      </c>
      <c r="J1059" s="5" t="n">
        <v>-2</v>
      </c>
      <c r="K1059" s="9" t="n">
        <f aca="false">I1059+J1059</f>
        <v>45461</v>
      </c>
      <c r="L1059" s="5" t="n">
        <v>3478</v>
      </c>
      <c r="M1059" s="10" t="n">
        <f aca="false">INDEX(Dim_Supplier!$F$2:$F$21,MATCH(B1059,Dim_Supplier!$A$2:$A$21,0))</f>
        <v>5.6</v>
      </c>
      <c r="N1059" s="11" t="n">
        <v>0.0128</v>
      </c>
      <c r="O1059" s="10" t="n">
        <f aca="false">M1059*(1+N1059)</f>
        <v>5.67168</v>
      </c>
      <c r="P1059" s="10" t="n">
        <f aca="false">O1059*L1059</f>
        <v>19726.10304</v>
      </c>
      <c r="Q1059" s="5" t="s">
        <v>113</v>
      </c>
      <c r="R1059" s="5" t="n">
        <v>0</v>
      </c>
      <c r="S1059" s="5" t="n">
        <v>45</v>
      </c>
      <c r="T1059" s="12" t="n">
        <f aca="false">(O1059-M1059)/M1059</f>
        <v>0.0128</v>
      </c>
      <c r="U1059" s="8" t="n">
        <f aca="false">IF(AND(K1059&lt;=I1059,R1059=0),1,0)</f>
        <v>1</v>
      </c>
      <c r="V1059" s="10" t="n">
        <f aca="false">IF(Q1059="No",P1059,0)</f>
        <v>0</v>
      </c>
    </row>
    <row r="1060" customFormat="false" ht="15" hidden="false" customHeight="false" outlineLevel="0" collapsed="false">
      <c r="A1060" s="5" t="s">
        <v>1194</v>
      </c>
      <c r="B1060" s="5" t="s">
        <v>52</v>
      </c>
      <c r="C1060" s="7" t="n">
        <v>45701</v>
      </c>
      <c r="D1060" s="8" t="str">
        <f aca="false">INDEX(Dim_Supplier!$C$2:$C$21,MATCH(B1060,Dim_Supplier!$A$2:$A$21,0))</f>
        <v>Raw Materials</v>
      </c>
      <c r="E1060" s="8" t="str">
        <f aca="false">INDEX(Dim_Supplier!$B$2:$B$21,MATCH(B1060,Dim_Supplier!$A$2:$A$21,0))</f>
        <v>Laurentian Metals Inc.</v>
      </c>
      <c r="F1060" s="5" t="s">
        <v>115</v>
      </c>
      <c r="G1060" s="5" t="s">
        <v>129</v>
      </c>
      <c r="H1060" s="8" t="n">
        <f aca="false">INDEX(Lookup_Tables!$B$2:$B$5,MATCH(D1060,Lookup_Tables!$A$2:$A$5,0))</f>
        <v>21</v>
      </c>
      <c r="I1060" s="9" t="n">
        <f aca="false">C1060+H1060</f>
        <v>45722</v>
      </c>
      <c r="J1060" s="5" t="n">
        <v>-3</v>
      </c>
      <c r="K1060" s="9" t="n">
        <f aca="false">I1060+J1060</f>
        <v>45719</v>
      </c>
      <c r="L1060" s="5" t="n">
        <v>729</v>
      </c>
      <c r="M1060" s="10" t="n">
        <f aca="false">INDEX(Dim_Supplier!$F$2:$F$21,MATCH(B1060,Dim_Supplier!$A$2:$A$21,0))</f>
        <v>61.2</v>
      </c>
      <c r="N1060" s="11" t="n">
        <v>0.0318</v>
      </c>
      <c r="O1060" s="10" t="n">
        <f aca="false">M1060*(1+N1060)</f>
        <v>63.14616</v>
      </c>
      <c r="P1060" s="10" t="n">
        <f aca="false">O1060*L1060</f>
        <v>46033.55064</v>
      </c>
      <c r="Q1060" s="5" t="s">
        <v>133</v>
      </c>
      <c r="R1060" s="5" t="n">
        <v>0</v>
      </c>
      <c r="S1060" s="5" t="n">
        <v>30</v>
      </c>
      <c r="T1060" s="12" t="n">
        <f aca="false">(O1060-M1060)/M1060</f>
        <v>0.0318000000000001</v>
      </c>
      <c r="U1060" s="8" t="n">
        <f aca="false">IF(AND(K1060&lt;=I1060,R1060=0),1,0)</f>
        <v>1</v>
      </c>
      <c r="V1060" s="10" t="n">
        <f aca="false">IF(Q1060="No",P1060,0)</f>
        <v>46033.55064</v>
      </c>
    </row>
    <row r="1061" customFormat="false" ht="15" hidden="false" customHeight="false" outlineLevel="0" collapsed="false">
      <c r="A1061" s="5" t="s">
        <v>1195</v>
      </c>
      <c r="B1061" s="5" t="s">
        <v>62</v>
      </c>
      <c r="C1061" s="7" t="n">
        <v>45401</v>
      </c>
      <c r="D1061" s="8" t="str">
        <f aca="false">INDEX(Dim_Supplier!$C$2:$C$21,MATCH(B1061,Dim_Supplier!$A$2:$A$21,0))</f>
        <v>Packaging</v>
      </c>
      <c r="E1061" s="8" t="str">
        <f aca="false">INDEX(Dim_Supplier!$B$2:$B$21,MATCH(B1061,Dim_Supplier!$A$2:$A$21,0))</f>
        <v>Trillium Packaging Solutions</v>
      </c>
      <c r="F1061" s="5" t="s">
        <v>117</v>
      </c>
      <c r="G1061" s="5" t="s">
        <v>112</v>
      </c>
      <c r="H1061" s="8" t="n">
        <f aca="false">INDEX(Lookup_Tables!$B$2:$B$5,MATCH(D1061,Lookup_Tables!$A$2:$A$5,0))</f>
        <v>14</v>
      </c>
      <c r="I1061" s="9" t="n">
        <f aca="false">C1061+H1061</f>
        <v>45415</v>
      </c>
      <c r="J1061" s="5" t="n">
        <v>-1</v>
      </c>
      <c r="K1061" s="9" t="n">
        <f aca="false">I1061+J1061</f>
        <v>45414</v>
      </c>
      <c r="L1061" s="5" t="n">
        <v>2685</v>
      </c>
      <c r="M1061" s="10" t="n">
        <f aca="false">INDEX(Dim_Supplier!$F$2:$F$21,MATCH(B1061,Dim_Supplier!$A$2:$A$21,0))</f>
        <v>5.6</v>
      </c>
      <c r="N1061" s="11" t="n">
        <v>0.0223</v>
      </c>
      <c r="O1061" s="10" t="n">
        <f aca="false">M1061*(1+N1061)</f>
        <v>5.72488</v>
      </c>
      <c r="P1061" s="10" t="n">
        <f aca="false">O1061*L1061</f>
        <v>15371.3028</v>
      </c>
      <c r="Q1061" s="5" t="s">
        <v>113</v>
      </c>
      <c r="R1061" s="5" t="n">
        <v>0</v>
      </c>
      <c r="S1061" s="5" t="n">
        <v>30</v>
      </c>
      <c r="T1061" s="12" t="n">
        <f aca="false">(O1061-M1061)/M1061</f>
        <v>0.0223</v>
      </c>
      <c r="U1061" s="8" t="n">
        <f aca="false">IF(AND(K1061&lt;=I1061,R1061=0),1,0)</f>
        <v>1</v>
      </c>
      <c r="V1061" s="10" t="n">
        <f aca="false">IF(Q1061="No",P1061,0)</f>
        <v>0</v>
      </c>
    </row>
    <row r="1062" customFormat="false" ht="15" hidden="false" customHeight="false" outlineLevel="0" collapsed="false">
      <c r="A1062" s="5" t="s">
        <v>1196</v>
      </c>
      <c r="B1062" s="5" t="s">
        <v>54</v>
      </c>
      <c r="C1062" s="7" t="n">
        <v>45855</v>
      </c>
      <c r="D1062" s="8" t="str">
        <f aca="false">INDEX(Dim_Supplier!$C$2:$C$21,MATCH(B1062,Dim_Supplier!$A$2:$A$21,0))</f>
        <v>Raw Materials</v>
      </c>
      <c r="E1062" s="8" t="str">
        <f aca="false">INDEX(Dim_Supplier!$B$2:$B$21,MATCH(B1062,Dim_Supplier!$A$2:$A$21,0))</f>
        <v>Northern Resin Solutions</v>
      </c>
      <c r="F1062" s="5" t="s">
        <v>148</v>
      </c>
      <c r="G1062" s="5" t="s">
        <v>120</v>
      </c>
      <c r="H1062" s="8" t="n">
        <f aca="false">INDEX(Lookup_Tables!$B$2:$B$5,MATCH(D1062,Lookup_Tables!$A$2:$A$5,0))</f>
        <v>21</v>
      </c>
      <c r="I1062" s="9" t="n">
        <f aca="false">C1062+H1062</f>
        <v>45876</v>
      </c>
      <c r="J1062" s="5" t="n">
        <v>-2</v>
      </c>
      <c r="K1062" s="9" t="n">
        <f aca="false">I1062+J1062</f>
        <v>45874</v>
      </c>
      <c r="L1062" s="5" t="n">
        <v>1128</v>
      </c>
      <c r="M1062" s="10" t="n">
        <f aca="false">INDEX(Dim_Supplier!$F$2:$F$21,MATCH(B1062,Dim_Supplier!$A$2:$A$21,0))</f>
        <v>38.9</v>
      </c>
      <c r="N1062" s="11" t="n">
        <v>0.0548</v>
      </c>
      <c r="O1062" s="10" t="n">
        <f aca="false">M1062*(1+N1062)</f>
        <v>41.03172</v>
      </c>
      <c r="P1062" s="10" t="n">
        <f aca="false">O1062*L1062</f>
        <v>46283.78016</v>
      </c>
      <c r="Q1062" s="5" t="s">
        <v>113</v>
      </c>
      <c r="R1062" s="5" t="n">
        <v>0</v>
      </c>
      <c r="S1062" s="5" t="n">
        <v>30</v>
      </c>
      <c r="T1062" s="12" t="n">
        <f aca="false">(O1062-M1062)/M1062</f>
        <v>0.0548</v>
      </c>
      <c r="U1062" s="8" t="n">
        <f aca="false">IF(AND(K1062&lt;=I1062,R1062=0),1,0)</f>
        <v>1</v>
      </c>
      <c r="V1062" s="10" t="n">
        <f aca="false">IF(Q1062="No",P1062,0)</f>
        <v>0</v>
      </c>
    </row>
    <row r="1063" customFormat="false" ht="15" hidden="false" customHeight="false" outlineLevel="0" collapsed="false">
      <c r="A1063" s="5" t="s">
        <v>1197</v>
      </c>
      <c r="B1063" s="5" t="s">
        <v>60</v>
      </c>
      <c r="C1063" s="7" t="n">
        <v>45342</v>
      </c>
      <c r="D1063" s="8" t="str">
        <f aca="false">INDEX(Dim_Supplier!$C$2:$C$21,MATCH(B1063,Dim_Supplier!$A$2:$A$21,0))</f>
        <v>Packaging</v>
      </c>
      <c r="E1063" s="8" t="str">
        <f aca="false">INDEX(Dim_Supplier!$B$2:$B$21,MATCH(B1063,Dim_Supplier!$A$2:$A$21,0))</f>
        <v>Maple Leaf Box &amp; Crate</v>
      </c>
      <c r="F1063" s="5" t="s">
        <v>137</v>
      </c>
      <c r="G1063" s="5" t="s">
        <v>125</v>
      </c>
      <c r="H1063" s="8" t="n">
        <f aca="false">INDEX(Lookup_Tables!$B$2:$B$5,MATCH(D1063,Lookup_Tables!$A$2:$A$5,0))</f>
        <v>14</v>
      </c>
      <c r="I1063" s="9" t="n">
        <f aca="false">C1063+H1063</f>
        <v>45356</v>
      </c>
      <c r="J1063" s="5" t="n">
        <v>-1</v>
      </c>
      <c r="K1063" s="9" t="n">
        <f aca="false">I1063+J1063</f>
        <v>45355</v>
      </c>
      <c r="L1063" s="5" t="n">
        <v>1947</v>
      </c>
      <c r="M1063" s="10" t="n">
        <f aca="false">INDEX(Dim_Supplier!$F$2:$F$21,MATCH(B1063,Dim_Supplier!$A$2:$A$21,0))</f>
        <v>3.1</v>
      </c>
      <c r="N1063" s="11" t="n">
        <v>0.0522</v>
      </c>
      <c r="O1063" s="10" t="n">
        <f aca="false">M1063*(1+N1063)</f>
        <v>3.26182</v>
      </c>
      <c r="P1063" s="10" t="n">
        <f aca="false">O1063*L1063</f>
        <v>6350.76354</v>
      </c>
      <c r="Q1063" s="5" t="s">
        <v>113</v>
      </c>
      <c r="R1063" s="5" t="n">
        <v>0</v>
      </c>
      <c r="S1063" s="5" t="n">
        <v>30</v>
      </c>
      <c r="T1063" s="12" t="n">
        <f aca="false">(O1063-M1063)/M1063</f>
        <v>0.0522</v>
      </c>
      <c r="U1063" s="8" t="n">
        <f aca="false">IF(AND(K1063&lt;=I1063,R1063=0),1,0)</f>
        <v>1</v>
      </c>
      <c r="V1063" s="10" t="n">
        <f aca="false">IF(Q1063="No",P1063,0)</f>
        <v>0</v>
      </c>
    </row>
    <row r="1064" customFormat="false" ht="15" hidden="false" customHeight="false" outlineLevel="0" collapsed="false">
      <c r="A1064" s="5" t="s">
        <v>1198</v>
      </c>
      <c r="B1064" s="5" t="s">
        <v>62</v>
      </c>
      <c r="C1064" s="7" t="n">
        <v>45989</v>
      </c>
      <c r="D1064" s="8" t="str">
        <f aca="false">INDEX(Dim_Supplier!$C$2:$C$21,MATCH(B1064,Dim_Supplier!$A$2:$A$21,0))</f>
        <v>Packaging</v>
      </c>
      <c r="E1064" s="8" t="str">
        <f aca="false">INDEX(Dim_Supplier!$B$2:$B$21,MATCH(B1064,Dim_Supplier!$A$2:$A$21,0))</f>
        <v>Trillium Packaging Solutions</v>
      </c>
      <c r="F1064" s="5" t="s">
        <v>117</v>
      </c>
      <c r="G1064" s="5" t="s">
        <v>112</v>
      </c>
      <c r="H1064" s="8" t="n">
        <f aca="false">INDEX(Lookup_Tables!$B$2:$B$5,MATCH(D1064,Lookup_Tables!$A$2:$A$5,0))</f>
        <v>14</v>
      </c>
      <c r="I1064" s="9" t="n">
        <f aca="false">C1064+H1064</f>
        <v>46003</v>
      </c>
      <c r="J1064" s="5" t="n">
        <v>-2</v>
      </c>
      <c r="K1064" s="9" t="n">
        <f aca="false">I1064+J1064</f>
        <v>46001</v>
      </c>
      <c r="L1064" s="5" t="n">
        <v>935</v>
      </c>
      <c r="M1064" s="10" t="n">
        <f aca="false">INDEX(Dim_Supplier!$F$2:$F$21,MATCH(B1064,Dim_Supplier!$A$2:$A$21,0))</f>
        <v>5.6</v>
      </c>
      <c r="N1064" s="11" t="n">
        <v>0.0164</v>
      </c>
      <c r="O1064" s="10" t="n">
        <f aca="false">M1064*(1+N1064)</f>
        <v>5.69184</v>
      </c>
      <c r="P1064" s="10" t="n">
        <f aca="false">O1064*L1064</f>
        <v>5321.8704</v>
      </c>
      <c r="Q1064" s="5" t="s">
        <v>113</v>
      </c>
      <c r="R1064" s="5" t="n">
        <v>0</v>
      </c>
      <c r="S1064" s="5" t="n">
        <v>30</v>
      </c>
      <c r="T1064" s="12" t="n">
        <f aca="false">(O1064-M1064)/M1064</f>
        <v>0.0163999999999999</v>
      </c>
      <c r="U1064" s="8" t="n">
        <f aca="false">IF(AND(K1064&lt;=I1064,R1064=0),1,0)</f>
        <v>1</v>
      </c>
      <c r="V1064" s="10" t="n">
        <f aca="false">IF(Q1064="No",P1064,0)</f>
        <v>0</v>
      </c>
    </row>
    <row r="1065" customFormat="false" ht="15" hidden="false" customHeight="false" outlineLevel="0" collapsed="false">
      <c r="A1065" s="5" t="s">
        <v>1199</v>
      </c>
      <c r="B1065" s="5" t="s">
        <v>68</v>
      </c>
      <c r="C1065" s="7" t="n">
        <v>45574</v>
      </c>
      <c r="D1065" s="8" t="str">
        <f aca="false">INDEX(Dim_Supplier!$C$2:$C$21,MATCH(B1065,Dim_Supplier!$A$2:$A$21,0))</f>
        <v>MRO</v>
      </c>
      <c r="E1065" s="8" t="str">
        <f aca="false">INDEX(Dim_Supplier!$B$2:$B$21,MATCH(B1065,Dim_Supplier!$A$2:$A$21,0))</f>
        <v>Precision Tool &amp; Supply</v>
      </c>
      <c r="F1065" s="5" t="s">
        <v>164</v>
      </c>
      <c r="G1065" s="5" t="s">
        <v>125</v>
      </c>
      <c r="H1065" s="8" t="n">
        <f aca="false">INDEX(Lookup_Tables!$B$2:$B$5,MATCH(D1065,Lookup_Tables!$A$2:$A$5,0))</f>
        <v>10</v>
      </c>
      <c r="I1065" s="9" t="n">
        <f aca="false">C1065+H1065</f>
        <v>45584</v>
      </c>
      <c r="J1065" s="5" t="n">
        <v>-4</v>
      </c>
      <c r="K1065" s="9" t="n">
        <f aca="false">I1065+J1065</f>
        <v>45580</v>
      </c>
      <c r="L1065" s="5" t="n">
        <v>192</v>
      </c>
      <c r="M1065" s="10" t="n">
        <f aca="false">INDEX(Dim_Supplier!$F$2:$F$21,MATCH(B1065,Dim_Supplier!$A$2:$A$21,0))</f>
        <v>22.4</v>
      </c>
      <c r="N1065" s="11" t="n">
        <v>0.0158</v>
      </c>
      <c r="O1065" s="10" t="n">
        <f aca="false">M1065*(1+N1065)</f>
        <v>22.75392</v>
      </c>
      <c r="P1065" s="10" t="n">
        <f aca="false">O1065*L1065</f>
        <v>4368.75264</v>
      </c>
      <c r="Q1065" s="5" t="s">
        <v>113</v>
      </c>
      <c r="R1065" s="5" t="n">
        <v>0</v>
      </c>
      <c r="S1065" s="5" t="n">
        <v>30</v>
      </c>
      <c r="T1065" s="12" t="n">
        <f aca="false">(O1065-M1065)/M1065</f>
        <v>0.0158000000000001</v>
      </c>
      <c r="U1065" s="8" t="n">
        <f aca="false">IF(AND(K1065&lt;=I1065,R1065=0),1,0)</f>
        <v>1</v>
      </c>
      <c r="V1065" s="10" t="n">
        <f aca="false">IF(Q1065="No",P1065,0)</f>
        <v>0</v>
      </c>
    </row>
    <row r="1066" customFormat="false" ht="15" hidden="false" customHeight="false" outlineLevel="0" collapsed="false">
      <c r="A1066" s="5" t="s">
        <v>1200</v>
      </c>
      <c r="B1066" s="5" t="s">
        <v>49</v>
      </c>
      <c r="C1066" s="7" t="n">
        <v>45500</v>
      </c>
      <c r="D1066" s="8" t="str">
        <f aca="false">INDEX(Dim_Supplier!$C$2:$C$21,MATCH(B1066,Dim_Supplier!$A$2:$A$21,0))</f>
        <v>Raw Materials</v>
      </c>
      <c r="E1066" s="8" t="str">
        <f aca="false">INDEX(Dim_Supplier!$B$2:$B$21,MATCH(B1066,Dim_Supplier!$A$2:$A$21,0))</f>
        <v>Great Lakes Polymer Co.</v>
      </c>
      <c r="F1066" s="5" t="s">
        <v>139</v>
      </c>
      <c r="G1066" s="5" t="s">
        <v>120</v>
      </c>
      <c r="H1066" s="8" t="n">
        <f aca="false">INDEX(Lookup_Tables!$B$2:$B$5,MATCH(D1066,Lookup_Tables!$A$2:$A$5,0))</f>
        <v>21</v>
      </c>
      <c r="I1066" s="9" t="n">
        <f aca="false">C1066+H1066</f>
        <v>45521</v>
      </c>
      <c r="J1066" s="5" t="n">
        <v>4</v>
      </c>
      <c r="K1066" s="9" t="n">
        <f aca="false">I1066+J1066</f>
        <v>45525</v>
      </c>
      <c r="L1066" s="5" t="n">
        <v>106</v>
      </c>
      <c r="M1066" s="10" t="n">
        <f aca="false">INDEX(Dim_Supplier!$F$2:$F$21,MATCH(B1066,Dim_Supplier!$A$2:$A$21,0))</f>
        <v>32.75</v>
      </c>
      <c r="N1066" s="11" t="n">
        <v>0.1041</v>
      </c>
      <c r="O1066" s="10" t="n">
        <f aca="false">M1066*(1+N1066)</f>
        <v>36.159275</v>
      </c>
      <c r="P1066" s="10" t="n">
        <f aca="false">O1066*L1066</f>
        <v>3832.88315</v>
      </c>
      <c r="Q1066" s="5" t="s">
        <v>113</v>
      </c>
      <c r="R1066" s="5" t="n">
        <v>0</v>
      </c>
      <c r="S1066" s="5" t="n">
        <v>45</v>
      </c>
      <c r="T1066" s="12" t="n">
        <f aca="false">(O1066-M1066)/M1066</f>
        <v>0.1041</v>
      </c>
      <c r="U1066" s="8" t="n">
        <f aca="false">IF(AND(K1066&lt;=I1066,R1066=0),1,0)</f>
        <v>0</v>
      </c>
      <c r="V1066" s="10" t="n">
        <f aca="false">IF(Q1066="No",P1066,0)</f>
        <v>0</v>
      </c>
    </row>
    <row r="1067" customFormat="false" ht="15" hidden="false" customHeight="false" outlineLevel="0" collapsed="false">
      <c r="A1067" s="5" t="s">
        <v>1201</v>
      </c>
      <c r="B1067" s="5" t="s">
        <v>64</v>
      </c>
      <c r="C1067" s="7" t="n">
        <v>45604</v>
      </c>
      <c r="D1067" s="8" t="str">
        <f aca="false">INDEX(Dim_Supplier!$C$2:$C$21,MATCH(B1067,Dim_Supplier!$A$2:$A$21,0))</f>
        <v>Packaging</v>
      </c>
      <c r="E1067" s="8" t="str">
        <f aca="false">INDEX(Dim_Supplier!$B$2:$B$21,MATCH(B1067,Dim_Supplier!$A$2:$A$21,0))</f>
        <v>Huron Pallet Works</v>
      </c>
      <c r="F1067" s="5" t="s">
        <v>158</v>
      </c>
      <c r="G1067" s="5" t="s">
        <v>112</v>
      </c>
      <c r="H1067" s="8" t="n">
        <f aca="false">INDEX(Lookup_Tables!$B$2:$B$5,MATCH(D1067,Lookup_Tables!$A$2:$A$5,0))</f>
        <v>14</v>
      </c>
      <c r="I1067" s="9" t="n">
        <f aca="false">C1067+H1067</f>
        <v>45618</v>
      </c>
      <c r="J1067" s="5" t="n">
        <v>5</v>
      </c>
      <c r="K1067" s="9" t="n">
        <f aca="false">I1067+J1067</f>
        <v>45623</v>
      </c>
      <c r="L1067" s="5" t="n">
        <v>2034</v>
      </c>
      <c r="M1067" s="10" t="n">
        <f aca="false">INDEX(Dim_Supplier!$F$2:$F$21,MATCH(B1067,Dim_Supplier!$A$2:$A$21,0))</f>
        <v>2.25</v>
      </c>
      <c r="N1067" s="11" t="n">
        <v>0.147</v>
      </c>
      <c r="O1067" s="10" t="n">
        <f aca="false">M1067*(1+N1067)</f>
        <v>2.58075</v>
      </c>
      <c r="P1067" s="10" t="n">
        <f aca="false">O1067*L1067</f>
        <v>5249.2455</v>
      </c>
      <c r="Q1067" s="5" t="s">
        <v>113</v>
      </c>
      <c r="R1067" s="5" t="n">
        <v>0</v>
      </c>
      <c r="S1067" s="5" t="n">
        <v>60</v>
      </c>
      <c r="T1067" s="12" t="n">
        <f aca="false">(O1067-M1067)/M1067</f>
        <v>0.147</v>
      </c>
      <c r="U1067" s="8" t="n">
        <f aca="false">IF(AND(K1067&lt;=I1067,R1067=0),1,0)</f>
        <v>0</v>
      </c>
      <c r="V1067" s="10" t="n">
        <f aca="false">IF(Q1067="No",P1067,0)</f>
        <v>0</v>
      </c>
    </row>
    <row r="1068" customFormat="false" ht="15" hidden="false" customHeight="false" outlineLevel="0" collapsed="false">
      <c r="A1068" s="5" t="s">
        <v>1202</v>
      </c>
      <c r="B1068" s="5" t="s">
        <v>75</v>
      </c>
      <c r="C1068" s="7" t="n">
        <v>45730</v>
      </c>
      <c r="D1068" s="8" t="str">
        <f aca="false">INDEX(Dim_Supplier!$C$2:$C$21,MATCH(B1068,Dim_Supplier!$A$2:$A$21,0))</f>
        <v>MRO</v>
      </c>
      <c r="E1068" s="8" t="str">
        <f aca="false">INDEX(Dim_Supplier!$B$2:$B$21,MATCH(B1068,Dim_Supplier!$A$2:$A$21,0))</f>
        <v>Sterling Lubricants Inc.</v>
      </c>
      <c r="F1068" s="5" t="s">
        <v>111</v>
      </c>
      <c r="G1068" s="5" t="s">
        <v>129</v>
      </c>
      <c r="H1068" s="8" t="n">
        <f aca="false">INDEX(Lookup_Tables!$B$2:$B$5,MATCH(D1068,Lookup_Tables!$A$2:$A$5,0))</f>
        <v>10</v>
      </c>
      <c r="I1068" s="9" t="n">
        <f aca="false">C1068+H1068</f>
        <v>45740</v>
      </c>
      <c r="J1068" s="5" t="n">
        <v>-2</v>
      </c>
      <c r="K1068" s="9" t="n">
        <f aca="false">I1068+J1068</f>
        <v>45738</v>
      </c>
      <c r="L1068" s="5" t="n">
        <v>24</v>
      </c>
      <c r="M1068" s="10" t="n">
        <f aca="false">INDEX(Dim_Supplier!$F$2:$F$21,MATCH(B1068,Dim_Supplier!$A$2:$A$21,0))</f>
        <v>27.1</v>
      </c>
      <c r="N1068" s="11" t="n">
        <v>0.0341</v>
      </c>
      <c r="O1068" s="10" t="n">
        <f aca="false">M1068*(1+N1068)</f>
        <v>28.02411</v>
      </c>
      <c r="P1068" s="10" t="n">
        <f aca="false">O1068*L1068</f>
        <v>672.57864</v>
      </c>
      <c r="Q1068" s="5" t="s">
        <v>113</v>
      </c>
      <c r="R1068" s="5" t="n">
        <v>0</v>
      </c>
      <c r="S1068" s="5" t="n">
        <v>30</v>
      </c>
      <c r="T1068" s="12" t="n">
        <f aca="false">(O1068-M1068)/M1068</f>
        <v>0.0341</v>
      </c>
      <c r="U1068" s="8" t="n">
        <f aca="false">IF(AND(K1068&lt;=I1068,R1068=0),1,0)</f>
        <v>1</v>
      </c>
      <c r="V1068" s="10" t="n">
        <f aca="false">IF(Q1068="No",P1068,0)</f>
        <v>0</v>
      </c>
    </row>
    <row r="1069" customFormat="false" ht="15" hidden="false" customHeight="false" outlineLevel="0" collapsed="false">
      <c r="A1069" s="5" t="s">
        <v>1203</v>
      </c>
      <c r="B1069" s="5" t="s">
        <v>57</v>
      </c>
      <c r="C1069" s="7" t="n">
        <v>45777</v>
      </c>
      <c r="D1069" s="8" t="str">
        <f aca="false">INDEX(Dim_Supplier!$C$2:$C$21,MATCH(B1069,Dim_Supplier!$A$2:$A$21,0))</f>
        <v>Packaging</v>
      </c>
      <c r="E1069" s="8" t="str">
        <f aca="false">INDEX(Dim_Supplier!$B$2:$B$21,MATCH(B1069,Dim_Supplier!$A$2:$A$21,0))</f>
        <v>Great Lakes Packaging Co.</v>
      </c>
      <c r="F1069" s="5" t="s">
        <v>122</v>
      </c>
      <c r="G1069" s="5" t="s">
        <v>129</v>
      </c>
      <c r="H1069" s="8" t="n">
        <f aca="false">INDEX(Lookup_Tables!$B$2:$B$5,MATCH(D1069,Lookup_Tables!$A$2:$A$5,0))</f>
        <v>14</v>
      </c>
      <c r="I1069" s="9" t="n">
        <f aca="false">C1069+H1069</f>
        <v>45791</v>
      </c>
      <c r="J1069" s="5" t="n">
        <v>-4</v>
      </c>
      <c r="K1069" s="9" t="n">
        <f aca="false">I1069+J1069</f>
        <v>45787</v>
      </c>
      <c r="L1069" s="5" t="n">
        <v>1396</v>
      </c>
      <c r="M1069" s="10" t="n">
        <f aca="false">INDEX(Dim_Supplier!$F$2:$F$21,MATCH(B1069,Dim_Supplier!$A$2:$A$21,0))</f>
        <v>4.35</v>
      </c>
      <c r="N1069" s="11" t="n">
        <v>0.0111</v>
      </c>
      <c r="O1069" s="10" t="n">
        <f aca="false">M1069*(1+N1069)</f>
        <v>4.398285</v>
      </c>
      <c r="P1069" s="10" t="n">
        <f aca="false">O1069*L1069</f>
        <v>6140.00586</v>
      </c>
      <c r="Q1069" s="5" t="s">
        <v>113</v>
      </c>
      <c r="R1069" s="5" t="n">
        <v>0</v>
      </c>
      <c r="S1069" s="5" t="n">
        <v>45</v>
      </c>
      <c r="T1069" s="12" t="n">
        <f aca="false">(O1069-M1069)/M1069</f>
        <v>0.0111000000000002</v>
      </c>
      <c r="U1069" s="8" t="n">
        <f aca="false">IF(AND(K1069&lt;=I1069,R1069=0),1,0)</f>
        <v>1</v>
      </c>
      <c r="V1069" s="10" t="n">
        <f aca="false">IF(Q1069="No",P1069,0)</f>
        <v>0</v>
      </c>
    </row>
    <row r="1070" customFormat="false" ht="15" hidden="false" customHeight="false" outlineLevel="0" collapsed="false">
      <c r="A1070" s="5" t="s">
        <v>1204</v>
      </c>
      <c r="B1070" s="5" t="s">
        <v>57</v>
      </c>
      <c r="C1070" s="7" t="n">
        <v>45525</v>
      </c>
      <c r="D1070" s="8" t="str">
        <f aca="false">INDEX(Dim_Supplier!$C$2:$C$21,MATCH(B1070,Dim_Supplier!$A$2:$A$21,0))</f>
        <v>Packaging</v>
      </c>
      <c r="E1070" s="8" t="str">
        <f aca="false">INDEX(Dim_Supplier!$B$2:$B$21,MATCH(B1070,Dim_Supplier!$A$2:$A$21,0))</f>
        <v>Great Lakes Packaging Co.</v>
      </c>
      <c r="F1070" s="5" t="s">
        <v>122</v>
      </c>
      <c r="G1070" s="5" t="s">
        <v>112</v>
      </c>
      <c r="H1070" s="8" t="n">
        <f aca="false">INDEX(Lookup_Tables!$B$2:$B$5,MATCH(D1070,Lookup_Tables!$A$2:$A$5,0))</f>
        <v>14</v>
      </c>
      <c r="I1070" s="9" t="n">
        <f aca="false">C1070+H1070</f>
        <v>45539</v>
      </c>
      <c r="J1070" s="5" t="n">
        <v>-3</v>
      </c>
      <c r="K1070" s="9" t="n">
        <f aca="false">I1070+J1070</f>
        <v>45536</v>
      </c>
      <c r="L1070" s="5" t="n">
        <v>1319</v>
      </c>
      <c r="M1070" s="10" t="n">
        <f aca="false">INDEX(Dim_Supplier!$F$2:$F$21,MATCH(B1070,Dim_Supplier!$A$2:$A$21,0))</f>
        <v>4.35</v>
      </c>
      <c r="N1070" s="11" t="n">
        <v>-0.0245</v>
      </c>
      <c r="O1070" s="10" t="n">
        <f aca="false">M1070*(1+N1070)</f>
        <v>4.243425</v>
      </c>
      <c r="P1070" s="10" t="n">
        <f aca="false">O1070*L1070</f>
        <v>5597.077575</v>
      </c>
      <c r="Q1070" s="5" t="s">
        <v>113</v>
      </c>
      <c r="R1070" s="5" t="n">
        <v>0</v>
      </c>
      <c r="S1070" s="5" t="n">
        <v>30</v>
      </c>
      <c r="T1070" s="12" t="n">
        <f aca="false">(O1070-M1070)/M1070</f>
        <v>-0.0244999999999999</v>
      </c>
      <c r="U1070" s="8" t="n">
        <f aca="false">IF(AND(K1070&lt;=I1070,R1070=0),1,0)</f>
        <v>1</v>
      </c>
      <c r="V1070" s="10" t="n">
        <f aca="false">IF(Q1070="No",P1070,0)</f>
        <v>0</v>
      </c>
    </row>
    <row r="1071" customFormat="false" ht="15" hidden="false" customHeight="false" outlineLevel="0" collapsed="false">
      <c r="A1071" s="5" t="s">
        <v>1205</v>
      </c>
      <c r="B1071" s="5" t="s">
        <v>77</v>
      </c>
      <c r="C1071" s="7" t="n">
        <v>45850</v>
      </c>
      <c r="D1071" s="8" t="str">
        <f aca="false">INDEX(Dim_Supplier!$C$2:$C$21,MATCH(B1071,Dim_Supplier!$A$2:$A$21,0))</f>
        <v>MRO</v>
      </c>
      <c r="E1071" s="8" t="str">
        <f aca="false">INDEX(Dim_Supplier!$B$2:$B$21,MATCH(B1071,Dim_Supplier!$A$2:$A$21,0))</f>
        <v>Apex Industrial Supply</v>
      </c>
      <c r="F1071" s="5" t="s">
        <v>111</v>
      </c>
      <c r="G1071" s="5" t="s">
        <v>125</v>
      </c>
      <c r="H1071" s="8" t="n">
        <f aca="false">INDEX(Lookup_Tables!$B$2:$B$5,MATCH(D1071,Lookup_Tables!$A$2:$A$5,0))</f>
        <v>10</v>
      </c>
      <c r="I1071" s="9" t="n">
        <f aca="false">C1071+H1071</f>
        <v>45860</v>
      </c>
      <c r="J1071" s="5" t="n">
        <v>-1</v>
      </c>
      <c r="K1071" s="9" t="n">
        <f aca="false">I1071+J1071</f>
        <v>45859</v>
      </c>
      <c r="L1071" s="5" t="n">
        <v>95</v>
      </c>
      <c r="M1071" s="10" t="n">
        <f aca="false">INDEX(Dim_Supplier!$F$2:$F$21,MATCH(B1071,Dim_Supplier!$A$2:$A$21,0))</f>
        <v>24.6</v>
      </c>
      <c r="N1071" s="11" t="n">
        <v>0.0722</v>
      </c>
      <c r="O1071" s="10" t="n">
        <f aca="false">M1071*(1+N1071)</f>
        <v>26.37612</v>
      </c>
      <c r="P1071" s="10" t="n">
        <f aca="false">O1071*L1071</f>
        <v>2505.7314</v>
      </c>
      <c r="Q1071" s="5" t="s">
        <v>113</v>
      </c>
      <c r="R1071" s="5" t="n">
        <v>0</v>
      </c>
      <c r="S1071" s="5" t="n">
        <v>45</v>
      </c>
      <c r="T1071" s="12" t="n">
        <f aca="false">(O1071-M1071)/M1071</f>
        <v>0.0722000000000001</v>
      </c>
      <c r="U1071" s="8" t="n">
        <f aca="false">IF(AND(K1071&lt;=I1071,R1071=0),1,0)</f>
        <v>1</v>
      </c>
      <c r="V1071" s="10" t="n">
        <f aca="false">IF(Q1071="No",P1071,0)</f>
        <v>0</v>
      </c>
    </row>
    <row r="1072" customFormat="false" ht="15" hidden="false" customHeight="false" outlineLevel="0" collapsed="false">
      <c r="A1072" s="5" t="s">
        <v>1206</v>
      </c>
      <c r="B1072" s="5" t="s">
        <v>75</v>
      </c>
      <c r="C1072" s="7" t="n">
        <v>46177</v>
      </c>
      <c r="D1072" s="8" t="str">
        <f aca="false">INDEX(Dim_Supplier!$C$2:$C$21,MATCH(B1072,Dim_Supplier!$A$2:$A$21,0))</f>
        <v>MRO</v>
      </c>
      <c r="E1072" s="8" t="str">
        <f aca="false">INDEX(Dim_Supplier!$B$2:$B$21,MATCH(B1072,Dim_Supplier!$A$2:$A$21,0))</f>
        <v>Sterling Lubricants Inc.</v>
      </c>
      <c r="F1072" s="5" t="s">
        <v>132</v>
      </c>
      <c r="G1072" s="5" t="s">
        <v>125</v>
      </c>
      <c r="H1072" s="8" t="n">
        <f aca="false">INDEX(Lookup_Tables!$B$2:$B$5,MATCH(D1072,Lookup_Tables!$A$2:$A$5,0))</f>
        <v>10</v>
      </c>
      <c r="I1072" s="9" t="n">
        <f aca="false">C1072+H1072</f>
        <v>46187</v>
      </c>
      <c r="J1072" s="5" t="n">
        <v>-1</v>
      </c>
      <c r="K1072" s="9" t="n">
        <f aca="false">I1072+J1072</f>
        <v>46186</v>
      </c>
      <c r="L1072" s="5" t="n">
        <v>191</v>
      </c>
      <c r="M1072" s="10" t="n">
        <f aca="false">INDEX(Dim_Supplier!$F$2:$F$21,MATCH(B1072,Dim_Supplier!$A$2:$A$21,0))</f>
        <v>27.1</v>
      </c>
      <c r="N1072" s="11" t="n">
        <v>0.0398</v>
      </c>
      <c r="O1072" s="10" t="n">
        <f aca="false">M1072*(1+N1072)</f>
        <v>28.17858</v>
      </c>
      <c r="P1072" s="10" t="n">
        <f aca="false">O1072*L1072</f>
        <v>5382.10878</v>
      </c>
      <c r="Q1072" s="5" t="s">
        <v>113</v>
      </c>
      <c r="R1072" s="5" t="n">
        <v>0</v>
      </c>
      <c r="S1072" s="5" t="n">
        <v>30</v>
      </c>
      <c r="T1072" s="12" t="n">
        <f aca="false">(O1072-M1072)/M1072</f>
        <v>0.0398000000000001</v>
      </c>
      <c r="U1072" s="8" t="n">
        <f aca="false">IF(AND(K1072&lt;=I1072,R1072=0),1,0)</f>
        <v>1</v>
      </c>
      <c r="V1072" s="10" t="n">
        <f aca="false">IF(Q1072="No",P1072,0)</f>
        <v>0</v>
      </c>
    </row>
    <row r="1073" customFormat="false" ht="15" hidden="false" customHeight="false" outlineLevel="0" collapsed="false">
      <c r="A1073" s="5" t="s">
        <v>1207</v>
      </c>
      <c r="B1073" s="5" t="s">
        <v>52</v>
      </c>
      <c r="C1073" s="7" t="n">
        <v>45437</v>
      </c>
      <c r="D1073" s="8" t="str">
        <f aca="false">INDEX(Dim_Supplier!$C$2:$C$21,MATCH(B1073,Dim_Supplier!$A$2:$A$21,0))</f>
        <v>Raw Materials</v>
      </c>
      <c r="E1073" s="8" t="str">
        <f aca="false">INDEX(Dim_Supplier!$B$2:$B$21,MATCH(B1073,Dim_Supplier!$A$2:$A$21,0))</f>
        <v>Laurentian Metals Inc.</v>
      </c>
      <c r="F1073" s="5" t="s">
        <v>139</v>
      </c>
      <c r="G1073" s="5" t="s">
        <v>125</v>
      </c>
      <c r="H1073" s="8" t="n">
        <f aca="false">INDEX(Lookup_Tables!$B$2:$B$5,MATCH(D1073,Lookup_Tables!$A$2:$A$5,0))</f>
        <v>21</v>
      </c>
      <c r="I1073" s="9" t="n">
        <f aca="false">C1073+H1073</f>
        <v>45458</v>
      </c>
      <c r="J1073" s="5" t="n">
        <v>0</v>
      </c>
      <c r="K1073" s="9" t="n">
        <f aca="false">I1073+J1073</f>
        <v>45458</v>
      </c>
      <c r="L1073" s="5" t="n">
        <v>1525</v>
      </c>
      <c r="M1073" s="10" t="n">
        <f aca="false">INDEX(Dim_Supplier!$F$2:$F$21,MATCH(B1073,Dim_Supplier!$A$2:$A$21,0))</f>
        <v>61.2</v>
      </c>
      <c r="N1073" s="11" t="n">
        <v>0.0251</v>
      </c>
      <c r="O1073" s="10" t="n">
        <f aca="false">M1073*(1+N1073)</f>
        <v>62.73612</v>
      </c>
      <c r="P1073" s="10" t="n">
        <f aca="false">O1073*L1073</f>
        <v>95672.583</v>
      </c>
      <c r="Q1073" s="5" t="s">
        <v>133</v>
      </c>
      <c r="R1073" s="5" t="n">
        <v>0</v>
      </c>
      <c r="S1073" s="5" t="n">
        <v>45</v>
      </c>
      <c r="T1073" s="12" t="n">
        <f aca="false">(O1073-M1073)/M1073</f>
        <v>0.0250999999999999</v>
      </c>
      <c r="U1073" s="8" t="n">
        <f aca="false">IF(AND(K1073&lt;=I1073,R1073=0),1,0)</f>
        <v>1</v>
      </c>
      <c r="V1073" s="10" t="n">
        <f aca="false">IF(Q1073="No",P1073,0)</f>
        <v>95672.583</v>
      </c>
    </row>
    <row r="1074" customFormat="false" ht="15" hidden="false" customHeight="false" outlineLevel="0" collapsed="false">
      <c r="A1074" s="5" t="s">
        <v>1208</v>
      </c>
      <c r="B1074" s="5" t="s">
        <v>52</v>
      </c>
      <c r="C1074" s="7" t="n">
        <v>45678</v>
      </c>
      <c r="D1074" s="8" t="str">
        <f aca="false">INDEX(Dim_Supplier!$C$2:$C$21,MATCH(B1074,Dim_Supplier!$A$2:$A$21,0))</f>
        <v>Raw Materials</v>
      </c>
      <c r="E1074" s="8" t="str">
        <f aca="false">INDEX(Dim_Supplier!$B$2:$B$21,MATCH(B1074,Dim_Supplier!$A$2:$A$21,0))</f>
        <v>Laurentian Metals Inc.</v>
      </c>
      <c r="F1074" s="5" t="s">
        <v>148</v>
      </c>
      <c r="G1074" s="5" t="s">
        <v>120</v>
      </c>
      <c r="H1074" s="8" t="n">
        <f aca="false">INDEX(Lookup_Tables!$B$2:$B$5,MATCH(D1074,Lookup_Tables!$A$2:$A$5,0))</f>
        <v>21</v>
      </c>
      <c r="I1074" s="9" t="n">
        <f aca="false">C1074+H1074</f>
        <v>45699</v>
      </c>
      <c r="J1074" s="5" t="n">
        <v>-1</v>
      </c>
      <c r="K1074" s="9" t="n">
        <f aca="false">I1074+J1074</f>
        <v>45698</v>
      </c>
      <c r="L1074" s="5" t="n">
        <v>1941</v>
      </c>
      <c r="M1074" s="10" t="n">
        <f aca="false">INDEX(Dim_Supplier!$F$2:$F$21,MATCH(B1074,Dim_Supplier!$A$2:$A$21,0))</f>
        <v>61.2</v>
      </c>
      <c r="N1074" s="11" t="n">
        <v>-0.001</v>
      </c>
      <c r="O1074" s="10" t="n">
        <f aca="false">M1074*(1+N1074)</f>
        <v>61.1388</v>
      </c>
      <c r="P1074" s="10" t="n">
        <f aca="false">O1074*L1074</f>
        <v>118670.4108</v>
      </c>
      <c r="Q1074" s="5" t="s">
        <v>113</v>
      </c>
      <c r="R1074" s="5" t="n">
        <v>0</v>
      </c>
      <c r="S1074" s="5" t="n">
        <v>60</v>
      </c>
      <c r="T1074" s="12" t="n">
        <f aca="false">(O1074-M1074)/M1074</f>
        <v>-0.000999999999999991</v>
      </c>
      <c r="U1074" s="8" t="n">
        <f aca="false">IF(AND(K1074&lt;=I1074,R1074=0),1,0)</f>
        <v>1</v>
      </c>
      <c r="V1074" s="10" t="n">
        <f aca="false">IF(Q1074="No",P1074,0)</f>
        <v>0</v>
      </c>
    </row>
    <row r="1075" customFormat="false" ht="15" hidden="false" customHeight="false" outlineLevel="0" collapsed="false">
      <c r="A1075" s="5" t="s">
        <v>1209</v>
      </c>
      <c r="B1075" s="5" t="s">
        <v>49</v>
      </c>
      <c r="C1075" s="7" t="n">
        <v>45987</v>
      </c>
      <c r="D1075" s="8" t="str">
        <f aca="false">INDEX(Dim_Supplier!$C$2:$C$21,MATCH(B1075,Dim_Supplier!$A$2:$A$21,0))</f>
        <v>Raw Materials</v>
      </c>
      <c r="E1075" s="8" t="str">
        <f aca="false">INDEX(Dim_Supplier!$B$2:$B$21,MATCH(B1075,Dim_Supplier!$A$2:$A$21,0))</f>
        <v>Great Lakes Polymer Co.</v>
      </c>
      <c r="F1075" s="5" t="s">
        <v>139</v>
      </c>
      <c r="G1075" s="5" t="s">
        <v>120</v>
      </c>
      <c r="H1075" s="8" t="n">
        <f aca="false">INDEX(Lookup_Tables!$B$2:$B$5,MATCH(D1075,Lookup_Tables!$A$2:$A$5,0))</f>
        <v>21</v>
      </c>
      <c r="I1075" s="9" t="n">
        <f aca="false">C1075+H1075</f>
        <v>46008</v>
      </c>
      <c r="J1075" s="5" t="n">
        <v>2</v>
      </c>
      <c r="K1075" s="9" t="n">
        <f aca="false">I1075+J1075</f>
        <v>46010</v>
      </c>
      <c r="L1075" s="5" t="n">
        <v>665</v>
      </c>
      <c r="M1075" s="10" t="n">
        <f aca="false">INDEX(Dim_Supplier!$F$2:$F$21,MATCH(B1075,Dim_Supplier!$A$2:$A$21,0))</f>
        <v>32.75</v>
      </c>
      <c r="N1075" s="11" t="n">
        <v>0.1331</v>
      </c>
      <c r="O1075" s="10" t="n">
        <f aca="false">M1075*(1+N1075)</f>
        <v>37.109025</v>
      </c>
      <c r="P1075" s="10" t="n">
        <f aca="false">O1075*L1075</f>
        <v>24677.501625</v>
      </c>
      <c r="Q1075" s="5" t="s">
        <v>113</v>
      </c>
      <c r="R1075" s="5" t="n">
        <v>34</v>
      </c>
      <c r="S1075" s="5" t="n">
        <v>45</v>
      </c>
      <c r="T1075" s="12" t="n">
        <f aca="false">(O1075-M1075)/M1075</f>
        <v>0.1331</v>
      </c>
      <c r="U1075" s="8" t="n">
        <f aca="false">IF(AND(K1075&lt;=I1075,R1075=0),1,0)</f>
        <v>0</v>
      </c>
      <c r="V1075" s="10" t="n">
        <f aca="false">IF(Q1075="No",P1075,0)</f>
        <v>0</v>
      </c>
    </row>
    <row r="1076" customFormat="false" ht="15" hidden="false" customHeight="false" outlineLevel="0" collapsed="false">
      <c r="A1076" s="5" t="s">
        <v>1210</v>
      </c>
      <c r="B1076" s="5" t="s">
        <v>82</v>
      </c>
      <c r="C1076" s="7" t="n">
        <v>45417</v>
      </c>
      <c r="D1076" s="8" t="str">
        <f aca="false">INDEX(Dim_Supplier!$C$2:$C$21,MATCH(B1076,Dim_Supplier!$A$2:$A$21,0))</f>
        <v>Logistics</v>
      </c>
      <c r="E1076" s="8" t="str">
        <f aca="false">INDEX(Dim_Supplier!$B$2:$B$21,MATCH(B1076,Dim_Supplier!$A$2:$A$21,0))</f>
        <v>Maple Route Logistics</v>
      </c>
      <c r="F1076" s="5" t="s">
        <v>237</v>
      </c>
      <c r="G1076" s="5" t="s">
        <v>125</v>
      </c>
      <c r="H1076" s="8" t="n">
        <f aca="false">INDEX(Lookup_Tables!$B$2:$B$5,MATCH(D1076,Lookup_Tables!$A$2:$A$5,0))</f>
        <v>5</v>
      </c>
      <c r="I1076" s="9" t="n">
        <f aca="false">C1076+H1076</f>
        <v>45422</v>
      </c>
      <c r="J1076" s="5" t="n">
        <v>-4</v>
      </c>
      <c r="K1076" s="9" t="n">
        <f aca="false">I1076+J1076</f>
        <v>45418</v>
      </c>
      <c r="L1076" s="5" t="n">
        <v>23</v>
      </c>
      <c r="M1076" s="10" t="n">
        <f aca="false">INDEX(Dim_Supplier!$F$2:$F$21,MATCH(B1076,Dim_Supplier!$A$2:$A$21,0))</f>
        <v>285</v>
      </c>
      <c r="N1076" s="11" t="n">
        <v>0.0156</v>
      </c>
      <c r="O1076" s="10" t="n">
        <f aca="false">M1076*(1+N1076)</f>
        <v>289.446</v>
      </c>
      <c r="P1076" s="10" t="n">
        <f aca="false">O1076*L1076</f>
        <v>6657.258</v>
      </c>
      <c r="Q1076" s="5" t="s">
        <v>113</v>
      </c>
      <c r="R1076" s="5" t="n">
        <v>0</v>
      </c>
      <c r="S1076" s="5" t="n">
        <v>30</v>
      </c>
      <c r="T1076" s="12" t="n">
        <f aca="false">(O1076-M1076)/M1076</f>
        <v>0.0156000000000001</v>
      </c>
      <c r="U1076" s="8" t="n">
        <f aca="false">IF(AND(K1076&lt;=I1076,R1076=0),1,0)</f>
        <v>1</v>
      </c>
      <c r="V1076" s="10" t="n">
        <f aca="false">IF(Q1076="No",P1076,0)</f>
        <v>0</v>
      </c>
    </row>
    <row r="1077" customFormat="false" ht="15" hidden="false" customHeight="false" outlineLevel="0" collapsed="false">
      <c r="A1077" s="5" t="s">
        <v>1211</v>
      </c>
      <c r="B1077" s="5" t="s">
        <v>75</v>
      </c>
      <c r="C1077" s="7" t="n">
        <v>45769</v>
      </c>
      <c r="D1077" s="8" t="str">
        <f aca="false">INDEX(Dim_Supplier!$C$2:$C$21,MATCH(B1077,Dim_Supplier!$A$2:$A$21,0))</f>
        <v>MRO</v>
      </c>
      <c r="E1077" s="8" t="str">
        <f aca="false">INDEX(Dim_Supplier!$B$2:$B$21,MATCH(B1077,Dim_Supplier!$A$2:$A$21,0))</f>
        <v>Sterling Lubricants Inc.</v>
      </c>
      <c r="F1077" s="5" t="s">
        <v>164</v>
      </c>
      <c r="G1077" s="5" t="s">
        <v>120</v>
      </c>
      <c r="H1077" s="8" t="n">
        <f aca="false">INDEX(Lookup_Tables!$B$2:$B$5,MATCH(D1077,Lookup_Tables!$A$2:$A$5,0))</f>
        <v>10</v>
      </c>
      <c r="I1077" s="9" t="n">
        <f aca="false">C1077+H1077</f>
        <v>45779</v>
      </c>
      <c r="J1077" s="5" t="n">
        <v>-4</v>
      </c>
      <c r="K1077" s="9" t="n">
        <f aca="false">I1077+J1077</f>
        <v>45775</v>
      </c>
      <c r="L1077" s="5" t="n">
        <v>82</v>
      </c>
      <c r="M1077" s="10" t="n">
        <f aca="false">INDEX(Dim_Supplier!$F$2:$F$21,MATCH(B1077,Dim_Supplier!$A$2:$A$21,0))</f>
        <v>27.1</v>
      </c>
      <c r="N1077" s="11" t="n">
        <v>-0.0007</v>
      </c>
      <c r="O1077" s="10" t="n">
        <f aca="false">M1077*(1+N1077)</f>
        <v>27.08103</v>
      </c>
      <c r="P1077" s="10" t="n">
        <f aca="false">O1077*L1077</f>
        <v>2220.64446</v>
      </c>
      <c r="Q1077" s="5" t="s">
        <v>113</v>
      </c>
      <c r="R1077" s="5" t="n">
        <v>0</v>
      </c>
      <c r="S1077" s="5" t="n">
        <v>30</v>
      </c>
      <c r="T1077" s="12" t="n">
        <f aca="false">(O1077-M1077)/M1077</f>
        <v>-0.000699999999999981</v>
      </c>
      <c r="U1077" s="8" t="n">
        <f aca="false">IF(AND(K1077&lt;=I1077,R1077=0),1,0)</f>
        <v>1</v>
      </c>
      <c r="V1077" s="10" t="n">
        <f aca="false">IF(Q1077="No",P1077,0)</f>
        <v>0</v>
      </c>
    </row>
    <row r="1078" customFormat="false" ht="15" hidden="false" customHeight="false" outlineLevel="0" collapsed="false">
      <c r="A1078" s="5" t="s">
        <v>1212</v>
      </c>
      <c r="B1078" s="5" t="s">
        <v>62</v>
      </c>
      <c r="C1078" s="7" t="n">
        <v>45514</v>
      </c>
      <c r="D1078" s="8" t="str">
        <f aca="false">INDEX(Dim_Supplier!$C$2:$C$21,MATCH(B1078,Dim_Supplier!$A$2:$A$21,0))</f>
        <v>Packaging</v>
      </c>
      <c r="E1078" s="8" t="str">
        <f aca="false">INDEX(Dim_Supplier!$B$2:$B$21,MATCH(B1078,Dim_Supplier!$A$2:$A$21,0))</f>
        <v>Trillium Packaging Solutions</v>
      </c>
      <c r="F1078" s="5" t="s">
        <v>119</v>
      </c>
      <c r="G1078" s="5" t="s">
        <v>129</v>
      </c>
      <c r="H1078" s="8" t="n">
        <f aca="false">INDEX(Lookup_Tables!$B$2:$B$5,MATCH(D1078,Lookup_Tables!$A$2:$A$5,0))</f>
        <v>14</v>
      </c>
      <c r="I1078" s="9" t="n">
        <f aca="false">C1078+H1078</f>
        <v>45528</v>
      </c>
      <c r="J1078" s="5" t="n">
        <v>-1</v>
      </c>
      <c r="K1078" s="9" t="n">
        <f aca="false">I1078+J1078</f>
        <v>45527</v>
      </c>
      <c r="L1078" s="5" t="n">
        <v>4025</v>
      </c>
      <c r="M1078" s="10" t="n">
        <f aca="false">INDEX(Dim_Supplier!$F$2:$F$21,MATCH(B1078,Dim_Supplier!$A$2:$A$21,0))</f>
        <v>5.6</v>
      </c>
      <c r="N1078" s="11" t="n">
        <v>0.0256</v>
      </c>
      <c r="O1078" s="10" t="n">
        <f aca="false">M1078*(1+N1078)</f>
        <v>5.74336</v>
      </c>
      <c r="P1078" s="10" t="n">
        <f aca="false">O1078*L1078</f>
        <v>23117.024</v>
      </c>
      <c r="Q1078" s="5" t="s">
        <v>113</v>
      </c>
      <c r="R1078" s="5" t="n">
        <v>0</v>
      </c>
      <c r="S1078" s="5" t="n">
        <v>30</v>
      </c>
      <c r="T1078" s="12" t="n">
        <f aca="false">(O1078-M1078)/M1078</f>
        <v>0.0256000000000001</v>
      </c>
      <c r="U1078" s="8" t="n">
        <f aca="false">IF(AND(K1078&lt;=I1078,R1078=0),1,0)</f>
        <v>1</v>
      </c>
      <c r="V1078" s="10" t="n">
        <f aca="false">IF(Q1078="No",P1078,0)</f>
        <v>0</v>
      </c>
    </row>
    <row r="1079" customFormat="false" ht="15" hidden="false" customHeight="false" outlineLevel="0" collapsed="false">
      <c r="A1079" s="5" t="s">
        <v>1213</v>
      </c>
      <c r="B1079" s="5" t="s">
        <v>46</v>
      </c>
      <c r="C1079" s="7" t="n">
        <v>46191</v>
      </c>
      <c r="D1079" s="8" t="str">
        <f aca="false">INDEX(Dim_Supplier!$C$2:$C$21,MATCH(B1079,Dim_Supplier!$A$2:$A$21,0))</f>
        <v>Raw Materials</v>
      </c>
      <c r="E1079" s="8" t="str">
        <f aca="false">INDEX(Dim_Supplier!$B$2:$B$21,MATCH(B1079,Dim_Supplier!$A$2:$A$21,0))</f>
        <v>Niagara Alloy Supply</v>
      </c>
      <c r="F1079" s="5" t="s">
        <v>139</v>
      </c>
      <c r="G1079" s="5" t="s">
        <v>112</v>
      </c>
      <c r="H1079" s="8" t="n">
        <f aca="false">INDEX(Lookup_Tables!$B$2:$B$5,MATCH(D1079,Lookup_Tables!$A$2:$A$5,0))</f>
        <v>21</v>
      </c>
      <c r="I1079" s="9" t="n">
        <f aca="false">C1079+H1079</f>
        <v>46212</v>
      </c>
      <c r="J1079" s="5" t="n">
        <v>2</v>
      </c>
      <c r="K1079" s="9" t="n">
        <f aca="false">I1079+J1079</f>
        <v>46214</v>
      </c>
      <c r="L1079" s="5" t="n">
        <v>392</v>
      </c>
      <c r="M1079" s="10" t="n">
        <f aca="false">INDEX(Dim_Supplier!$F$2:$F$21,MATCH(B1079,Dim_Supplier!$A$2:$A$21,0))</f>
        <v>46.5</v>
      </c>
      <c r="N1079" s="11" t="n">
        <v>0.0209</v>
      </c>
      <c r="O1079" s="10" t="n">
        <f aca="false">M1079*(1+N1079)</f>
        <v>47.47185</v>
      </c>
      <c r="P1079" s="10" t="n">
        <f aca="false">O1079*L1079</f>
        <v>18608.9652</v>
      </c>
      <c r="Q1079" s="5" t="s">
        <v>133</v>
      </c>
      <c r="R1079" s="5" t="n">
        <v>0</v>
      </c>
      <c r="S1079" s="5" t="n">
        <v>45</v>
      </c>
      <c r="T1079" s="12" t="n">
        <f aca="false">(O1079-M1079)/M1079</f>
        <v>0.0208999999999999</v>
      </c>
      <c r="U1079" s="8" t="n">
        <f aca="false">IF(AND(K1079&lt;=I1079,R1079=0),1,0)</f>
        <v>0</v>
      </c>
      <c r="V1079" s="10" t="n">
        <f aca="false">IF(Q1079="No",P1079,0)</f>
        <v>18608.9652</v>
      </c>
    </row>
    <row r="1080" customFormat="false" ht="15" hidden="false" customHeight="false" outlineLevel="0" collapsed="false">
      <c r="A1080" s="5" t="s">
        <v>1214</v>
      </c>
      <c r="B1080" s="5" t="s">
        <v>41</v>
      </c>
      <c r="C1080" s="7" t="n">
        <v>45516</v>
      </c>
      <c r="D1080" s="8" t="str">
        <f aca="false">INDEX(Dim_Supplier!$C$2:$C$21,MATCH(B1080,Dim_Supplier!$A$2:$A$21,0))</f>
        <v>Raw Materials</v>
      </c>
      <c r="E1080" s="8" t="str">
        <f aca="false">INDEX(Dim_Supplier!$B$2:$B$21,MATCH(B1080,Dim_Supplier!$A$2:$A$21,0))</f>
        <v>Ontario Steel Partners</v>
      </c>
      <c r="F1080" s="5" t="s">
        <v>148</v>
      </c>
      <c r="G1080" s="5" t="s">
        <v>125</v>
      </c>
      <c r="H1080" s="8" t="n">
        <f aca="false">INDEX(Lookup_Tables!$B$2:$B$5,MATCH(D1080,Lookup_Tables!$A$2:$A$5,0))</f>
        <v>21</v>
      </c>
      <c r="I1080" s="9" t="n">
        <f aca="false">C1080+H1080</f>
        <v>45537</v>
      </c>
      <c r="J1080" s="5" t="n">
        <v>-2</v>
      </c>
      <c r="K1080" s="9" t="n">
        <f aca="false">I1080+J1080</f>
        <v>45535</v>
      </c>
      <c r="L1080" s="5" t="n">
        <v>1489</v>
      </c>
      <c r="M1080" s="10" t="n">
        <f aca="false">INDEX(Dim_Supplier!$F$2:$F$21,MATCH(B1080,Dim_Supplier!$A$2:$A$21,0))</f>
        <v>58</v>
      </c>
      <c r="N1080" s="11" t="n">
        <v>0.0038</v>
      </c>
      <c r="O1080" s="10" t="n">
        <f aca="false">M1080*(1+N1080)</f>
        <v>58.2204</v>
      </c>
      <c r="P1080" s="10" t="n">
        <f aca="false">O1080*L1080</f>
        <v>86690.1756</v>
      </c>
      <c r="Q1080" s="5" t="s">
        <v>113</v>
      </c>
      <c r="R1080" s="5" t="n">
        <v>0</v>
      </c>
      <c r="S1080" s="5" t="n">
        <v>60</v>
      </c>
      <c r="T1080" s="12" t="n">
        <f aca="false">(O1080-M1080)/M1080</f>
        <v>0.00379999999999996</v>
      </c>
      <c r="U1080" s="8" t="n">
        <f aca="false">IF(AND(K1080&lt;=I1080,R1080=0),1,0)</f>
        <v>1</v>
      </c>
      <c r="V1080" s="10" t="n">
        <f aca="false">IF(Q1080="No",P1080,0)</f>
        <v>0</v>
      </c>
    </row>
    <row r="1081" customFormat="false" ht="15" hidden="false" customHeight="false" outlineLevel="0" collapsed="false">
      <c r="A1081" s="5" t="s">
        <v>1215</v>
      </c>
      <c r="B1081" s="5" t="s">
        <v>46</v>
      </c>
      <c r="C1081" s="7" t="n">
        <v>45559</v>
      </c>
      <c r="D1081" s="8" t="str">
        <f aca="false">INDEX(Dim_Supplier!$C$2:$C$21,MATCH(B1081,Dim_Supplier!$A$2:$A$21,0))</f>
        <v>Raw Materials</v>
      </c>
      <c r="E1081" s="8" t="str">
        <f aca="false">INDEX(Dim_Supplier!$B$2:$B$21,MATCH(B1081,Dim_Supplier!$A$2:$A$21,0))</f>
        <v>Niagara Alloy Supply</v>
      </c>
      <c r="F1081" s="5" t="s">
        <v>139</v>
      </c>
      <c r="G1081" s="5" t="s">
        <v>120</v>
      </c>
      <c r="H1081" s="8" t="n">
        <f aca="false">INDEX(Lookup_Tables!$B$2:$B$5,MATCH(D1081,Lookup_Tables!$A$2:$A$5,0))</f>
        <v>21</v>
      </c>
      <c r="I1081" s="9" t="n">
        <f aca="false">C1081+H1081</f>
        <v>45580</v>
      </c>
      <c r="J1081" s="5" t="n">
        <v>0</v>
      </c>
      <c r="K1081" s="9" t="n">
        <f aca="false">I1081+J1081</f>
        <v>45580</v>
      </c>
      <c r="L1081" s="5" t="n">
        <v>1893</v>
      </c>
      <c r="M1081" s="10" t="n">
        <f aca="false">INDEX(Dim_Supplier!$F$2:$F$21,MATCH(B1081,Dim_Supplier!$A$2:$A$21,0))</f>
        <v>46.5</v>
      </c>
      <c r="N1081" s="11" t="n">
        <v>0.049</v>
      </c>
      <c r="O1081" s="10" t="n">
        <f aca="false">M1081*(1+N1081)</f>
        <v>48.7785</v>
      </c>
      <c r="P1081" s="10" t="n">
        <f aca="false">O1081*L1081</f>
        <v>92337.7005</v>
      </c>
      <c r="Q1081" s="5" t="s">
        <v>113</v>
      </c>
      <c r="R1081" s="5" t="n">
        <v>0</v>
      </c>
      <c r="S1081" s="5" t="n">
        <v>45</v>
      </c>
      <c r="T1081" s="12" t="n">
        <f aca="false">(O1081-M1081)/M1081</f>
        <v>0.0489999999999999</v>
      </c>
      <c r="U1081" s="8" t="n">
        <f aca="false">IF(AND(K1081&lt;=I1081,R1081=0),1,0)</f>
        <v>1</v>
      </c>
      <c r="V1081" s="10" t="n">
        <f aca="false">IF(Q1081="No",P1081,0)</f>
        <v>0</v>
      </c>
    </row>
    <row r="1082" customFormat="false" ht="15" hidden="false" customHeight="false" outlineLevel="0" collapsed="false">
      <c r="A1082" s="5" t="s">
        <v>1216</v>
      </c>
      <c r="B1082" s="5" t="s">
        <v>52</v>
      </c>
      <c r="C1082" s="7" t="n">
        <v>45430</v>
      </c>
      <c r="D1082" s="8" t="str">
        <f aca="false">INDEX(Dim_Supplier!$C$2:$C$21,MATCH(B1082,Dim_Supplier!$A$2:$A$21,0))</f>
        <v>Raw Materials</v>
      </c>
      <c r="E1082" s="8" t="str">
        <f aca="false">INDEX(Dim_Supplier!$B$2:$B$21,MATCH(B1082,Dim_Supplier!$A$2:$A$21,0))</f>
        <v>Laurentian Metals Inc.</v>
      </c>
      <c r="F1082" s="5" t="s">
        <v>142</v>
      </c>
      <c r="G1082" s="5" t="s">
        <v>112</v>
      </c>
      <c r="H1082" s="8" t="n">
        <f aca="false">INDEX(Lookup_Tables!$B$2:$B$5,MATCH(D1082,Lookup_Tables!$A$2:$A$5,0))</f>
        <v>21</v>
      </c>
      <c r="I1082" s="9" t="n">
        <f aca="false">C1082+H1082</f>
        <v>45451</v>
      </c>
      <c r="J1082" s="5" t="n">
        <v>-3</v>
      </c>
      <c r="K1082" s="9" t="n">
        <f aca="false">I1082+J1082</f>
        <v>45448</v>
      </c>
      <c r="L1082" s="5" t="n">
        <v>1260</v>
      </c>
      <c r="M1082" s="10" t="n">
        <f aca="false">INDEX(Dim_Supplier!$F$2:$F$21,MATCH(B1082,Dim_Supplier!$A$2:$A$21,0))</f>
        <v>61.2</v>
      </c>
      <c r="N1082" s="11" t="n">
        <v>0.028</v>
      </c>
      <c r="O1082" s="10" t="n">
        <f aca="false">M1082*(1+N1082)</f>
        <v>62.9136</v>
      </c>
      <c r="P1082" s="10" t="n">
        <f aca="false">O1082*L1082</f>
        <v>79271.136</v>
      </c>
      <c r="Q1082" s="5" t="s">
        <v>133</v>
      </c>
      <c r="R1082" s="5" t="n">
        <v>0</v>
      </c>
      <c r="S1082" s="5" t="n">
        <v>30</v>
      </c>
      <c r="T1082" s="12" t="n">
        <f aca="false">(O1082-M1082)/M1082</f>
        <v>0.028</v>
      </c>
      <c r="U1082" s="8" t="n">
        <f aca="false">IF(AND(K1082&lt;=I1082,R1082=0),1,0)</f>
        <v>1</v>
      </c>
      <c r="V1082" s="10" t="n">
        <f aca="false">IF(Q1082="No",P1082,0)</f>
        <v>79271.136</v>
      </c>
    </row>
    <row r="1083" customFormat="false" ht="15" hidden="false" customHeight="false" outlineLevel="0" collapsed="false">
      <c r="A1083" s="5" t="s">
        <v>1217</v>
      </c>
      <c r="B1083" s="5" t="s">
        <v>79</v>
      </c>
      <c r="C1083" s="7" t="n">
        <v>46145</v>
      </c>
      <c r="D1083" s="8" t="str">
        <f aca="false">INDEX(Dim_Supplier!$C$2:$C$21,MATCH(B1083,Dim_Supplier!$A$2:$A$21,0))</f>
        <v>Logistics</v>
      </c>
      <c r="E1083" s="8" t="str">
        <f aca="false">INDEX(Dim_Supplier!$B$2:$B$21,MATCH(B1083,Dim_Supplier!$A$2:$A$21,0))</f>
        <v>Niagara Freight Solutions</v>
      </c>
      <c r="F1083" s="5" t="s">
        <v>237</v>
      </c>
      <c r="G1083" s="5" t="s">
        <v>129</v>
      </c>
      <c r="H1083" s="8" t="n">
        <f aca="false">INDEX(Lookup_Tables!$B$2:$B$5,MATCH(D1083,Lookup_Tables!$A$2:$A$5,0))</f>
        <v>5</v>
      </c>
      <c r="I1083" s="9" t="n">
        <f aca="false">C1083+H1083</f>
        <v>46150</v>
      </c>
      <c r="J1083" s="5" t="n">
        <v>-1</v>
      </c>
      <c r="K1083" s="9" t="n">
        <f aca="false">I1083+J1083</f>
        <v>46149</v>
      </c>
      <c r="L1083" s="5" t="n">
        <v>21</v>
      </c>
      <c r="M1083" s="10" t="n">
        <f aca="false">INDEX(Dim_Supplier!$F$2:$F$21,MATCH(B1083,Dim_Supplier!$A$2:$A$21,0))</f>
        <v>340</v>
      </c>
      <c r="N1083" s="11" t="n">
        <v>0.0265</v>
      </c>
      <c r="O1083" s="10" t="n">
        <f aca="false">M1083*(1+N1083)</f>
        <v>349.01</v>
      </c>
      <c r="P1083" s="10" t="n">
        <f aca="false">O1083*L1083</f>
        <v>7329.21</v>
      </c>
      <c r="Q1083" s="5" t="s">
        <v>113</v>
      </c>
      <c r="R1083" s="5" t="n">
        <v>0</v>
      </c>
      <c r="S1083" s="5" t="n">
        <v>30</v>
      </c>
      <c r="T1083" s="12" t="n">
        <f aca="false">(O1083-M1083)/M1083</f>
        <v>0.0265</v>
      </c>
      <c r="U1083" s="8" t="n">
        <f aca="false">IF(AND(K1083&lt;=I1083,R1083=0),1,0)</f>
        <v>1</v>
      </c>
      <c r="V1083" s="10" t="n">
        <f aca="false">IF(Q1083="No",P1083,0)</f>
        <v>0</v>
      </c>
    </row>
    <row r="1084" customFormat="false" ht="15" hidden="false" customHeight="false" outlineLevel="0" collapsed="false">
      <c r="A1084" s="5" t="s">
        <v>1218</v>
      </c>
      <c r="B1084" s="5" t="s">
        <v>57</v>
      </c>
      <c r="C1084" s="7" t="n">
        <v>45769</v>
      </c>
      <c r="D1084" s="8" t="str">
        <f aca="false">INDEX(Dim_Supplier!$C$2:$C$21,MATCH(B1084,Dim_Supplier!$A$2:$A$21,0))</f>
        <v>Packaging</v>
      </c>
      <c r="E1084" s="8" t="str">
        <f aca="false">INDEX(Dim_Supplier!$B$2:$B$21,MATCH(B1084,Dim_Supplier!$A$2:$A$21,0))</f>
        <v>Great Lakes Packaging Co.</v>
      </c>
      <c r="F1084" s="5" t="s">
        <v>137</v>
      </c>
      <c r="G1084" s="5" t="s">
        <v>125</v>
      </c>
      <c r="H1084" s="8" t="n">
        <f aca="false">INDEX(Lookup_Tables!$B$2:$B$5,MATCH(D1084,Lookup_Tables!$A$2:$A$5,0))</f>
        <v>14</v>
      </c>
      <c r="I1084" s="9" t="n">
        <f aca="false">C1084+H1084</f>
        <v>45783</v>
      </c>
      <c r="J1084" s="5" t="n">
        <v>-4</v>
      </c>
      <c r="K1084" s="9" t="n">
        <f aca="false">I1084+J1084</f>
        <v>45779</v>
      </c>
      <c r="L1084" s="5" t="n">
        <v>716</v>
      </c>
      <c r="M1084" s="10" t="n">
        <f aca="false">INDEX(Dim_Supplier!$F$2:$F$21,MATCH(B1084,Dim_Supplier!$A$2:$A$21,0))</f>
        <v>4.35</v>
      </c>
      <c r="N1084" s="11" t="n">
        <v>0.0206</v>
      </c>
      <c r="O1084" s="10" t="n">
        <f aca="false">M1084*(1+N1084)</f>
        <v>4.43961</v>
      </c>
      <c r="P1084" s="10" t="n">
        <f aca="false">O1084*L1084</f>
        <v>3178.76076</v>
      </c>
      <c r="Q1084" s="5" t="s">
        <v>133</v>
      </c>
      <c r="R1084" s="5" t="n">
        <v>0</v>
      </c>
      <c r="S1084" s="5" t="n">
        <v>45</v>
      </c>
      <c r="T1084" s="12" t="n">
        <f aca="false">(O1084-M1084)/M1084</f>
        <v>0.0205999999999999</v>
      </c>
      <c r="U1084" s="8" t="n">
        <f aca="false">IF(AND(K1084&lt;=I1084,R1084=0),1,0)</f>
        <v>1</v>
      </c>
      <c r="V1084" s="10" t="n">
        <f aca="false">IF(Q1084="No",P1084,0)</f>
        <v>3178.76076</v>
      </c>
    </row>
    <row r="1085" customFormat="false" ht="15" hidden="false" customHeight="false" outlineLevel="0" collapsed="false">
      <c r="A1085" s="5" t="s">
        <v>1219</v>
      </c>
      <c r="B1085" s="5" t="s">
        <v>71</v>
      </c>
      <c r="C1085" s="7" t="n">
        <v>45601</v>
      </c>
      <c r="D1085" s="8" t="str">
        <f aca="false">INDEX(Dim_Supplier!$C$2:$C$21,MATCH(B1085,Dim_Supplier!$A$2:$A$21,0))</f>
        <v>MRO</v>
      </c>
      <c r="E1085" s="8" t="str">
        <f aca="false">INDEX(Dim_Supplier!$B$2:$B$21,MATCH(B1085,Dim_Supplier!$A$2:$A$21,0))</f>
        <v>CanSafe Equipment Ltd.</v>
      </c>
      <c r="F1085" s="5" t="s">
        <v>164</v>
      </c>
      <c r="G1085" s="5" t="s">
        <v>120</v>
      </c>
      <c r="H1085" s="8" t="n">
        <f aca="false">INDEX(Lookup_Tables!$B$2:$B$5,MATCH(D1085,Lookup_Tables!$A$2:$A$5,0))</f>
        <v>10</v>
      </c>
      <c r="I1085" s="9" t="n">
        <f aca="false">C1085+H1085</f>
        <v>45611</v>
      </c>
      <c r="J1085" s="5" t="n">
        <v>1</v>
      </c>
      <c r="K1085" s="9" t="n">
        <f aca="false">I1085+J1085</f>
        <v>45612</v>
      </c>
      <c r="L1085" s="5" t="n">
        <v>149</v>
      </c>
      <c r="M1085" s="10" t="n">
        <f aca="false">INDEX(Dim_Supplier!$F$2:$F$21,MATCH(B1085,Dim_Supplier!$A$2:$A$21,0))</f>
        <v>18.75</v>
      </c>
      <c r="N1085" s="11" t="n">
        <v>0.048</v>
      </c>
      <c r="O1085" s="10" t="n">
        <f aca="false">M1085*(1+N1085)</f>
        <v>19.65</v>
      </c>
      <c r="P1085" s="10" t="n">
        <f aca="false">O1085*L1085</f>
        <v>2927.85</v>
      </c>
      <c r="Q1085" s="5" t="s">
        <v>133</v>
      </c>
      <c r="R1085" s="5" t="n">
        <v>0</v>
      </c>
      <c r="S1085" s="5" t="n">
        <v>60</v>
      </c>
      <c r="T1085" s="12" t="n">
        <f aca="false">(O1085-M1085)/M1085</f>
        <v>0.0480000000000001</v>
      </c>
      <c r="U1085" s="8" t="n">
        <f aca="false">IF(AND(K1085&lt;=I1085,R1085=0),1,0)</f>
        <v>0</v>
      </c>
      <c r="V1085" s="10" t="n">
        <f aca="false">IF(Q1085="No",P1085,0)</f>
        <v>2927.85</v>
      </c>
    </row>
    <row r="1086" customFormat="false" ht="15" hidden="false" customHeight="false" outlineLevel="0" collapsed="false">
      <c r="A1086" s="5" t="s">
        <v>1220</v>
      </c>
      <c r="B1086" s="5" t="s">
        <v>46</v>
      </c>
      <c r="C1086" s="7" t="n">
        <v>45978</v>
      </c>
      <c r="D1086" s="8" t="str">
        <f aca="false">INDEX(Dim_Supplier!$C$2:$C$21,MATCH(B1086,Dim_Supplier!$A$2:$A$21,0))</f>
        <v>Raw Materials</v>
      </c>
      <c r="E1086" s="8" t="str">
        <f aca="false">INDEX(Dim_Supplier!$B$2:$B$21,MATCH(B1086,Dim_Supplier!$A$2:$A$21,0))</f>
        <v>Niagara Alloy Supply</v>
      </c>
      <c r="F1086" s="5" t="s">
        <v>148</v>
      </c>
      <c r="G1086" s="5" t="s">
        <v>125</v>
      </c>
      <c r="H1086" s="8" t="n">
        <f aca="false">INDEX(Lookup_Tables!$B$2:$B$5,MATCH(D1086,Lookup_Tables!$A$2:$A$5,0))</f>
        <v>21</v>
      </c>
      <c r="I1086" s="9" t="n">
        <f aca="false">C1086+H1086</f>
        <v>45999</v>
      </c>
      <c r="J1086" s="5" t="n">
        <v>0</v>
      </c>
      <c r="K1086" s="9" t="n">
        <f aca="false">I1086+J1086</f>
        <v>45999</v>
      </c>
      <c r="L1086" s="5" t="n">
        <v>1042</v>
      </c>
      <c r="M1086" s="10" t="n">
        <f aca="false">INDEX(Dim_Supplier!$F$2:$F$21,MATCH(B1086,Dim_Supplier!$A$2:$A$21,0))</f>
        <v>46.5</v>
      </c>
      <c r="N1086" s="11" t="n">
        <v>-0.0081</v>
      </c>
      <c r="O1086" s="10" t="n">
        <f aca="false">M1086*(1+N1086)</f>
        <v>46.12335</v>
      </c>
      <c r="P1086" s="10" t="n">
        <f aca="false">O1086*L1086</f>
        <v>48060.5307</v>
      </c>
      <c r="Q1086" s="5" t="s">
        <v>113</v>
      </c>
      <c r="R1086" s="5" t="n">
        <v>0</v>
      </c>
      <c r="S1086" s="5" t="n">
        <v>30</v>
      </c>
      <c r="T1086" s="12" t="n">
        <f aca="false">(O1086-M1086)/M1086</f>
        <v>-0.00809999999999996</v>
      </c>
      <c r="U1086" s="8" t="n">
        <f aca="false">IF(AND(K1086&lt;=I1086,R1086=0),1,0)</f>
        <v>1</v>
      </c>
      <c r="V1086" s="10" t="n">
        <f aca="false">IF(Q1086="No",P1086,0)</f>
        <v>0</v>
      </c>
    </row>
    <row r="1087" customFormat="false" ht="15" hidden="false" customHeight="false" outlineLevel="0" collapsed="false">
      <c r="A1087" s="5" t="s">
        <v>1221</v>
      </c>
      <c r="B1087" s="5" t="s">
        <v>88</v>
      </c>
      <c r="C1087" s="7" t="n">
        <v>45401</v>
      </c>
      <c r="D1087" s="8" t="str">
        <f aca="false">INDEX(Dim_Supplier!$C$2:$C$21,MATCH(B1087,Dim_Supplier!$A$2:$A$21,0))</f>
        <v>Logistics</v>
      </c>
      <c r="E1087" s="8" t="str">
        <f aca="false">INDEX(Dim_Supplier!$B$2:$B$21,MATCH(B1087,Dim_Supplier!$A$2:$A$21,0))</f>
        <v>Summit Last-Mile Delivery</v>
      </c>
      <c r="F1087" s="5" t="s">
        <v>146</v>
      </c>
      <c r="G1087" s="5" t="s">
        <v>129</v>
      </c>
      <c r="H1087" s="8" t="n">
        <f aca="false">INDEX(Lookup_Tables!$B$2:$B$5,MATCH(D1087,Lookup_Tables!$A$2:$A$5,0))</f>
        <v>5</v>
      </c>
      <c r="I1087" s="9" t="n">
        <f aca="false">C1087+H1087</f>
        <v>45406</v>
      </c>
      <c r="J1087" s="5" t="n">
        <v>0</v>
      </c>
      <c r="K1087" s="9" t="n">
        <f aca="false">I1087+J1087</f>
        <v>45406</v>
      </c>
      <c r="L1087" s="5" t="n">
        <v>45</v>
      </c>
      <c r="M1087" s="10" t="n">
        <f aca="false">INDEX(Dim_Supplier!$F$2:$F$21,MATCH(B1087,Dim_Supplier!$A$2:$A$21,0))</f>
        <v>95</v>
      </c>
      <c r="N1087" s="11" t="n">
        <v>0.0168</v>
      </c>
      <c r="O1087" s="10" t="n">
        <f aca="false">M1087*(1+N1087)</f>
        <v>96.596</v>
      </c>
      <c r="P1087" s="10" t="n">
        <f aca="false">O1087*L1087</f>
        <v>4346.82</v>
      </c>
      <c r="Q1087" s="5" t="s">
        <v>113</v>
      </c>
      <c r="R1087" s="5" t="n">
        <v>0</v>
      </c>
      <c r="S1087" s="5" t="n">
        <v>45</v>
      </c>
      <c r="T1087" s="12" t="n">
        <f aca="false">(O1087-M1087)/M1087</f>
        <v>0.0167999999999999</v>
      </c>
      <c r="U1087" s="8" t="n">
        <f aca="false">IF(AND(K1087&lt;=I1087,R1087=0),1,0)</f>
        <v>1</v>
      </c>
      <c r="V1087" s="10" t="n">
        <f aca="false">IF(Q1087="No",P1087,0)</f>
        <v>0</v>
      </c>
    </row>
    <row r="1088" customFormat="false" ht="15" hidden="false" customHeight="false" outlineLevel="0" collapsed="false">
      <c r="A1088" s="5" t="s">
        <v>1222</v>
      </c>
      <c r="B1088" s="5" t="s">
        <v>75</v>
      </c>
      <c r="C1088" s="7" t="n">
        <v>46049</v>
      </c>
      <c r="D1088" s="8" t="str">
        <f aca="false">INDEX(Dim_Supplier!$C$2:$C$21,MATCH(B1088,Dim_Supplier!$A$2:$A$21,0))</f>
        <v>MRO</v>
      </c>
      <c r="E1088" s="8" t="str">
        <f aca="false">INDEX(Dim_Supplier!$B$2:$B$21,MATCH(B1088,Dim_Supplier!$A$2:$A$21,0))</f>
        <v>Sterling Lubricants Inc.</v>
      </c>
      <c r="F1088" s="5" t="s">
        <v>127</v>
      </c>
      <c r="G1088" s="5" t="s">
        <v>112</v>
      </c>
      <c r="H1088" s="8" t="n">
        <f aca="false">INDEX(Lookup_Tables!$B$2:$B$5,MATCH(D1088,Lookup_Tables!$A$2:$A$5,0))</f>
        <v>10</v>
      </c>
      <c r="I1088" s="9" t="n">
        <f aca="false">C1088+H1088</f>
        <v>46059</v>
      </c>
      <c r="J1088" s="5" t="n">
        <v>-4</v>
      </c>
      <c r="K1088" s="9" t="n">
        <f aca="false">I1088+J1088</f>
        <v>46055</v>
      </c>
      <c r="L1088" s="5" t="n">
        <v>131</v>
      </c>
      <c r="M1088" s="10" t="n">
        <f aca="false">INDEX(Dim_Supplier!$F$2:$F$21,MATCH(B1088,Dim_Supplier!$A$2:$A$21,0))</f>
        <v>27.1</v>
      </c>
      <c r="N1088" s="11" t="n">
        <v>0.0174</v>
      </c>
      <c r="O1088" s="10" t="n">
        <f aca="false">M1088*(1+N1088)</f>
        <v>27.57154</v>
      </c>
      <c r="P1088" s="10" t="n">
        <f aca="false">O1088*L1088</f>
        <v>3611.87174</v>
      </c>
      <c r="Q1088" s="5" t="s">
        <v>113</v>
      </c>
      <c r="R1088" s="5" t="n">
        <v>0</v>
      </c>
      <c r="S1088" s="5" t="n">
        <v>45</v>
      </c>
      <c r="T1088" s="12" t="n">
        <f aca="false">(O1088-M1088)/M1088</f>
        <v>0.0174</v>
      </c>
      <c r="U1088" s="8" t="n">
        <f aca="false">IF(AND(K1088&lt;=I1088,R1088=0),1,0)</f>
        <v>1</v>
      </c>
      <c r="V1088" s="10" t="n">
        <f aca="false">IF(Q1088="No",P1088,0)</f>
        <v>0</v>
      </c>
    </row>
    <row r="1089" customFormat="false" ht="15" hidden="false" customHeight="false" outlineLevel="0" collapsed="false">
      <c r="A1089" s="5" t="s">
        <v>1223</v>
      </c>
      <c r="B1089" s="5" t="s">
        <v>49</v>
      </c>
      <c r="C1089" s="7" t="n">
        <v>45935</v>
      </c>
      <c r="D1089" s="8" t="str">
        <f aca="false">INDEX(Dim_Supplier!$C$2:$C$21,MATCH(B1089,Dim_Supplier!$A$2:$A$21,0))</f>
        <v>Raw Materials</v>
      </c>
      <c r="E1089" s="8" t="str">
        <f aca="false">INDEX(Dim_Supplier!$B$2:$B$21,MATCH(B1089,Dim_Supplier!$A$2:$A$21,0))</f>
        <v>Great Lakes Polymer Co.</v>
      </c>
      <c r="F1089" s="5" t="s">
        <v>139</v>
      </c>
      <c r="G1089" s="5" t="s">
        <v>129</v>
      </c>
      <c r="H1089" s="8" t="n">
        <f aca="false">INDEX(Lookup_Tables!$B$2:$B$5,MATCH(D1089,Lookup_Tables!$A$2:$A$5,0))</f>
        <v>21</v>
      </c>
      <c r="I1089" s="9" t="n">
        <f aca="false">C1089+H1089</f>
        <v>45956</v>
      </c>
      <c r="J1089" s="5" t="n">
        <v>5</v>
      </c>
      <c r="K1089" s="9" t="n">
        <f aca="false">I1089+J1089</f>
        <v>45961</v>
      </c>
      <c r="L1089" s="5" t="n">
        <v>511</v>
      </c>
      <c r="M1089" s="10" t="n">
        <f aca="false">INDEX(Dim_Supplier!$F$2:$F$21,MATCH(B1089,Dim_Supplier!$A$2:$A$21,0))</f>
        <v>32.75</v>
      </c>
      <c r="N1089" s="11" t="n">
        <v>0.0937</v>
      </c>
      <c r="O1089" s="10" t="n">
        <f aca="false">M1089*(1+N1089)</f>
        <v>35.818675</v>
      </c>
      <c r="P1089" s="10" t="n">
        <f aca="false">O1089*L1089</f>
        <v>18303.342925</v>
      </c>
      <c r="Q1089" s="5" t="s">
        <v>113</v>
      </c>
      <c r="R1089" s="5" t="n">
        <v>39</v>
      </c>
      <c r="S1089" s="5" t="n">
        <v>60</v>
      </c>
      <c r="T1089" s="12" t="n">
        <f aca="false">(O1089-M1089)/M1089</f>
        <v>0.0937000000000002</v>
      </c>
      <c r="U1089" s="8" t="n">
        <f aca="false">IF(AND(K1089&lt;=I1089,R1089=0),1,0)</f>
        <v>0</v>
      </c>
      <c r="V1089" s="10" t="n">
        <f aca="false">IF(Q1089="No",P1089,0)</f>
        <v>0</v>
      </c>
    </row>
    <row r="1090" customFormat="false" ht="15" hidden="false" customHeight="false" outlineLevel="0" collapsed="false">
      <c r="A1090" s="5" t="s">
        <v>1224</v>
      </c>
      <c r="B1090" s="5" t="s">
        <v>66</v>
      </c>
      <c r="C1090" s="7" t="n">
        <v>45545</v>
      </c>
      <c r="D1090" s="8" t="str">
        <f aca="false">INDEX(Dim_Supplier!$C$2:$C$21,MATCH(B1090,Dim_Supplier!$A$2:$A$21,0))</f>
        <v>Packaging</v>
      </c>
      <c r="E1090" s="8" t="str">
        <f aca="false">INDEX(Dim_Supplier!$B$2:$B$21,MATCH(B1090,Dim_Supplier!$A$2:$A$21,0))</f>
        <v>EverGreen Wrap Industries</v>
      </c>
      <c r="F1090" s="5" t="s">
        <v>158</v>
      </c>
      <c r="G1090" s="5" t="s">
        <v>129</v>
      </c>
      <c r="H1090" s="8" t="n">
        <f aca="false">INDEX(Lookup_Tables!$B$2:$B$5,MATCH(D1090,Lookup_Tables!$A$2:$A$5,0))</f>
        <v>14</v>
      </c>
      <c r="I1090" s="9" t="n">
        <f aca="false">C1090+H1090</f>
        <v>45559</v>
      </c>
      <c r="J1090" s="5" t="n">
        <v>-4</v>
      </c>
      <c r="K1090" s="9" t="n">
        <f aca="false">I1090+J1090</f>
        <v>45555</v>
      </c>
      <c r="L1090" s="5" t="n">
        <v>4135</v>
      </c>
      <c r="M1090" s="10" t="n">
        <f aca="false">INDEX(Dim_Supplier!$F$2:$F$21,MATCH(B1090,Dim_Supplier!$A$2:$A$21,0))</f>
        <v>6.8</v>
      </c>
      <c r="N1090" s="11" t="n">
        <v>0.0662</v>
      </c>
      <c r="O1090" s="10" t="n">
        <f aca="false">M1090*(1+N1090)</f>
        <v>7.25016</v>
      </c>
      <c r="P1090" s="10" t="n">
        <f aca="false">O1090*L1090</f>
        <v>29979.4116</v>
      </c>
      <c r="Q1090" s="5" t="s">
        <v>113</v>
      </c>
      <c r="R1090" s="5" t="n">
        <v>0</v>
      </c>
      <c r="S1090" s="5" t="n">
        <v>30</v>
      </c>
      <c r="T1090" s="12" t="n">
        <f aca="false">(O1090-M1090)/M1090</f>
        <v>0.0662000000000001</v>
      </c>
      <c r="U1090" s="8" t="n">
        <f aca="false">IF(AND(K1090&lt;=I1090,R1090=0),1,0)</f>
        <v>1</v>
      </c>
      <c r="V1090" s="10" t="n">
        <f aca="false">IF(Q1090="No",P1090,0)</f>
        <v>0</v>
      </c>
    </row>
    <row r="1091" customFormat="false" ht="15" hidden="false" customHeight="false" outlineLevel="0" collapsed="false">
      <c r="A1091" s="5" t="s">
        <v>1225</v>
      </c>
      <c r="B1091" s="5" t="s">
        <v>64</v>
      </c>
      <c r="C1091" s="7" t="n">
        <v>45480</v>
      </c>
      <c r="D1091" s="8" t="str">
        <f aca="false">INDEX(Dim_Supplier!$C$2:$C$21,MATCH(B1091,Dim_Supplier!$A$2:$A$21,0))</f>
        <v>Packaging</v>
      </c>
      <c r="E1091" s="8" t="str">
        <f aca="false">INDEX(Dim_Supplier!$B$2:$B$21,MATCH(B1091,Dim_Supplier!$A$2:$A$21,0))</f>
        <v>Huron Pallet Works</v>
      </c>
      <c r="F1091" s="5" t="s">
        <v>158</v>
      </c>
      <c r="G1091" s="5" t="s">
        <v>120</v>
      </c>
      <c r="H1091" s="8" t="n">
        <f aca="false">INDEX(Lookup_Tables!$B$2:$B$5,MATCH(D1091,Lookup_Tables!$A$2:$A$5,0))</f>
        <v>14</v>
      </c>
      <c r="I1091" s="9" t="n">
        <f aca="false">C1091+H1091</f>
        <v>45494</v>
      </c>
      <c r="J1091" s="5" t="n">
        <v>6</v>
      </c>
      <c r="K1091" s="9" t="n">
        <f aca="false">I1091+J1091</f>
        <v>45500</v>
      </c>
      <c r="L1091" s="5" t="n">
        <v>1509</v>
      </c>
      <c r="M1091" s="10" t="n">
        <f aca="false">INDEX(Dim_Supplier!$F$2:$F$21,MATCH(B1091,Dim_Supplier!$A$2:$A$21,0))</f>
        <v>2.25</v>
      </c>
      <c r="N1091" s="11" t="n">
        <v>0.1128</v>
      </c>
      <c r="O1091" s="10" t="n">
        <f aca="false">M1091*(1+N1091)</f>
        <v>2.5038</v>
      </c>
      <c r="P1091" s="10" t="n">
        <f aca="false">O1091*L1091</f>
        <v>3778.2342</v>
      </c>
      <c r="Q1091" s="5" t="s">
        <v>113</v>
      </c>
      <c r="R1091" s="5" t="n">
        <v>0</v>
      </c>
      <c r="S1091" s="5" t="n">
        <v>30</v>
      </c>
      <c r="T1091" s="12" t="n">
        <f aca="false">(O1091-M1091)/M1091</f>
        <v>0.1128</v>
      </c>
      <c r="U1091" s="8" t="n">
        <f aca="false">IF(AND(K1091&lt;=I1091,R1091=0),1,0)</f>
        <v>0</v>
      </c>
      <c r="V1091" s="10" t="n">
        <f aca="false">IF(Q1091="No",P1091,0)</f>
        <v>0</v>
      </c>
    </row>
    <row r="1092" customFormat="false" ht="15" hidden="false" customHeight="false" outlineLevel="0" collapsed="false">
      <c r="A1092" s="5" t="s">
        <v>1226</v>
      </c>
      <c r="B1092" s="5" t="s">
        <v>79</v>
      </c>
      <c r="C1092" s="7" t="n">
        <v>45965</v>
      </c>
      <c r="D1092" s="8" t="str">
        <f aca="false">INDEX(Dim_Supplier!$C$2:$C$21,MATCH(B1092,Dim_Supplier!$A$2:$A$21,0))</f>
        <v>Logistics</v>
      </c>
      <c r="E1092" s="8" t="str">
        <f aca="false">INDEX(Dim_Supplier!$B$2:$B$21,MATCH(B1092,Dim_Supplier!$A$2:$A$21,0))</f>
        <v>Niagara Freight Solutions</v>
      </c>
      <c r="F1092" s="5" t="s">
        <v>154</v>
      </c>
      <c r="G1092" s="5" t="s">
        <v>112</v>
      </c>
      <c r="H1092" s="8" t="n">
        <f aca="false">INDEX(Lookup_Tables!$B$2:$B$5,MATCH(D1092,Lookup_Tables!$A$2:$A$5,0))</f>
        <v>5</v>
      </c>
      <c r="I1092" s="9" t="n">
        <f aca="false">C1092+H1092</f>
        <v>45970</v>
      </c>
      <c r="J1092" s="5" t="n">
        <v>-4</v>
      </c>
      <c r="K1092" s="9" t="n">
        <f aca="false">I1092+J1092</f>
        <v>45966</v>
      </c>
      <c r="L1092" s="5" t="n">
        <v>13</v>
      </c>
      <c r="M1092" s="10" t="n">
        <f aca="false">INDEX(Dim_Supplier!$F$2:$F$21,MATCH(B1092,Dim_Supplier!$A$2:$A$21,0))</f>
        <v>340</v>
      </c>
      <c r="N1092" s="11" t="n">
        <v>0.0078</v>
      </c>
      <c r="O1092" s="10" t="n">
        <f aca="false">M1092*(1+N1092)</f>
        <v>342.652</v>
      </c>
      <c r="P1092" s="10" t="n">
        <f aca="false">O1092*L1092</f>
        <v>4454.476</v>
      </c>
      <c r="Q1092" s="5" t="s">
        <v>113</v>
      </c>
      <c r="R1092" s="5" t="n">
        <v>0</v>
      </c>
      <c r="S1092" s="5" t="n">
        <v>45</v>
      </c>
      <c r="T1092" s="12" t="n">
        <f aca="false">(O1092-M1092)/M1092</f>
        <v>0.00779999999999996</v>
      </c>
      <c r="U1092" s="8" t="n">
        <f aca="false">IF(AND(K1092&lt;=I1092,R1092=0),1,0)</f>
        <v>1</v>
      </c>
      <c r="V1092" s="10" t="n">
        <f aca="false">IF(Q1092="No",P1092,0)</f>
        <v>0</v>
      </c>
    </row>
    <row r="1093" customFormat="false" ht="15" hidden="false" customHeight="false" outlineLevel="0" collapsed="false">
      <c r="A1093" s="5" t="s">
        <v>1227</v>
      </c>
      <c r="B1093" s="5" t="s">
        <v>88</v>
      </c>
      <c r="C1093" s="7" t="n">
        <v>45796</v>
      </c>
      <c r="D1093" s="8" t="str">
        <f aca="false">INDEX(Dim_Supplier!$C$2:$C$21,MATCH(B1093,Dim_Supplier!$A$2:$A$21,0))</f>
        <v>Logistics</v>
      </c>
      <c r="E1093" s="8" t="str">
        <f aca="false">INDEX(Dim_Supplier!$B$2:$B$21,MATCH(B1093,Dim_Supplier!$A$2:$A$21,0))</f>
        <v>Summit Last-Mile Delivery</v>
      </c>
      <c r="F1093" s="5" t="s">
        <v>146</v>
      </c>
      <c r="G1093" s="5" t="s">
        <v>120</v>
      </c>
      <c r="H1093" s="8" t="n">
        <f aca="false">INDEX(Lookup_Tables!$B$2:$B$5,MATCH(D1093,Lookup_Tables!$A$2:$A$5,0))</f>
        <v>5</v>
      </c>
      <c r="I1093" s="9" t="n">
        <f aca="false">C1093+H1093</f>
        <v>45801</v>
      </c>
      <c r="J1093" s="5" t="n">
        <v>-3</v>
      </c>
      <c r="K1093" s="9" t="n">
        <f aca="false">I1093+J1093</f>
        <v>45798</v>
      </c>
      <c r="L1093" s="5" t="n">
        <v>7</v>
      </c>
      <c r="M1093" s="10" t="n">
        <f aca="false">INDEX(Dim_Supplier!$F$2:$F$21,MATCH(B1093,Dim_Supplier!$A$2:$A$21,0))</f>
        <v>95</v>
      </c>
      <c r="N1093" s="11" t="n">
        <v>0.0595</v>
      </c>
      <c r="O1093" s="10" t="n">
        <f aca="false">M1093*(1+N1093)</f>
        <v>100.6525</v>
      </c>
      <c r="P1093" s="10" t="n">
        <f aca="false">O1093*L1093</f>
        <v>704.5675</v>
      </c>
      <c r="Q1093" s="5" t="s">
        <v>113</v>
      </c>
      <c r="R1093" s="5" t="n">
        <v>0</v>
      </c>
      <c r="S1093" s="5" t="n">
        <v>30</v>
      </c>
      <c r="T1093" s="12" t="n">
        <f aca="false">(O1093-M1093)/M1093</f>
        <v>0.0594999999999999</v>
      </c>
      <c r="U1093" s="8" t="n">
        <f aca="false">IF(AND(K1093&lt;=I1093,R1093=0),1,0)</f>
        <v>1</v>
      </c>
      <c r="V1093" s="10" t="n">
        <f aca="false">IF(Q1093="No",P1093,0)</f>
        <v>0</v>
      </c>
    </row>
    <row r="1094" customFormat="false" ht="15" hidden="false" customHeight="false" outlineLevel="0" collapsed="false">
      <c r="A1094" s="5" t="s">
        <v>1228</v>
      </c>
      <c r="B1094" s="5" t="s">
        <v>54</v>
      </c>
      <c r="C1094" s="7" t="n">
        <v>45415</v>
      </c>
      <c r="D1094" s="8" t="str">
        <f aca="false">INDEX(Dim_Supplier!$C$2:$C$21,MATCH(B1094,Dim_Supplier!$A$2:$A$21,0))</f>
        <v>Raw Materials</v>
      </c>
      <c r="E1094" s="8" t="str">
        <f aca="false">INDEX(Dim_Supplier!$B$2:$B$21,MATCH(B1094,Dim_Supplier!$A$2:$A$21,0))</f>
        <v>Northern Resin Solutions</v>
      </c>
      <c r="F1094" s="5" t="s">
        <v>144</v>
      </c>
      <c r="G1094" s="5" t="s">
        <v>125</v>
      </c>
      <c r="H1094" s="8" t="n">
        <f aca="false">INDEX(Lookup_Tables!$B$2:$B$5,MATCH(D1094,Lookup_Tables!$A$2:$A$5,0))</f>
        <v>21</v>
      </c>
      <c r="I1094" s="9" t="n">
        <f aca="false">C1094+H1094</f>
        <v>45436</v>
      </c>
      <c r="J1094" s="5" t="n">
        <v>1</v>
      </c>
      <c r="K1094" s="9" t="n">
        <f aca="false">I1094+J1094</f>
        <v>45437</v>
      </c>
      <c r="L1094" s="5" t="n">
        <v>1421</v>
      </c>
      <c r="M1094" s="10" t="n">
        <f aca="false">INDEX(Dim_Supplier!$F$2:$F$21,MATCH(B1094,Dim_Supplier!$A$2:$A$21,0))</f>
        <v>38.9</v>
      </c>
      <c r="N1094" s="11" t="n">
        <v>0.0512</v>
      </c>
      <c r="O1094" s="10" t="n">
        <f aca="false">M1094*(1+N1094)</f>
        <v>40.89168</v>
      </c>
      <c r="P1094" s="10" t="n">
        <f aca="false">O1094*L1094</f>
        <v>58107.07728</v>
      </c>
      <c r="Q1094" s="5" t="s">
        <v>113</v>
      </c>
      <c r="R1094" s="5" t="n">
        <v>0</v>
      </c>
      <c r="S1094" s="5" t="n">
        <v>30</v>
      </c>
      <c r="T1094" s="12" t="n">
        <f aca="false">(O1094-M1094)/M1094</f>
        <v>0.0511999999999999</v>
      </c>
      <c r="U1094" s="8" t="n">
        <f aca="false">IF(AND(K1094&lt;=I1094,R1094=0),1,0)</f>
        <v>0</v>
      </c>
      <c r="V1094" s="10" t="n">
        <f aca="false">IF(Q1094="No",P1094,0)</f>
        <v>0</v>
      </c>
    </row>
    <row r="1095" customFormat="false" ht="15" hidden="false" customHeight="false" outlineLevel="0" collapsed="false">
      <c r="A1095" s="5" t="s">
        <v>1229</v>
      </c>
      <c r="B1095" s="5" t="s">
        <v>86</v>
      </c>
      <c r="C1095" s="7" t="n">
        <v>45655</v>
      </c>
      <c r="D1095" s="8" t="str">
        <f aca="false">INDEX(Dim_Supplier!$C$2:$C$21,MATCH(B1095,Dim_Supplier!$A$2:$A$21,0))</f>
        <v>Logistics</v>
      </c>
      <c r="E1095" s="8" t="str">
        <f aca="false">INDEX(Dim_Supplier!$B$2:$B$21,MATCH(B1095,Dim_Supplier!$A$2:$A$21,0))</f>
        <v>Blue Water Customs Brokerage</v>
      </c>
      <c r="F1095" s="5" t="s">
        <v>154</v>
      </c>
      <c r="G1095" s="5" t="s">
        <v>125</v>
      </c>
      <c r="H1095" s="8" t="n">
        <f aca="false">INDEX(Lookup_Tables!$B$2:$B$5,MATCH(D1095,Lookup_Tables!$A$2:$A$5,0))</f>
        <v>5</v>
      </c>
      <c r="I1095" s="9" t="n">
        <f aca="false">C1095+H1095</f>
        <v>45660</v>
      </c>
      <c r="J1095" s="5" t="n">
        <v>0</v>
      </c>
      <c r="K1095" s="9" t="n">
        <f aca="false">I1095+J1095</f>
        <v>45660</v>
      </c>
      <c r="L1095" s="5" t="n">
        <v>1</v>
      </c>
      <c r="M1095" s="10" t="n">
        <f aca="false">INDEX(Dim_Supplier!$F$2:$F$21,MATCH(B1095,Dim_Supplier!$A$2:$A$21,0))</f>
        <v>175</v>
      </c>
      <c r="N1095" s="11" t="n">
        <v>-0.0049</v>
      </c>
      <c r="O1095" s="10" t="n">
        <f aca="false">M1095*(1+N1095)</f>
        <v>174.1425</v>
      </c>
      <c r="P1095" s="10" t="n">
        <f aca="false">O1095*L1095</f>
        <v>174.1425</v>
      </c>
      <c r="Q1095" s="5" t="s">
        <v>133</v>
      </c>
      <c r="R1095" s="5" t="n">
        <v>0</v>
      </c>
      <c r="S1095" s="5" t="n">
        <v>60</v>
      </c>
      <c r="T1095" s="12" t="n">
        <f aca="false">(O1095-M1095)/M1095</f>
        <v>-0.00490000000000009</v>
      </c>
      <c r="U1095" s="8" t="n">
        <f aca="false">IF(AND(K1095&lt;=I1095,R1095=0),1,0)</f>
        <v>1</v>
      </c>
      <c r="V1095" s="10" t="n">
        <f aca="false">IF(Q1095="No",P1095,0)</f>
        <v>174.1425</v>
      </c>
    </row>
    <row r="1096" customFormat="false" ht="15" hidden="false" customHeight="false" outlineLevel="0" collapsed="false">
      <c r="A1096" s="5" t="s">
        <v>1230</v>
      </c>
      <c r="B1096" s="5" t="s">
        <v>66</v>
      </c>
      <c r="C1096" s="7" t="n">
        <v>45649</v>
      </c>
      <c r="D1096" s="8" t="str">
        <f aca="false">INDEX(Dim_Supplier!$C$2:$C$21,MATCH(B1096,Dim_Supplier!$A$2:$A$21,0))</f>
        <v>Packaging</v>
      </c>
      <c r="E1096" s="8" t="str">
        <f aca="false">INDEX(Dim_Supplier!$B$2:$B$21,MATCH(B1096,Dim_Supplier!$A$2:$A$21,0))</f>
        <v>EverGreen Wrap Industries</v>
      </c>
      <c r="F1096" s="5" t="s">
        <v>122</v>
      </c>
      <c r="G1096" s="5" t="s">
        <v>125</v>
      </c>
      <c r="H1096" s="8" t="n">
        <f aca="false">INDEX(Lookup_Tables!$B$2:$B$5,MATCH(D1096,Lookup_Tables!$A$2:$A$5,0))</f>
        <v>14</v>
      </c>
      <c r="I1096" s="9" t="n">
        <f aca="false">C1096+H1096</f>
        <v>45663</v>
      </c>
      <c r="J1096" s="5" t="n">
        <v>-2</v>
      </c>
      <c r="K1096" s="9" t="n">
        <f aca="false">I1096+J1096</f>
        <v>45661</v>
      </c>
      <c r="L1096" s="5" t="n">
        <v>1740</v>
      </c>
      <c r="M1096" s="10" t="n">
        <f aca="false">INDEX(Dim_Supplier!$F$2:$F$21,MATCH(B1096,Dim_Supplier!$A$2:$A$21,0))</f>
        <v>6.8</v>
      </c>
      <c r="N1096" s="11" t="n">
        <v>0.059</v>
      </c>
      <c r="O1096" s="10" t="n">
        <f aca="false">M1096*(1+N1096)</f>
        <v>7.2012</v>
      </c>
      <c r="P1096" s="10" t="n">
        <f aca="false">O1096*L1096</f>
        <v>12530.088</v>
      </c>
      <c r="Q1096" s="5" t="s">
        <v>113</v>
      </c>
      <c r="R1096" s="5" t="n">
        <v>0</v>
      </c>
      <c r="S1096" s="5" t="n">
        <v>30</v>
      </c>
      <c r="T1096" s="12" t="n">
        <f aca="false">(O1096-M1096)/M1096</f>
        <v>0.0589999999999999</v>
      </c>
      <c r="U1096" s="8" t="n">
        <f aca="false">IF(AND(K1096&lt;=I1096,R1096=0),1,0)</f>
        <v>1</v>
      </c>
      <c r="V1096" s="10" t="n">
        <f aca="false">IF(Q1096="No",P1096,0)</f>
        <v>0</v>
      </c>
    </row>
    <row r="1097" customFormat="false" ht="15" hidden="false" customHeight="false" outlineLevel="0" collapsed="false">
      <c r="A1097" s="5" t="s">
        <v>1231</v>
      </c>
      <c r="B1097" s="5" t="s">
        <v>75</v>
      </c>
      <c r="C1097" s="7" t="n">
        <v>46097</v>
      </c>
      <c r="D1097" s="8" t="str">
        <f aca="false">INDEX(Dim_Supplier!$C$2:$C$21,MATCH(B1097,Dim_Supplier!$A$2:$A$21,0))</f>
        <v>MRO</v>
      </c>
      <c r="E1097" s="8" t="str">
        <f aca="false">INDEX(Dim_Supplier!$B$2:$B$21,MATCH(B1097,Dim_Supplier!$A$2:$A$21,0))</f>
        <v>Sterling Lubricants Inc.</v>
      </c>
      <c r="F1097" s="5" t="s">
        <v>164</v>
      </c>
      <c r="G1097" s="5" t="s">
        <v>120</v>
      </c>
      <c r="H1097" s="8" t="n">
        <f aca="false">INDEX(Lookup_Tables!$B$2:$B$5,MATCH(D1097,Lookup_Tables!$A$2:$A$5,0))</f>
        <v>10</v>
      </c>
      <c r="I1097" s="9" t="n">
        <f aca="false">C1097+H1097</f>
        <v>46107</v>
      </c>
      <c r="J1097" s="5" t="n">
        <v>-2</v>
      </c>
      <c r="K1097" s="9" t="n">
        <f aca="false">I1097+J1097</f>
        <v>46105</v>
      </c>
      <c r="L1097" s="5" t="n">
        <v>105</v>
      </c>
      <c r="M1097" s="10" t="n">
        <f aca="false">INDEX(Dim_Supplier!$F$2:$F$21,MATCH(B1097,Dim_Supplier!$A$2:$A$21,0))</f>
        <v>27.1</v>
      </c>
      <c r="N1097" s="11" t="n">
        <v>-0.0086</v>
      </c>
      <c r="O1097" s="10" t="n">
        <f aca="false">M1097*(1+N1097)</f>
        <v>26.86694</v>
      </c>
      <c r="P1097" s="10" t="n">
        <f aca="false">O1097*L1097</f>
        <v>2821.0287</v>
      </c>
      <c r="Q1097" s="5" t="s">
        <v>113</v>
      </c>
      <c r="R1097" s="5" t="n">
        <v>0</v>
      </c>
      <c r="S1097" s="5" t="n">
        <v>30</v>
      </c>
      <c r="T1097" s="12" t="n">
        <f aca="false">(O1097-M1097)/M1097</f>
        <v>-0.00860000000000007</v>
      </c>
      <c r="U1097" s="8" t="n">
        <f aca="false">IF(AND(K1097&lt;=I1097,R1097=0),1,0)</f>
        <v>1</v>
      </c>
      <c r="V1097" s="10" t="n">
        <f aca="false">IF(Q1097="No",P1097,0)</f>
        <v>0</v>
      </c>
    </row>
    <row r="1098" customFormat="false" ht="15" hidden="false" customHeight="false" outlineLevel="0" collapsed="false">
      <c r="A1098" s="5" t="s">
        <v>1232</v>
      </c>
      <c r="B1098" s="5" t="s">
        <v>88</v>
      </c>
      <c r="C1098" s="7" t="n">
        <v>45912</v>
      </c>
      <c r="D1098" s="8" t="str">
        <f aca="false">INDEX(Dim_Supplier!$C$2:$C$21,MATCH(B1098,Dim_Supplier!$A$2:$A$21,0))</f>
        <v>Logistics</v>
      </c>
      <c r="E1098" s="8" t="str">
        <f aca="false">INDEX(Dim_Supplier!$B$2:$B$21,MATCH(B1098,Dim_Supplier!$A$2:$A$21,0))</f>
        <v>Summit Last-Mile Delivery</v>
      </c>
      <c r="F1098" s="5" t="s">
        <v>154</v>
      </c>
      <c r="G1098" s="5" t="s">
        <v>120</v>
      </c>
      <c r="H1098" s="8" t="n">
        <f aca="false">INDEX(Lookup_Tables!$B$2:$B$5,MATCH(D1098,Lookup_Tables!$A$2:$A$5,0))</f>
        <v>5</v>
      </c>
      <c r="I1098" s="9" t="n">
        <f aca="false">C1098+H1098</f>
        <v>45917</v>
      </c>
      <c r="J1098" s="5" t="n">
        <v>0</v>
      </c>
      <c r="K1098" s="9" t="n">
        <f aca="false">I1098+J1098</f>
        <v>45917</v>
      </c>
      <c r="L1098" s="5" t="n">
        <v>38</v>
      </c>
      <c r="M1098" s="10" t="n">
        <f aca="false">INDEX(Dim_Supplier!$F$2:$F$21,MATCH(B1098,Dim_Supplier!$A$2:$A$21,0))</f>
        <v>95</v>
      </c>
      <c r="N1098" s="11" t="n">
        <v>0.0529</v>
      </c>
      <c r="O1098" s="10" t="n">
        <f aca="false">M1098*(1+N1098)</f>
        <v>100.0255</v>
      </c>
      <c r="P1098" s="10" t="n">
        <f aca="false">O1098*L1098</f>
        <v>3800.969</v>
      </c>
      <c r="Q1098" s="5" t="s">
        <v>113</v>
      </c>
      <c r="R1098" s="5" t="n">
        <v>0</v>
      </c>
      <c r="S1098" s="5" t="n">
        <v>30</v>
      </c>
      <c r="T1098" s="12" t="n">
        <f aca="false">(O1098-M1098)/M1098</f>
        <v>0.0528999999999999</v>
      </c>
      <c r="U1098" s="8" t="n">
        <f aca="false">IF(AND(K1098&lt;=I1098,R1098=0),1,0)</f>
        <v>1</v>
      </c>
      <c r="V1098" s="10" t="n">
        <f aca="false">IF(Q1098="No",P1098,0)</f>
        <v>0</v>
      </c>
    </row>
    <row r="1099" customFormat="false" ht="15" hidden="false" customHeight="false" outlineLevel="0" collapsed="false">
      <c r="A1099" s="5" t="s">
        <v>1233</v>
      </c>
      <c r="B1099" s="5" t="s">
        <v>41</v>
      </c>
      <c r="C1099" s="7" t="n">
        <v>46164</v>
      </c>
      <c r="D1099" s="8" t="str">
        <f aca="false">INDEX(Dim_Supplier!$C$2:$C$21,MATCH(B1099,Dim_Supplier!$A$2:$A$21,0))</f>
        <v>Raw Materials</v>
      </c>
      <c r="E1099" s="8" t="str">
        <f aca="false">INDEX(Dim_Supplier!$B$2:$B$21,MATCH(B1099,Dim_Supplier!$A$2:$A$21,0))</f>
        <v>Ontario Steel Partners</v>
      </c>
      <c r="F1099" s="5" t="s">
        <v>115</v>
      </c>
      <c r="G1099" s="5" t="s">
        <v>112</v>
      </c>
      <c r="H1099" s="8" t="n">
        <f aca="false">INDEX(Lookup_Tables!$B$2:$B$5,MATCH(D1099,Lookup_Tables!$A$2:$A$5,0))</f>
        <v>21</v>
      </c>
      <c r="I1099" s="9" t="n">
        <f aca="false">C1099+H1099</f>
        <v>46185</v>
      </c>
      <c r="J1099" s="5" t="n">
        <v>-2</v>
      </c>
      <c r="K1099" s="9" t="n">
        <f aca="false">I1099+J1099</f>
        <v>46183</v>
      </c>
      <c r="L1099" s="5" t="n">
        <v>1491</v>
      </c>
      <c r="M1099" s="10" t="n">
        <f aca="false">INDEX(Dim_Supplier!$F$2:$F$21,MATCH(B1099,Dim_Supplier!$A$2:$A$21,0))</f>
        <v>58</v>
      </c>
      <c r="N1099" s="11" t="n">
        <v>0.0154</v>
      </c>
      <c r="O1099" s="10" t="n">
        <f aca="false">M1099*(1+N1099)</f>
        <v>58.8932</v>
      </c>
      <c r="P1099" s="10" t="n">
        <f aca="false">O1099*L1099</f>
        <v>87809.7612</v>
      </c>
      <c r="Q1099" s="5" t="s">
        <v>113</v>
      </c>
      <c r="R1099" s="5" t="n">
        <v>0</v>
      </c>
      <c r="S1099" s="5" t="n">
        <v>60</v>
      </c>
      <c r="T1099" s="12" t="n">
        <f aca="false">(O1099-M1099)/M1099</f>
        <v>0.0154000000000001</v>
      </c>
      <c r="U1099" s="8" t="n">
        <f aca="false">IF(AND(K1099&lt;=I1099,R1099=0),1,0)</f>
        <v>1</v>
      </c>
      <c r="V1099" s="10" t="n">
        <f aca="false">IF(Q1099="No",P1099,0)</f>
        <v>0</v>
      </c>
    </row>
    <row r="1100" customFormat="false" ht="15" hidden="false" customHeight="false" outlineLevel="0" collapsed="false">
      <c r="A1100" s="5" t="s">
        <v>1234</v>
      </c>
      <c r="B1100" s="5" t="s">
        <v>79</v>
      </c>
      <c r="C1100" s="7" t="n">
        <v>46042</v>
      </c>
      <c r="D1100" s="8" t="str">
        <f aca="false">INDEX(Dim_Supplier!$C$2:$C$21,MATCH(B1100,Dim_Supplier!$A$2:$A$21,0))</f>
        <v>Logistics</v>
      </c>
      <c r="E1100" s="8" t="str">
        <f aca="false">INDEX(Dim_Supplier!$B$2:$B$21,MATCH(B1100,Dim_Supplier!$A$2:$A$21,0))</f>
        <v>Niagara Freight Solutions</v>
      </c>
      <c r="F1100" s="5" t="s">
        <v>154</v>
      </c>
      <c r="G1100" s="5" t="s">
        <v>129</v>
      </c>
      <c r="H1100" s="8" t="n">
        <f aca="false">INDEX(Lookup_Tables!$B$2:$B$5,MATCH(D1100,Lookup_Tables!$A$2:$A$5,0))</f>
        <v>5</v>
      </c>
      <c r="I1100" s="9" t="n">
        <f aca="false">C1100+H1100</f>
        <v>46047</v>
      </c>
      <c r="J1100" s="5" t="n">
        <v>-1</v>
      </c>
      <c r="K1100" s="9" t="n">
        <f aca="false">I1100+J1100</f>
        <v>46046</v>
      </c>
      <c r="L1100" s="5" t="n">
        <v>25</v>
      </c>
      <c r="M1100" s="10" t="n">
        <f aca="false">INDEX(Dim_Supplier!$F$2:$F$21,MATCH(B1100,Dim_Supplier!$A$2:$A$21,0))</f>
        <v>340</v>
      </c>
      <c r="N1100" s="11" t="n">
        <v>0.0027</v>
      </c>
      <c r="O1100" s="10" t="n">
        <f aca="false">M1100*(1+N1100)</f>
        <v>340.918</v>
      </c>
      <c r="P1100" s="10" t="n">
        <f aca="false">O1100*L1100</f>
        <v>8522.95</v>
      </c>
      <c r="Q1100" s="5" t="s">
        <v>113</v>
      </c>
      <c r="R1100" s="5" t="n">
        <v>0</v>
      </c>
      <c r="S1100" s="5" t="n">
        <v>30</v>
      </c>
      <c r="T1100" s="12" t="n">
        <f aca="false">(O1100-M1100)/M1100</f>
        <v>0.00269999999999985</v>
      </c>
      <c r="U1100" s="8" t="n">
        <f aca="false">IF(AND(K1100&lt;=I1100,R1100=0),1,0)</f>
        <v>1</v>
      </c>
      <c r="V1100" s="10" t="n">
        <f aca="false">IF(Q1100="No",P1100,0)</f>
        <v>0</v>
      </c>
    </row>
    <row r="1101" customFormat="false" ht="15" hidden="false" customHeight="false" outlineLevel="0" collapsed="false">
      <c r="A1101" s="5" t="s">
        <v>1235</v>
      </c>
      <c r="B1101" s="5" t="s">
        <v>71</v>
      </c>
      <c r="C1101" s="7" t="n">
        <v>45409</v>
      </c>
      <c r="D1101" s="8" t="str">
        <f aca="false">INDEX(Dim_Supplier!$C$2:$C$21,MATCH(B1101,Dim_Supplier!$A$2:$A$21,0))</f>
        <v>MRO</v>
      </c>
      <c r="E1101" s="8" t="str">
        <f aca="false">INDEX(Dim_Supplier!$B$2:$B$21,MATCH(B1101,Dim_Supplier!$A$2:$A$21,0))</f>
        <v>CanSafe Equipment Ltd.</v>
      </c>
      <c r="F1101" s="5" t="s">
        <v>127</v>
      </c>
      <c r="G1101" s="5" t="s">
        <v>129</v>
      </c>
      <c r="H1101" s="8" t="n">
        <f aca="false">INDEX(Lookup_Tables!$B$2:$B$5,MATCH(D1101,Lookup_Tables!$A$2:$A$5,0))</f>
        <v>10</v>
      </c>
      <c r="I1101" s="9" t="n">
        <f aca="false">C1101+H1101</f>
        <v>45419</v>
      </c>
      <c r="J1101" s="5" t="n">
        <v>-3</v>
      </c>
      <c r="K1101" s="9" t="n">
        <f aca="false">I1101+J1101</f>
        <v>45416</v>
      </c>
      <c r="L1101" s="5" t="n">
        <v>166</v>
      </c>
      <c r="M1101" s="10" t="n">
        <f aca="false">INDEX(Dim_Supplier!$F$2:$F$21,MATCH(B1101,Dim_Supplier!$A$2:$A$21,0))</f>
        <v>18.75</v>
      </c>
      <c r="N1101" s="11" t="n">
        <v>0.037</v>
      </c>
      <c r="O1101" s="10" t="n">
        <f aca="false">M1101*(1+N1101)</f>
        <v>19.44375</v>
      </c>
      <c r="P1101" s="10" t="n">
        <f aca="false">O1101*L1101</f>
        <v>3227.6625</v>
      </c>
      <c r="Q1101" s="5" t="s">
        <v>113</v>
      </c>
      <c r="R1101" s="5" t="n">
        <v>0</v>
      </c>
      <c r="S1101" s="5" t="n">
        <v>30</v>
      </c>
      <c r="T1101" s="12" t="n">
        <f aca="false">(O1101-M1101)/M1101</f>
        <v>0.0369999999999999</v>
      </c>
      <c r="U1101" s="8" t="n">
        <f aca="false">IF(AND(K1101&lt;=I1101,R1101=0),1,0)</f>
        <v>1</v>
      </c>
      <c r="V1101" s="10" t="n">
        <f aca="false">IF(Q1101="No",P1101,0)</f>
        <v>0</v>
      </c>
    </row>
    <row r="1102" customFormat="false" ht="15" hidden="false" customHeight="false" outlineLevel="0" collapsed="false">
      <c r="A1102" s="5" t="s">
        <v>1236</v>
      </c>
      <c r="B1102" s="5" t="s">
        <v>75</v>
      </c>
      <c r="C1102" s="7" t="n">
        <v>45678</v>
      </c>
      <c r="D1102" s="8" t="str">
        <f aca="false">INDEX(Dim_Supplier!$C$2:$C$21,MATCH(B1102,Dim_Supplier!$A$2:$A$21,0))</f>
        <v>MRO</v>
      </c>
      <c r="E1102" s="8" t="str">
        <f aca="false">INDEX(Dim_Supplier!$B$2:$B$21,MATCH(B1102,Dim_Supplier!$A$2:$A$21,0))</f>
        <v>Sterling Lubricants Inc.</v>
      </c>
      <c r="F1102" s="5" t="s">
        <v>164</v>
      </c>
      <c r="G1102" s="5" t="s">
        <v>112</v>
      </c>
      <c r="H1102" s="8" t="n">
        <f aca="false">INDEX(Lookup_Tables!$B$2:$B$5,MATCH(D1102,Lookup_Tables!$A$2:$A$5,0))</f>
        <v>10</v>
      </c>
      <c r="I1102" s="9" t="n">
        <f aca="false">C1102+H1102</f>
        <v>45688</v>
      </c>
      <c r="J1102" s="5" t="n">
        <v>-2</v>
      </c>
      <c r="K1102" s="9" t="n">
        <f aca="false">I1102+J1102</f>
        <v>45686</v>
      </c>
      <c r="L1102" s="5" t="n">
        <v>178</v>
      </c>
      <c r="M1102" s="10" t="n">
        <f aca="false">INDEX(Dim_Supplier!$F$2:$F$21,MATCH(B1102,Dim_Supplier!$A$2:$A$21,0))</f>
        <v>27.1</v>
      </c>
      <c r="N1102" s="11" t="n">
        <v>0.0419</v>
      </c>
      <c r="O1102" s="10" t="n">
        <f aca="false">M1102*(1+N1102)</f>
        <v>28.23549</v>
      </c>
      <c r="P1102" s="10" t="n">
        <f aca="false">O1102*L1102</f>
        <v>5025.91722</v>
      </c>
      <c r="Q1102" s="5" t="s">
        <v>113</v>
      </c>
      <c r="R1102" s="5" t="n">
        <v>0</v>
      </c>
      <c r="S1102" s="5" t="n">
        <v>30</v>
      </c>
      <c r="T1102" s="12" t="n">
        <f aca="false">(O1102-M1102)/M1102</f>
        <v>0.0419</v>
      </c>
      <c r="U1102" s="8" t="n">
        <f aca="false">IF(AND(K1102&lt;=I1102,R1102=0),1,0)</f>
        <v>1</v>
      </c>
      <c r="V1102" s="10" t="n">
        <f aca="false">IF(Q1102="No",P1102,0)</f>
        <v>0</v>
      </c>
    </row>
    <row r="1103" customFormat="false" ht="15" hidden="false" customHeight="false" outlineLevel="0" collapsed="false">
      <c r="A1103" s="5" t="s">
        <v>1237</v>
      </c>
      <c r="B1103" s="5" t="s">
        <v>79</v>
      </c>
      <c r="C1103" s="7" t="n">
        <v>46120</v>
      </c>
      <c r="D1103" s="8" t="str">
        <f aca="false">INDEX(Dim_Supplier!$C$2:$C$21,MATCH(B1103,Dim_Supplier!$A$2:$A$21,0))</f>
        <v>Logistics</v>
      </c>
      <c r="E1103" s="8" t="str">
        <f aca="false">INDEX(Dim_Supplier!$B$2:$B$21,MATCH(B1103,Dim_Supplier!$A$2:$A$21,0))</f>
        <v>Niagara Freight Solutions</v>
      </c>
      <c r="F1103" s="5" t="s">
        <v>154</v>
      </c>
      <c r="G1103" s="5" t="s">
        <v>129</v>
      </c>
      <c r="H1103" s="8" t="n">
        <f aca="false">INDEX(Lookup_Tables!$B$2:$B$5,MATCH(D1103,Lookup_Tables!$A$2:$A$5,0))</f>
        <v>5</v>
      </c>
      <c r="I1103" s="9" t="n">
        <f aca="false">C1103+H1103</f>
        <v>46125</v>
      </c>
      <c r="J1103" s="5" t="n">
        <v>-4</v>
      </c>
      <c r="K1103" s="9" t="n">
        <f aca="false">I1103+J1103</f>
        <v>46121</v>
      </c>
      <c r="L1103" s="5" t="n">
        <v>43</v>
      </c>
      <c r="M1103" s="10" t="n">
        <f aca="false">INDEX(Dim_Supplier!$F$2:$F$21,MATCH(B1103,Dim_Supplier!$A$2:$A$21,0))</f>
        <v>340</v>
      </c>
      <c r="N1103" s="11" t="n">
        <v>-0.0039</v>
      </c>
      <c r="O1103" s="10" t="n">
        <f aca="false">M1103*(1+N1103)</f>
        <v>338.674</v>
      </c>
      <c r="P1103" s="10" t="n">
        <f aca="false">O1103*L1103</f>
        <v>14562.982</v>
      </c>
      <c r="Q1103" s="5" t="s">
        <v>113</v>
      </c>
      <c r="R1103" s="5" t="n">
        <v>0</v>
      </c>
      <c r="S1103" s="5" t="n">
        <v>30</v>
      </c>
      <c r="T1103" s="12" t="n">
        <f aca="false">(O1103-M1103)/M1103</f>
        <v>-0.00390000000000006</v>
      </c>
      <c r="U1103" s="8" t="n">
        <f aca="false">IF(AND(K1103&lt;=I1103,R1103=0),1,0)</f>
        <v>1</v>
      </c>
      <c r="V1103" s="10" t="n">
        <f aca="false">IF(Q1103="No",P1103,0)</f>
        <v>0</v>
      </c>
    </row>
    <row r="1104" customFormat="false" ht="15" hidden="false" customHeight="false" outlineLevel="0" collapsed="false">
      <c r="A1104" s="5" t="s">
        <v>1238</v>
      </c>
      <c r="B1104" s="5" t="s">
        <v>41</v>
      </c>
      <c r="C1104" s="7" t="n">
        <v>46084</v>
      </c>
      <c r="D1104" s="8" t="str">
        <f aca="false">INDEX(Dim_Supplier!$C$2:$C$21,MATCH(B1104,Dim_Supplier!$A$2:$A$21,0))</f>
        <v>Raw Materials</v>
      </c>
      <c r="E1104" s="8" t="str">
        <f aca="false">INDEX(Dim_Supplier!$B$2:$B$21,MATCH(B1104,Dim_Supplier!$A$2:$A$21,0))</f>
        <v>Ontario Steel Partners</v>
      </c>
      <c r="F1104" s="5" t="s">
        <v>142</v>
      </c>
      <c r="G1104" s="5" t="s">
        <v>129</v>
      </c>
      <c r="H1104" s="8" t="n">
        <f aca="false">INDEX(Lookup_Tables!$B$2:$B$5,MATCH(D1104,Lookup_Tables!$A$2:$A$5,0))</f>
        <v>21</v>
      </c>
      <c r="I1104" s="9" t="n">
        <f aca="false">C1104+H1104</f>
        <v>46105</v>
      </c>
      <c r="J1104" s="5" t="n">
        <v>-4</v>
      </c>
      <c r="K1104" s="9" t="n">
        <f aca="false">I1104+J1104</f>
        <v>46101</v>
      </c>
      <c r="L1104" s="5" t="n">
        <v>1965</v>
      </c>
      <c r="M1104" s="10" t="n">
        <f aca="false">INDEX(Dim_Supplier!$F$2:$F$21,MATCH(B1104,Dim_Supplier!$A$2:$A$21,0))</f>
        <v>58</v>
      </c>
      <c r="N1104" s="11" t="n">
        <v>0.0355</v>
      </c>
      <c r="O1104" s="10" t="n">
        <f aca="false">M1104*(1+N1104)</f>
        <v>60.059</v>
      </c>
      <c r="P1104" s="10" t="n">
        <f aca="false">O1104*L1104</f>
        <v>118015.935</v>
      </c>
      <c r="Q1104" s="5" t="s">
        <v>113</v>
      </c>
      <c r="R1104" s="5" t="n">
        <v>0</v>
      </c>
      <c r="S1104" s="5" t="n">
        <v>30</v>
      </c>
      <c r="T1104" s="12" t="n">
        <f aca="false">(O1104-M1104)/M1104</f>
        <v>0.0355000000000001</v>
      </c>
      <c r="U1104" s="8" t="n">
        <f aca="false">IF(AND(K1104&lt;=I1104,R1104=0),1,0)</f>
        <v>1</v>
      </c>
      <c r="V1104" s="10" t="n">
        <f aca="false">IF(Q1104="No",P1104,0)</f>
        <v>0</v>
      </c>
    </row>
    <row r="1105" customFormat="false" ht="15" hidden="false" customHeight="false" outlineLevel="0" collapsed="false">
      <c r="A1105" s="5" t="s">
        <v>1239</v>
      </c>
      <c r="B1105" s="5" t="s">
        <v>52</v>
      </c>
      <c r="C1105" s="7" t="n">
        <v>46139</v>
      </c>
      <c r="D1105" s="8" t="str">
        <f aca="false">INDEX(Dim_Supplier!$C$2:$C$21,MATCH(B1105,Dim_Supplier!$A$2:$A$21,0))</f>
        <v>Raw Materials</v>
      </c>
      <c r="E1105" s="8" t="str">
        <f aca="false">INDEX(Dim_Supplier!$B$2:$B$21,MATCH(B1105,Dim_Supplier!$A$2:$A$21,0))</f>
        <v>Laurentian Metals Inc.</v>
      </c>
      <c r="F1105" s="5" t="s">
        <v>142</v>
      </c>
      <c r="G1105" s="5" t="s">
        <v>120</v>
      </c>
      <c r="H1105" s="8" t="n">
        <f aca="false">INDEX(Lookup_Tables!$B$2:$B$5,MATCH(D1105,Lookup_Tables!$A$2:$A$5,0))</f>
        <v>21</v>
      </c>
      <c r="I1105" s="9" t="n">
        <f aca="false">C1105+H1105</f>
        <v>46160</v>
      </c>
      <c r="J1105" s="5" t="n">
        <v>-4</v>
      </c>
      <c r="K1105" s="9" t="n">
        <f aca="false">I1105+J1105</f>
        <v>46156</v>
      </c>
      <c r="L1105" s="5" t="n">
        <v>1847</v>
      </c>
      <c r="M1105" s="10" t="n">
        <f aca="false">INDEX(Dim_Supplier!$F$2:$F$21,MATCH(B1105,Dim_Supplier!$A$2:$A$21,0))</f>
        <v>61.2</v>
      </c>
      <c r="N1105" s="11" t="n">
        <v>0.0536</v>
      </c>
      <c r="O1105" s="10" t="n">
        <f aca="false">M1105*(1+N1105)</f>
        <v>64.48032</v>
      </c>
      <c r="P1105" s="10" t="n">
        <f aca="false">O1105*L1105</f>
        <v>119095.15104</v>
      </c>
      <c r="Q1105" s="5" t="s">
        <v>113</v>
      </c>
      <c r="R1105" s="5" t="n">
        <v>0</v>
      </c>
      <c r="S1105" s="5" t="n">
        <v>30</v>
      </c>
      <c r="T1105" s="12" t="n">
        <f aca="false">(O1105-M1105)/M1105</f>
        <v>0.0536000000000001</v>
      </c>
      <c r="U1105" s="8" t="n">
        <f aca="false">IF(AND(K1105&lt;=I1105,R1105=0),1,0)</f>
        <v>1</v>
      </c>
      <c r="V1105" s="10" t="n">
        <f aca="false">IF(Q1105="No",P1105,0)</f>
        <v>0</v>
      </c>
    </row>
    <row r="1106" customFormat="false" ht="15" hidden="false" customHeight="false" outlineLevel="0" collapsed="false">
      <c r="A1106" s="5" t="s">
        <v>1240</v>
      </c>
      <c r="B1106" s="5" t="s">
        <v>60</v>
      </c>
      <c r="C1106" s="7" t="n">
        <v>45364</v>
      </c>
      <c r="D1106" s="8" t="str">
        <f aca="false">INDEX(Dim_Supplier!$C$2:$C$21,MATCH(B1106,Dim_Supplier!$A$2:$A$21,0))</f>
        <v>Packaging</v>
      </c>
      <c r="E1106" s="8" t="str">
        <f aca="false">INDEX(Dim_Supplier!$B$2:$B$21,MATCH(B1106,Dim_Supplier!$A$2:$A$21,0))</f>
        <v>Maple Leaf Box &amp; Crate</v>
      </c>
      <c r="F1106" s="5" t="s">
        <v>122</v>
      </c>
      <c r="G1106" s="5" t="s">
        <v>129</v>
      </c>
      <c r="H1106" s="8" t="n">
        <f aca="false">INDEX(Lookup_Tables!$B$2:$B$5,MATCH(D1106,Lookup_Tables!$A$2:$A$5,0))</f>
        <v>14</v>
      </c>
      <c r="I1106" s="9" t="n">
        <f aca="false">C1106+H1106</f>
        <v>45378</v>
      </c>
      <c r="J1106" s="5" t="n">
        <v>1</v>
      </c>
      <c r="K1106" s="9" t="n">
        <f aca="false">I1106+J1106</f>
        <v>45379</v>
      </c>
      <c r="L1106" s="5" t="n">
        <v>1326</v>
      </c>
      <c r="M1106" s="10" t="n">
        <f aca="false">INDEX(Dim_Supplier!$F$2:$F$21,MATCH(B1106,Dim_Supplier!$A$2:$A$21,0))</f>
        <v>3.1</v>
      </c>
      <c r="N1106" s="11" t="n">
        <v>0.0573</v>
      </c>
      <c r="O1106" s="10" t="n">
        <f aca="false">M1106*(1+N1106)</f>
        <v>3.27763</v>
      </c>
      <c r="P1106" s="10" t="n">
        <f aca="false">O1106*L1106</f>
        <v>4346.13738</v>
      </c>
      <c r="Q1106" s="5" t="s">
        <v>113</v>
      </c>
      <c r="R1106" s="5" t="n">
        <v>0</v>
      </c>
      <c r="S1106" s="5" t="n">
        <v>45</v>
      </c>
      <c r="T1106" s="12" t="n">
        <f aca="false">(O1106-M1106)/M1106</f>
        <v>0.0572999999999999</v>
      </c>
      <c r="U1106" s="8" t="n">
        <f aca="false">IF(AND(K1106&lt;=I1106,R1106=0),1,0)</f>
        <v>0</v>
      </c>
      <c r="V1106" s="10" t="n">
        <f aca="false">IF(Q1106="No",P1106,0)</f>
        <v>0</v>
      </c>
    </row>
    <row r="1107" customFormat="false" ht="15" hidden="false" customHeight="false" outlineLevel="0" collapsed="false">
      <c r="A1107" s="5" t="s">
        <v>1241</v>
      </c>
      <c r="B1107" s="5" t="s">
        <v>57</v>
      </c>
      <c r="C1107" s="7" t="n">
        <v>45521</v>
      </c>
      <c r="D1107" s="8" t="str">
        <f aca="false">INDEX(Dim_Supplier!$C$2:$C$21,MATCH(B1107,Dim_Supplier!$A$2:$A$21,0))</f>
        <v>Packaging</v>
      </c>
      <c r="E1107" s="8" t="str">
        <f aca="false">INDEX(Dim_Supplier!$B$2:$B$21,MATCH(B1107,Dim_Supplier!$A$2:$A$21,0))</f>
        <v>Great Lakes Packaging Co.</v>
      </c>
      <c r="F1107" s="5" t="s">
        <v>119</v>
      </c>
      <c r="G1107" s="5" t="s">
        <v>120</v>
      </c>
      <c r="H1107" s="8" t="n">
        <f aca="false">INDEX(Lookup_Tables!$B$2:$B$5,MATCH(D1107,Lookup_Tables!$A$2:$A$5,0))</f>
        <v>14</v>
      </c>
      <c r="I1107" s="9" t="n">
        <f aca="false">C1107+H1107</f>
        <v>45535</v>
      </c>
      <c r="J1107" s="5" t="n">
        <v>-4</v>
      </c>
      <c r="K1107" s="9" t="n">
        <f aca="false">I1107+J1107</f>
        <v>45531</v>
      </c>
      <c r="L1107" s="5" t="n">
        <v>1793</v>
      </c>
      <c r="M1107" s="10" t="n">
        <f aca="false">INDEX(Dim_Supplier!$F$2:$F$21,MATCH(B1107,Dim_Supplier!$A$2:$A$21,0))</f>
        <v>4.35</v>
      </c>
      <c r="N1107" s="11" t="n">
        <v>0.022</v>
      </c>
      <c r="O1107" s="10" t="n">
        <f aca="false">M1107*(1+N1107)</f>
        <v>4.4457</v>
      </c>
      <c r="P1107" s="10" t="n">
        <f aca="false">O1107*L1107</f>
        <v>7971.1401</v>
      </c>
      <c r="Q1107" s="5" t="s">
        <v>133</v>
      </c>
      <c r="R1107" s="5" t="n">
        <v>0</v>
      </c>
      <c r="S1107" s="5" t="n">
        <v>45</v>
      </c>
      <c r="T1107" s="12" t="n">
        <f aca="false">(O1107-M1107)/M1107</f>
        <v>0.022</v>
      </c>
      <c r="U1107" s="8" t="n">
        <f aca="false">IF(AND(K1107&lt;=I1107,R1107=0),1,0)</f>
        <v>1</v>
      </c>
      <c r="V1107" s="10" t="n">
        <f aca="false">IF(Q1107="No",P1107,0)</f>
        <v>7971.1401</v>
      </c>
    </row>
    <row r="1108" customFormat="false" ht="15" hidden="false" customHeight="false" outlineLevel="0" collapsed="false">
      <c r="A1108" s="5" t="s">
        <v>1242</v>
      </c>
      <c r="B1108" s="5" t="s">
        <v>82</v>
      </c>
      <c r="C1108" s="7" t="n">
        <v>45917</v>
      </c>
      <c r="D1108" s="8" t="str">
        <f aca="false">INDEX(Dim_Supplier!$C$2:$C$21,MATCH(B1108,Dim_Supplier!$A$2:$A$21,0))</f>
        <v>Logistics</v>
      </c>
      <c r="E1108" s="8" t="str">
        <f aca="false">INDEX(Dim_Supplier!$B$2:$B$21,MATCH(B1108,Dim_Supplier!$A$2:$A$21,0))</f>
        <v>Maple Route Logistics</v>
      </c>
      <c r="F1108" s="5" t="s">
        <v>185</v>
      </c>
      <c r="G1108" s="5" t="s">
        <v>120</v>
      </c>
      <c r="H1108" s="8" t="n">
        <f aca="false">INDEX(Lookup_Tables!$B$2:$B$5,MATCH(D1108,Lookup_Tables!$A$2:$A$5,0))</f>
        <v>5</v>
      </c>
      <c r="I1108" s="9" t="n">
        <f aca="false">C1108+H1108</f>
        <v>45922</v>
      </c>
      <c r="J1108" s="5" t="n">
        <v>-2</v>
      </c>
      <c r="K1108" s="9" t="n">
        <f aca="false">I1108+J1108</f>
        <v>45920</v>
      </c>
      <c r="L1108" s="5" t="n">
        <v>45</v>
      </c>
      <c r="M1108" s="10" t="n">
        <f aca="false">INDEX(Dim_Supplier!$F$2:$F$21,MATCH(B1108,Dim_Supplier!$A$2:$A$21,0))</f>
        <v>285</v>
      </c>
      <c r="N1108" s="11" t="n">
        <v>0.034</v>
      </c>
      <c r="O1108" s="10" t="n">
        <f aca="false">M1108*(1+N1108)</f>
        <v>294.69</v>
      </c>
      <c r="P1108" s="10" t="n">
        <f aca="false">O1108*L1108</f>
        <v>13261.05</v>
      </c>
      <c r="Q1108" s="5" t="s">
        <v>133</v>
      </c>
      <c r="R1108" s="5" t="n">
        <v>0</v>
      </c>
      <c r="S1108" s="5" t="n">
        <v>60</v>
      </c>
      <c r="T1108" s="12" t="n">
        <f aca="false">(O1108-M1108)/M1108</f>
        <v>0.034</v>
      </c>
      <c r="U1108" s="8" t="n">
        <f aca="false">IF(AND(K1108&lt;=I1108,R1108=0),1,0)</f>
        <v>1</v>
      </c>
      <c r="V1108" s="10" t="n">
        <f aca="false">IF(Q1108="No",P1108,0)</f>
        <v>13261.05</v>
      </c>
    </row>
    <row r="1109" customFormat="false" ht="15" hidden="false" customHeight="false" outlineLevel="0" collapsed="false">
      <c r="A1109" s="5" t="s">
        <v>1243</v>
      </c>
      <c r="B1109" s="5" t="s">
        <v>88</v>
      </c>
      <c r="C1109" s="7" t="n">
        <v>45960</v>
      </c>
      <c r="D1109" s="8" t="str">
        <f aca="false">INDEX(Dim_Supplier!$C$2:$C$21,MATCH(B1109,Dim_Supplier!$A$2:$A$21,0))</f>
        <v>Logistics</v>
      </c>
      <c r="E1109" s="8" t="str">
        <f aca="false">INDEX(Dim_Supplier!$B$2:$B$21,MATCH(B1109,Dim_Supplier!$A$2:$A$21,0))</f>
        <v>Summit Last-Mile Delivery</v>
      </c>
      <c r="F1109" s="5" t="s">
        <v>124</v>
      </c>
      <c r="G1109" s="5" t="s">
        <v>129</v>
      </c>
      <c r="H1109" s="8" t="n">
        <f aca="false">INDEX(Lookup_Tables!$B$2:$B$5,MATCH(D1109,Lookup_Tables!$A$2:$A$5,0))</f>
        <v>5</v>
      </c>
      <c r="I1109" s="9" t="n">
        <f aca="false">C1109+H1109</f>
        <v>45965</v>
      </c>
      <c r="J1109" s="5" t="n">
        <v>-2</v>
      </c>
      <c r="K1109" s="9" t="n">
        <f aca="false">I1109+J1109</f>
        <v>45963</v>
      </c>
      <c r="L1109" s="5" t="n">
        <v>22</v>
      </c>
      <c r="M1109" s="10" t="n">
        <f aca="false">INDEX(Dim_Supplier!$F$2:$F$21,MATCH(B1109,Dim_Supplier!$A$2:$A$21,0))</f>
        <v>95</v>
      </c>
      <c r="N1109" s="11" t="n">
        <v>0.0532</v>
      </c>
      <c r="O1109" s="10" t="n">
        <f aca="false">M1109*(1+N1109)</f>
        <v>100.054</v>
      </c>
      <c r="P1109" s="10" t="n">
        <f aca="false">O1109*L1109</f>
        <v>2201.188</v>
      </c>
      <c r="Q1109" s="5" t="s">
        <v>133</v>
      </c>
      <c r="R1109" s="5" t="n">
        <v>0</v>
      </c>
      <c r="S1109" s="5" t="n">
        <v>30</v>
      </c>
      <c r="T1109" s="12" t="n">
        <f aca="false">(O1109-M1109)/M1109</f>
        <v>0.0531999999999999</v>
      </c>
      <c r="U1109" s="8" t="n">
        <f aca="false">IF(AND(K1109&lt;=I1109,R1109=0),1,0)</f>
        <v>1</v>
      </c>
      <c r="V1109" s="10" t="n">
        <f aca="false">IF(Q1109="No",P1109,0)</f>
        <v>2201.188</v>
      </c>
    </row>
    <row r="1110" customFormat="false" ht="15" hidden="false" customHeight="false" outlineLevel="0" collapsed="false">
      <c r="A1110" s="5" t="s">
        <v>1244</v>
      </c>
      <c r="B1110" s="5" t="s">
        <v>79</v>
      </c>
      <c r="C1110" s="7" t="n">
        <v>45629</v>
      </c>
      <c r="D1110" s="8" t="str">
        <f aca="false">INDEX(Dim_Supplier!$C$2:$C$21,MATCH(B1110,Dim_Supplier!$A$2:$A$21,0))</f>
        <v>Logistics</v>
      </c>
      <c r="E1110" s="8" t="str">
        <f aca="false">INDEX(Dim_Supplier!$B$2:$B$21,MATCH(B1110,Dim_Supplier!$A$2:$A$21,0))</f>
        <v>Niagara Freight Solutions</v>
      </c>
      <c r="F1110" s="5" t="s">
        <v>124</v>
      </c>
      <c r="G1110" s="5" t="s">
        <v>112</v>
      </c>
      <c r="H1110" s="8" t="n">
        <f aca="false">INDEX(Lookup_Tables!$B$2:$B$5,MATCH(D1110,Lookup_Tables!$A$2:$A$5,0))</f>
        <v>5</v>
      </c>
      <c r="I1110" s="9" t="n">
        <f aca="false">C1110+H1110</f>
        <v>45634</v>
      </c>
      <c r="J1110" s="5" t="n">
        <v>-4</v>
      </c>
      <c r="K1110" s="9" t="n">
        <f aca="false">I1110+J1110</f>
        <v>45630</v>
      </c>
      <c r="L1110" s="5" t="n">
        <v>37</v>
      </c>
      <c r="M1110" s="10" t="n">
        <f aca="false">INDEX(Dim_Supplier!$F$2:$F$21,MATCH(B1110,Dim_Supplier!$A$2:$A$21,0))</f>
        <v>340</v>
      </c>
      <c r="N1110" s="11" t="n">
        <v>0.0115</v>
      </c>
      <c r="O1110" s="10" t="n">
        <f aca="false">M1110*(1+N1110)</f>
        <v>343.91</v>
      </c>
      <c r="P1110" s="10" t="n">
        <f aca="false">O1110*L1110</f>
        <v>12724.67</v>
      </c>
      <c r="Q1110" s="5" t="s">
        <v>113</v>
      </c>
      <c r="R1110" s="5" t="n">
        <v>0</v>
      </c>
      <c r="S1110" s="5" t="n">
        <v>45</v>
      </c>
      <c r="T1110" s="12" t="n">
        <f aca="false">(O1110-M1110)/M1110</f>
        <v>0.0115000000000001</v>
      </c>
      <c r="U1110" s="8" t="n">
        <f aca="false">IF(AND(K1110&lt;=I1110,R1110=0),1,0)</f>
        <v>1</v>
      </c>
      <c r="V1110" s="10" t="n">
        <f aca="false">IF(Q1110="No",P1110,0)</f>
        <v>0</v>
      </c>
    </row>
    <row r="1111" customFormat="false" ht="15" hidden="false" customHeight="false" outlineLevel="0" collapsed="false">
      <c r="A1111" s="5" t="s">
        <v>1245</v>
      </c>
      <c r="B1111" s="5" t="s">
        <v>41</v>
      </c>
      <c r="C1111" s="7" t="n">
        <v>45364</v>
      </c>
      <c r="D1111" s="8" t="str">
        <f aca="false">INDEX(Dim_Supplier!$C$2:$C$21,MATCH(B1111,Dim_Supplier!$A$2:$A$21,0))</f>
        <v>Raw Materials</v>
      </c>
      <c r="E1111" s="8" t="str">
        <f aca="false">INDEX(Dim_Supplier!$B$2:$B$21,MATCH(B1111,Dim_Supplier!$A$2:$A$21,0))</f>
        <v>Ontario Steel Partners</v>
      </c>
      <c r="F1111" s="5" t="s">
        <v>142</v>
      </c>
      <c r="G1111" s="5" t="s">
        <v>129</v>
      </c>
      <c r="H1111" s="8" t="n">
        <f aca="false">INDEX(Lookup_Tables!$B$2:$B$5,MATCH(D1111,Lookup_Tables!$A$2:$A$5,0))</f>
        <v>21</v>
      </c>
      <c r="I1111" s="9" t="n">
        <f aca="false">C1111+H1111</f>
        <v>45385</v>
      </c>
      <c r="J1111" s="5" t="n">
        <v>-1</v>
      </c>
      <c r="K1111" s="9" t="n">
        <f aca="false">I1111+J1111</f>
        <v>45384</v>
      </c>
      <c r="L1111" s="5" t="n">
        <v>365</v>
      </c>
      <c r="M1111" s="10" t="n">
        <f aca="false">INDEX(Dim_Supplier!$F$2:$F$21,MATCH(B1111,Dim_Supplier!$A$2:$A$21,0))</f>
        <v>58</v>
      </c>
      <c r="N1111" s="11" t="n">
        <v>-0.0048</v>
      </c>
      <c r="O1111" s="10" t="n">
        <f aca="false">M1111*(1+N1111)</f>
        <v>57.7216</v>
      </c>
      <c r="P1111" s="10" t="n">
        <f aca="false">O1111*L1111</f>
        <v>21068.384</v>
      </c>
      <c r="Q1111" s="5" t="s">
        <v>113</v>
      </c>
      <c r="R1111" s="5" t="n">
        <v>0</v>
      </c>
      <c r="S1111" s="5" t="n">
        <v>30</v>
      </c>
      <c r="T1111" s="12" t="n">
        <f aca="false">(O1111-M1111)/M1111</f>
        <v>-0.00480000000000008</v>
      </c>
      <c r="U1111" s="8" t="n">
        <f aca="false">IF(AND(K1111&lt;=I1111,R1111=0),1,0)</f>
        <v>1</v>
      </c>
      <c r="V1111" s="10" t="n">
        <f aca="false">IF(Q1111="No",P1111,0)</f>
        <v>0</v>
      </c>
    </row>
    <row r="1112" customFormat="false" ht="15" hidden="false" customHeight="false" outlineLevel="0" collapsed="false">
      <c r="A1112" s="5" t="s">
        <v>1246</v>
      </c>
      <c r="B1112" s="5" t="s">
        <v>66</v>
      </c>
      <c r="C1112" s="7" t="n">
        <v>45957</v>
      </c>
      <c r="D1112" s="8" t="str">
        <f aca="false">INDEX(Dim_Supplier!$C$2:$C$21,MATCH(B1112,Dim_Supplier!$A$2:$A$21,0))</f>
        <v>Packaging</v>
      </c>
      <c r="E1112" s="8" t="str">
        <f aca="false">INDEX(Dim_Supplier!$B$2:$B$21,MATCH(B1112,Dim_Supplier!$A$2:$A$21,0))</f>
        <v>EverGreen Wrap Industries</v>
      </c>
      <c r="F1112" s="5" t="s">
        <v>119</v>
      </c>
      <c r="G1112" s="5" t="s">
        <v>125</v>
      </c>
      <c r="H1112" s="8" t="n">
        <f aca="false">INDEX(Lookup_Tables!$B$2:$B$5,MATCH(D1112,Lookup_Tables!$A$2:$A$5,0))</f>
        <v>14</v>
      </c>
      <c r="I1112" s="9" t="n">
        <f aca="false">C1112+H1112</f>
        <v>45971</v>
      </c>
      <c r="J1112" s="5" t="n">
        <v>-4</v>
      </c>
      <c r="K1112" s="9" t="n">
        <f aca="false">I1112+J1112</f>
        <v>45967</v>
      </c>
      <c r="L1112" s="5" t="n">
        <v>2365</v>
      </c>
      <c r="M1112" s="10" t="n">
        <f aca="false">INDEX(Dim_Supplier!$F$2:$F$21,MATCH(B1112,Dim_Supplier!$A$2:$A$21,0))</f>
        <v>6.8</v>
      </c>
      <c r="N1112" s="11" t="n">
        <v>0.0649</v>
      </c>
      <c r="O1112" s="10" t="n">
        <f aca="false">M1112*(1+N1112)</f>
        <v>7.24132</v>
      </c>
      <c r="P1112" s="10" t="n">
        <f aca="false">O1112*L1112</f>
        <v>17125.7218</v>
      </c>
      <c r="Q1112" s="5" t="s">
        <v>113</v>
      </c>
      <c r="R1112" s="5" t="n">
        <v>0</v>
      </c>
      <c r="S1112" s="5" t="n">
        <v>45</v>
      </c>
      <c r="T1112" s="12" t="n">
        <f aca="false">(O1112-M1112)/M1112</f>
        <v>0.0648999999999999</v>
      </c>
      <c r="U1112" s="8" t="n">
        <f aca="false">IF(AND(K1112&lt;=I1112,R1112=0),1,0)</f>
        <v>1</v>
      </c>
      <c r="V1112" s="10" t="n">
        <f aca="false">IF(Q1112="No",P1112,0)</f>
        <v>0</v>
      </c>
    </row>
    <row r="1113" customFormat="false" ht="15" hidden="false" customHeight="false" outlineLevel="0" collapsed="false">
      <c r="A1113" s="5" t="s">
        <v>1247</v>
      </c>
      <c r="B1113" s="5" t="s">
        <v>79</v>
      </c>
      <c r="C1113" s="7" t="n">
        <v>45839</v>
      </c>
      <c r="D1113" s="8" t="str">
        <f aca="false">INDEX(Dim_Supplier!$C$2:$C$21,MATCH(B1113,Dim_Supplier!$A$2:$A$21,0))</f>
        <v>Logistics</v>
      </c>
      <c r="E1113" s="8" t="str">
        <f aca="false">INDEX(Dim_Supplier!$B$2:$B$21,MATCH(B1113,Dim_Supplier!$A$2:$A$21,0))</f>
        <v>Niagara Freight Solutions</v>
      </c>
      <c r="F1113" s="5" t="s">
        <v>185</v>
      </c>
      <c r="G1113" s="5" t="s">
        <v>125</v>
      </c>
      <c r="H1113" s="8" t="n">
        <f aca="false">INDEX(Lookup_Tables!$B$2:$B$5,MATCH(D1113,Lookup_Tables!$A$2:$A$5,0))</f>
        <v>5</v>
      </c>
      <c r="I1113" s="9" t="n">
        <f aca="false">C1113+H1113</f>
        <v>45844</v>
      </c>
      <c r="J1113" s="5" t="n">
        <v>-3</v>
      </c>
      <c r="K1113" s="9" t="n">
        <f aca="false">I1113+J1113</f>
        <v>45841</v>
      </c>
      <c r="L1113" s="5" t="n">
        <v>36</v>
      </c>
      <c r="M1113" s="10" t="n">
        <f aca="false">INDEX(Dim_Supplier!$F$2:$F$21,MATCH(B1113,Dim_Supplier!$A$2:$A$21,0))</f>
        <v>340</v>
      </c>
      <c r="N1113" s="11" t="n">
        <v>-0.0198</v>
      </c>
      <c r="O1113" s="10" t="n">
        <f aca="false">M1113*(1+N1113)</f>
        <v>333.268</v>
      </c>
      <c r="P1113" s="10" t="n">
        <f aca="false">O1113*L1113</f>
        <v>11997.648</v>
      </c>
      <c r="Q1113" s="5" t="s">
        <v>113</v>
      </c>
      <c r="R1113" s="5" t="n">
        <v>0</v>
      </c>
      <c r="S1113" s="5" t="n">
        <v>30</v>
      </c>
      <c r="T1113" s="12" t="n">
        <f aca="false">(O1113-M1113)/M1113</f>
        <v>-0.0198000000000001</v>
      </c>
      <c r="U1113" s="8" t="n">
        <f aca="false">IF(AND(K1113&lt;=I1113,R1113=0),1,0)</f>
        <v>1</v>
      </c>
      <c r="V1113" s="10" t="n">
        <f aca="false">IF(Q1113="No",P1113,0)</f>
        <v>0</v>
      </c>
    </row>
    <row r="1114" customFormat="false" ht="15" hidden="false" customHeight="false" outlineLevel="0" collapsed="false">
      <c r="A1114" s="5" t="s">
        <v>1248</v>
      </c>
      <c r="B1114" s="5" t="s">
        <v>46</v>
      </c>
      <c r="C1114" s="7" t="n">
        <v>46010</v>
      </c>
      <c r="D1114" s="8" t="str">
        <f aca="false">INDEX(Dim_Supplier!$C$2:$C$21,MATCH(B1114,Dim_Supplier!$A$2:$A$21,0))</f>
        <v>Raw Materials</v>
      </c>
      <c r="E1114" s="8" t="str">
        <f aca="false">INDEX(Dim_Supplier!$B$2:$B$21,MATCH(B1114,Dim_Supplier!$A$2:$A$21,0))</f>
        <v>Niagara Alloy Supply</v>
      </c>
      <c r="F1114" s="5" t="s">
        <v>142</v>
      </c>
      <c r="G1114" s="5" t="s">
        <v>112</v>
      </c>
      <c r="H1114" s="8" t="n">
        <f aca="false">INDEX(Lookup_Tables!$B$2:$B$5,MATCH(D1114,Lookup_Tables!$A$2:$A$5,0))</f>
        <v>21</v>
      </c>
      <c r="I1114" s="9" t="n">
        <f aca="false">C1114+H1114</f>
        <v>46031</v>
      </c>
      <c r="J1114" s="5" t="n">
        <v>0</v>
      </c>
      <c r="K1114" s="9" t="n">
        <f aca="false">I1114+J1114</f>
        <v>46031</v>
      </c>
      <c r="L1114" s="5" t="n">
        <v>1360</v>
      </c>
      <c r="M1114" s="10" t="n">
        <f aca="false">INDEX(Dim_Supplier!$F$2:$F$21,MATCH(B1114,Dim_Supplier!$A$2:$A$21,0))</f>
        <v>46.5</v>
      </c>
      <c r="N1114" s="11" t="n">
        <v>0.0367</v>
      </c>
      <c r="O1114" s="10" t="n">
        <f aca="false">M1114*(1+N1114)</f>
        <v>48.20655</v>
      </c>
      <c r="P1114" s="10" t="n">
        <f aca="false">O1114*L1114</f>
        <v>65560.908</v>
      </c>
      <c r="Q1114" s="5" t="s">
        <v>133</v>
      </c>
      <c r="R1114" s="5" t="n">
        <v>0</v>
      </c>
      <c r="S1114" s="5" t="n">
        <v>30</v>
      </c>
      <c r="T1114" s="12" t="n">
        <f aca="false">(O1114-M1114)/M1114</f>
        <v>0.0367</v>
      </c>
      <c r="U1114" s="8" t="n">
        <f aca="false">IF(AND(K1114&lt;=I1114,R1114=0),1,0)</f>
        <v>1</v>
      </c>
      <c r="V1114" s="10" t="n">
        <f aca="false">IF(Q1114="No",P1114,0)</f>
        <v>65560.908</v>
      </c>
    </row>
    <row r="1115" customFormat="false" ht="15" hidden="false" customHeight="false" outlineLevel="0" collapsed="false">
      <c r="A1115" s="5" t="s">
        <v>1249</v>
      </c>
      <c r="B1115" s="5" t="s">
        <v>62</v>
      </c>
      <c r="C1115" s="7" t="n">
        <v>45351</v>
      </c>
      <c r="D1115" s="8" t="str">
        <f aca="false">INDEX(Dim_Supplier!$C$2:$C$21,MATCH(B1115,Dim_Supplier!$A$2:$A$21,0))</f>
        <v>Packaging</v>
      </c>
      <c r="E1115" s="8" t="str">
        <f aca="false">INDEX(Dim_Supplier!$B$2:$B$21,MATCH(B1115,Dim_Supplier!$A$2:$A$21,0))</f>
        <v>Trillium Packaging Solutions</v>
      </c>
      <c r="F1115" s="5" t="s">
        <v>158</v>
      </c>
      <c r="G1115" s="5" t="s">
        <v>112</v>
      </c>
      <c r="H1115" s="8" t="n">
        <f aca="false">INDEX(Lookup_Tables!$B$2:$B$5,MATCH(D1115,Lookup_Tables!$A$2:$A$5,0))</f>
        <v>14</v>
      </c>
      <c r="I1115" s="9" t="n">
        <f aca="false">C1115+H1115</f>
        <v>45365</v>
      </c>
      <c r="J1115" s="5" t="n">
        <v>-3</v>
      </c>
      <c r="K1115" s="9" t="n">
        <f aca="false">I1115+J1115</f>
        <v>45362</v>
      </c>
      <c r="L1115" s="5" t="n">
        <v>3883</v>
      </c>
      <c r="M1115" s="10" t="n">
        <f aca="false">INDEX(Dim_Supplier!$F$2:$F$21,MATCH(B1115,Dim_Supplier!$A$2:$A$21,0))</f>
        <v>5.6</v>
      </c>
      <c r="N1115" s="11" t="n">
        <v>0.0216</v>
      </c>
      <c r="O1115" s="10" t="n">
        <f aca="false">M1115*(1+N1115)</f>
        <v>5.72096</v>
      </c>
      <c r="P1115" s="10" t="n">
        <f aca="false">O1115*L1115</f>
        <v>22214.48768</v>
      </c>
      <c r="Q1115" s="5" t="s">
        <v>113</v>
      </c>
      <c r="R1115" s="5" t="n">
        <v>0</v>
      </c>
      <c r="S1115" s="5" t="n">
        <v>45</v>
      </c>
      <c r="T1115" s="12" t="n">
        <f aca="false">(O1115-M1115)/M1115</f>
        <v>0.0216</v>
      </c>
      <c r="U1115" s="8" t="n">
        <f aca="false">IF(AND(K1115&lt;=I1115,R1115=0),1,0)</f>
        <v>1</v>
      </c>
      <c r="V1115" s="10" t="n">
        <f aca="false">IF(Q1115="No",P1115,0)</f>
        <v>0</v>
      </c>
    </row>
    <row r="1116" customFormat="false" ht="15" hidden="false" customHeight="false" outlineLevel="0" collapsed="false">
      <c r="A1116" s="5" t="s">
        <v>1250</v>
      </c>
      <c r="B1116" s="5" t="s">
        <v>68</v>
      </c>
      <c r="C1116" s="7" t="n">
        <v>46113</v>
      </c>
      <c r="D1116" s="8" t="str">
        <f aca="false">INDEX(Dim_Supplier!$C$2:$C$21,MATCH(B1116,Dim_Supplier!$A$2:$A$21,0))</f>
        <v>MRO</v>
      </c>
      <c r="E1116" s="8" t="str">
        <f aca="false">INDEX(Dim_Supplier!$B$2:$B$21,MATCH(B1116,Dim_Supplier!$A$2:$A$21,0))</f>
        <v>Precision Tool &amp; Supply</v>
      </c>
      <c r="F1116" s="5" t="s">
        <v>127</v>
      </c>
      <c r="G1116" s="5" t="s">
        <v>112</v>
      </c>
      <c r="H1116" s="8" t="n">
        <f aca="false">INDEX(Lookup_Tables!$B$2:$B$5,MATCH(D1116,Lookup_Tables!$A$2:$A$5,0))</f>
        <v>10</v>
      </c>
      <c r="I1116" s="9" t="n">
        <f aca="false">C1116+H1116</f>
        <v>46123</v>
      </c>
      <c r="J1116" s="5" t="n">
        <v>-3</v>
      </c>
      <c r="K1116" s="9" t="n">
        <f aca="false">I1116+J1116</f>
        <v>46120</v>
      </c>
      <c r="L1116" s="5" t="n">
        <v>37</v>
      </c>
      <c r="M1116" s="10" t="n">
        <f aca="false">INDEX(Dim_Supplier!$F$2:$F$21,MATCH(B1116,Dim_Supplier!$A$2:$A$21,0))</f>
        <v>22.4</v>
      </c>
      <c r="N1116" s="11" t="n">
        <v>0.0026</v>
      </c>
      <c r="O1116" s="10" t="n">
        <f aca="false">M1116*(1+N1116)</f>
        <v>22.45824</v>
      </c>
      <c r="P1116" s="10" t="n">
        <f aca="false">O1116*L1116</f>
        <v>830.95488</v>
      </c>
      <c r="Q1116" s="5" t="s">
        <v>113</v>
      </c>
      <c r="R1116" s="5" t="n">
        <v>0</v>
      </c>
      <c r="S1116" s="5" t="n">
        <v>30</v>
      </c>
      <c r="T1116" s="12" t="n">
        <f aca="false">(O1116-M1116)/M1116</f>
        <v>0.0025999999999999</v>
      </c>
      <c r="U1116" s="8" t="n">
        <f aca="false">IF(AND(K1116&lt;=I1116,R1116=0),1,0)</f>
        <v>1</v>
      </c>
      <c r="V1116" s="10" t="n">
        <f aca="false">IF(Q1116="No",P1116,0)</f>
        <v>0</v>
      </c>
    </row>
    <row r="1117" customFormat="false" ht="15" hidden="false" customHeight="false" outlineLevel="0" collapsed="false">
      <c r="A1117" s="5" t="s">
        <v>1251</v>
      </c>
      <c r="B1117" s="5" t="s">
        <v>71</v>
      </c>
      <c r="C1117" s="7" t="n">
        <v>46203</v>
      </c>
      <c r="D1117" s="8" t="str">
        <f aca="false">INDEX(Dim_Supplier!$C$2:$C$21,MATCH(B1117,Dim_Supplier!$A$2:$A$21,0))</f>
        <v>MRO</v>
      </c>
      <c r="E1117" s="8" t="str">
        <f aca="false">INDEX(Dim_Supplier!$B$2:$B$21,MATCH(B1117,Dim_Supplier!$A$2:$A$21,0))</f>
        <v>CanSafe Equipment Ltd.</v>
      </c>
      <c r="F1117" s="5" t="s">
        <v>164</v>
      </c>
      <c r="G1117" s="5" t="s">
        <v>120</v>
      </c>
      <c r="H1117" s="8" t="n">
        <f aca="false">INDEX(Lookup_Tables!$B$2:$B$5,MATCH(D1117,Lookup_Tables!$A$2:$A$5,0))</f>
        <v>10</v>
      </c>
      <c r="I1117" s="9" t="n">
        <f aca="false">C1117+H1117</f>
        <v>46213</v>
      </c>
      <c r="J1117" s="5" t="n">
        <v>0</v>
      </c>
      <c r="K1117" s="9" t="n">
        <f aca="false">I1117+J1117</f>
        <v>46213</v>
      </c>
      <c r="L1117" s="5" t="n">
        <v>173</v>
      </c>
      <c r="M1117" s="10" t="n">
        <f aca="false">INDEX(Dim_Supplier!$F$2:$F$21,MATCH(B1117,Dim_Supplier!$A$2:$A$21,0))</f>
        <v>18.75</v>
      </c>
      <c r="N1117" s="11" t="n">
        <v>0.0447</v>
      </c>
      <c r="O1117" s="10" t="n">
        <f aca="false">M1117*(1+N1117)</f>
        <v>19.588125</v>
      </c>
      <c r="P1117" s="10" t="n">
        <f aca="false">O1117*L1117</f>
        <v>3388.745625</v>
      </c>
      <c r="Q1117" s="5" t="s">
        <v>113</v>
      </c>
      <c r="R1117" s="5" t="n">
        <v>0</v>
      </c>
      <c r="S1117" s="5" t="n">
        <v>30</v>
      </c>
      <c r="T1117" s="12" t="n">
        <f aca="false">(O1117-M1117)/M1117</f>
        <v>0.0446999999999999</v>
      </c>
      <c r="U1117" s="8" t="n">
        <f aca="false">IF(AND(K1117&lt;=I1117,R1117=0),1,0)</f>
        <v>1</v>
      </c>
      <c r="V1117" s="10" t="n">
        <f aca="false">IF(Q1117="No",P1117,0)</f>
        <v>0</v>
      </c>
    </row>
    <row r="1118" customFormat="false" ht="15" hidden="false" customHeight="false" outlineLevel="0" collapsed="false">
      <c r="A1118" s="5" t="s">
        <v>1252</v>
      </c>
      <c r="B1118" s="5" t="s">
        <v>68</v>
      </c>
      <c r="C1118" s="7" t="n">
        <v>45798</v>
      </c>
      <c r="D1118" s="8" t="str">
        <f aca="false">INDEX(Dim_Supplier!$C$2:$C$21,MATCH(B1118,Dim_Supplier!$A$2:$A$21,0))</f>
        <v>MRO</v>
      </c>
      <c r="E1118" s="8" t="str">
        <f aca="false">INDEX(Dim_Supplier!$B$2:$B$21,MATCH(B1118,Dim_Supplier!$A$2:$A$21,0))</f>
        <v>Precision Tool &amp; Supply</v>
      </c>
      <c r="F1118" s="5" t="s">
        <v>111</v>
      </c>
      <c r="G1118" s="5" t="s">
        <v>112</v>
      </c>
      <c r="H1118" s="8" t="n">
        <f aca="false">INDEX(Lookup_Tables!$B$2:$B$5,MATCH(D1118,Lookup_Tables!$A$2:$A$5,0))</f>
        <v>10</v>
      </c>
      <c r="I1118" s="9" t="n">
        <f aca="false">C1118+H1118</f>
        <v>45808</v>
      </c>
      <c r="J1118" s="5" t="n">
        <v>-4</v>
      </c>
      <c r="K1118" s="9" t="n">
        <f aca="false">I1118+J1118</f>
        <v>45804</v>
      </c>
      <c r="L1118" s="5" t="n">
        <v>98</v>
      </c>
      <c r="M1118" s="10" t="n">
        <f aca="false">INDEX(Dim_Supplier!$F$2:$F$21,MATCH(B1118,Dim_Supplier!$A$2:$A$21,0))</f>
        <v>22.4</v>
      </c>
      <c r="N1118" s="11" t="n">
        <v>0.0159</v>
      </c>
      <c r="O1118" s="10" t="n">
        <f aca="false">M1118*(1+N1118)</f>
        <v>22.75616</v>
      </c>
      <c r="P1118" s="10" t="n">
        <f aca="false">O1118*L1118</f>
        <v>2230.10368</v>
      </c>
      <c r="Q1118" s="5" t="s">
        <v>113</v>
      </c>
      <c r="R1118" s="5" t="n">
        <v>0</v>
      </c>
      <c r="S1118" s="5" t="n">
        <v>45</v>
      </c>
      <c r="T1118" s="12" t="n">
        <f aca="false">(O1118-M1118)/M1118</f>
        <v>0.0159</v>
      </c>
      <c r="U1118" s="8" t="n">
        <f aca="false">IF(AND(K1118&lt;=I1118,R1118=0),1,0)</f>
        <v>1</v>
      </c>
      <c r="V1118" s="10" t="n">
        <f aca="false">IF(Q1118="No",P1118,0)</f>
        <v>0</v>
      </c>
    </row>
    <row r="1119" customFormat="false" ht="15" hidden="false" customHeight="false" outlineLevel="0" collapsed="false">
      <c r="A1119" s="5" t="s">
        <v>1253</v>
      </c>
      <c r="B1119" s="5" t="s">
        <v>68</v>
      </c>
      <c r="C1119" s="7" t="n">
        <v>45565</v>
      </c>
      <c r="D1119" s="8" t="str">
        <f aca="false">INDEX(Dim_Supplier!$C$2:$C$21,MATCH(B1119,Dim_Supplier!$A$2:$A$21,0))</f>
        <v>MRO</v>
      </c>
      <c r="E1119" s="8" t="str">
        <f aca="false">INDEX(Dim_Supplier!$B$2:$B$21,MATCH(B1119,Dim_Supplier!$A$2:$A$21,0))</f>
        <v>Precision Tool &amp; Supply</v>
      </c>
      <c r="F1119" s="5" t="s">
        <v>111</v>
      </c>
      <c r="G1119" s="5" t="s">
        <v>129</v>
      </c>
      <c r="H1119" s="8" t="n">
        <f aca="false">INDEX(Lookup_Tables!$B$2:$B$5,MATCH(D1119,Lookup_Tables!$A$2:$A$5,0))</f>
        <v>10</v>
      </c>
      <c r="I1119" s="9" t="n">
        <f aca="false">C1119+H1119</f>
        <v>45575</v>
      </c>
      <c r="J1119" s="5" t="n">
        <v>1</v>
      </c>
      <c r="K1119" s="9" t="n">
        <f aca="false">I1119+J1119</f>
        <v>45576</v>
      </c>
      <c r="L1119" s="5" t="n">
        <v>185</v>
      </c>
      <c r="M1119" s="10" t="n">
        <f aca="false">INDEX(Dim_Supplier!$F$2:$F$21,MATCH(B1119,Dim_Supplier!$A$2:$A$21,0))</f>
        <v>22.4</v>
      </c>
      <c r="N1119" s="11" t="n">
        <v>0.0243</v>
      </c>
      <c r="O1119" s="10" t="n">
        <f aca="false">M1119*(1+N1119)</f>
        <v>22.94432</v>
      </c>
      <c r="P1119" s="10" t="n">
        <f aca="false">O1119*L1119</f>
        <v>4244.6992</v>
      </c>
      <c r="Q1119" s="5" t="s">
        <v>133</v>
      </c>
      <c r="R1119" s="5" t="n">
        <v>0</v>
      </c>
      <c r="S1119" s="5" t="n">
        <v>30</v>
      </c>
      <c r="T1119" s="12" t="n">
        <f aca="false">(O1119-M1119)/M1119</f>
        <v>0.0243</v>
      </c>
      <c r="U1119" s="8" t="n">
        <f aca="false">IF(AND(K1119&lt;=I1119,R1119=0),1,0)</f>
        <v>0</v>
      </c>
      <c r="V1119" s="10" t="n">
        <f aca="false">IF(Q1119="No",P1119,0)</f>
        <v>4244.6992</v>
      </c>
    </row>
    <row r="1120" customFormat="false" ht="15" hidden="false" customHeight="false" outlineLevel="0" collapsed="false">
      <c r="A1120" s="5" t="s">
        <v>1254</v>
      </c>
      <c r="B1120" s="5" t="s">
        <v>86</v>
      </c>
      <c r="C1120" s="7" t="n">
        <v>46153</v>
      </c>
      <c r="D1120" s="8" t="str">
        <f aca="false">INDEX(Dim_Supplier!$C$2:$C$21,MATCH(B1120,Dim_Supplier!$A$2:$A$21,0))</f>
        <v>Logistics</v>
      </c>
      <c r="E1120" s="8" t="str">
        <f aca="false">INDEX(Dim_Supplier!$B$2:$B$21,MATCH(B1120,Dim_Supplier!$A$2:$A$21,0))</f>
        <v>Blue Water Customs Brokerage</v>
      </c>
      <c r="F1120" s="5" t="s">
        <v>185</v>
      </c>
      <c r="G1120" s="5" t="s">
        <v>112</v>
      </c>
      <c r="H1120" s="8" t="n">
        <f aca="false">INDEX(Lookup_Tables!$B$2:$B$5,MATCH(D1120,Lookup_Tables!$A$2:$A$5,0))</f>
        <v>5</v>
      </c>
      <c r="I1120" s="9" t="n">
        <f aca="false">C1120+H1120</f>
        <v>46158</v>
      </c>
      <c r="J1120" s="5" t="n">
        <v>-3</v>
      </c>
      <c r="K1120" s="9" t="n">
        <f aca="false">I1120+J1120</f>
        <v>46155</v>
      </c>
      <c r="L1120" s="5" t="n">
        <v>8</v>
      </c>
      <c r="M1120" s="10" t="n">
        <f aca="false">INDEX(Dim_Supplier!$F$2:$F$21,MATCH(B1120,Dim_Supplier!$A$2:$A$21,0))</f>
        <v>175</v>
      </c>
      <c r="N1120" s="11" t="n">
        <v>0.0339</v>
      </c>
      <c r="O1120" s="10" t="n">
        <f aca="false">M1120*(1+N1120)</f>
        <v>180.9325</v>
      </c>
      <c r="P1120" s="10" t="n">
        <f aca="false">O1120*L1120</f>
        <v>1447.46</v>
      </c>
      <c r="Q1120" s="5" t="s">
        <v>113</v>
      </c>
      <c r="R1120" s="5" t="n">
        <v>0</v>
      </c>
      <c r="S1120" s="5" t="n">
        <v>30</v>
      </c>
      <c r="T1120" s="12" t="n">
        <f aca="false">(O1120-M1120)/M1120</f>
        <v>0.0339</v>
      </c>
      <c r="U1120" s="8" t="n">
        <f aca="false">IF(AND(K1120&lt;=I1120,R1120=0),1,0)</f>
        <v>1</v>
      </c>
      <c r="V1120" s="10" t="n">
        <f aca="false">IF(Q1120="No",P1120,0)</f>
        <v>0</v>
      </c>
    </row>
    <row r="1121" customFormat="false" ht="15" hidden="false" customHeight="false" outlineLevel="0" collapsed="false">
      <c r="A1121" s="5" t="s">
        <v>1255</v>
      </c>
      <c r="B1121" s="5" t="s">
        <v>88</v>
      </c>
      <c r="C1121" s="7" t="n">
        <v>46007</v>
      </c>
      <c r="D1121" s="8" t="str">
        <f aca="false">INDEX(Dim_Supplier!$C$2:$C$21,MATCH(B1121,Dim_Supplier!$A$2:$A$21,0))</f>
        <v>Logistics</v>
      </c>
      <c r="E1121" s="8" t="str">
        <f aca="false">INDEX(Dim_Supplier!$B$2:$B$21,MATCH(B1121,Dim_Supplier!$A$2:$A$21,0))</f>
        <v>Summit Last-Mile Delivery</v>
      </c>
      <c r="F1121" s="5" t="s">
        <v>237</v>
      </c>
      <c r="G1121" s="5" t="s">
        <v>125</v>
      </c>
      <c r="H1121" s="8" t="n">
        <f aca="false">INDEX(Lookup_Tables!$B$2:$B$5,MATCH(D1121,Lookup_Tables!$A$2:$A$5,0))</f>
        <v>5</v>
      </c>
      <c r="I1121" s="9" t="n">
        <f aca="false">C1121+H1121</f>
        <v>46012</v>
      </c>
      <c r="J1121" s="5" t="n">
        <v>-1</v>
      </c>
      <c r="K1121" s="9" t="n">
        <f aca="false">I1121+J1121</f>
        <v>46011</v>
      </c>
      <c r="L1121" s="5" t="n">
        <v>3</v>
      </c>
      <c r="M1121" s="10" t="n">
        <f aca="false">INDEX(Dim_Supplier!$F$2:$F$21,MATCH(B1121,Dim_Supplier!$A$2:$A$21,0))</f>
        <v>95</v>
      </c>
      <c r="N1121" s="11" t="n">
        <v>0.0388</v>
      </c>
      <c r="O1121" s="10" t="n">
        <f aca="false">M1121*(1+N1121)</f>
        <v>98.686</v>
      </c>
      <c r="P1121" s="10" t="n">
        <f aca="false">O1121*L1121</f>
        <v>296.058</v>
      </c>
      <c r="Q1121" s="5" t="s">
        <v>113</v>
      </c>
      <c r="R1121" s="5" t="n">
        <v>0</v>
      </c>
      <c r="S1121" s="5" t="n">
        <v>30</v>
      </c>
      <c r="T1121" s="12" t="n">
        <f aca="false">(O1121-M1121)/M1121</f>
        <v>0.0387999999999999</v>
      </c>
      <c r="U1121" s="8" t="n">
        <f aca="false">IF(AND(K1121&lt;=I1121,R1121=0),1,0)</f>
        <v>1</v>
      </c>
      <c r="V1121" s="10" t="n">
        <f aca="false">IF(Q1121="No",P1121,0)</f>
        <v>0</v>
      </c>
    </row>
    <row r="1122" customFormat="false" ht="15" hidden="false" customHeight="false" outlineLevel="0" collapsed="false">
      <c r="A1122" s="5" t="s">
        <v>1256</v>
      </c>
      <c r="B1122" s="5" t="s">
        <v>88</v>
      </c>
      <c r="C1122" s="7" t="n">
        <v>45353</v>
      </c>
      <c r="D1122" s="8" t="str">
        <f aca="false">INDEX(Dim_Supplier!$C$2:$C$21,MATCH(B1122,Dim_Supplier!$A$2:$A$21,0))</f>
        <v>Logistics</v>
      </c>
      <c r="E1122" s="8" t="str">
        <f aca="false">INDEX(Dim_Supplier!$B$2:$B$21,MATCH(B1122,Dim_Supplier!$A$2:$A$21,0))</f>
        <v>Summit Last-Mile Delivery</v>
      </c>
      <c r="F1122" s="5" t="s">
        <v>146</v>
      </c>
      <c r="G1122" s="5" t="s">
        <v>125</v>
      </c>
      <c r="H1122" s="8" t="n">
        <f aca="false">INDEX(Lookup_Tables!$B$2:$B$5,MATCH(D1122,Lookup_Tables!$A$2:$A$5,0))</f>
        <v>5</v>
      </c>
      <c r="I1122" s="9" t="n">
        <f aca="false">C1122+H1122</f>
        <v>45358</v>
      </c>
      <c r="J1122" s="5" t="n">
        <v>-4</v>
      </c>
      <c r="K1122" s="9" t="n">
        <f aca="false">I1122+J1122</f>
        <v>45354</v>
      </c>
      <c r="L1122" s="5" t="n">
        <v>25</v>
      </c>
      <c r="M1122" s="10" t="n">
        <f aca="false">INDEX(Dim_Supplier!$F$2:$F$21,MATCH(B1122,Dim_Supplier!$A$2:$A$21,0))</f>
        <v>95</v>
      </c>
      <c r="N1122" s="11" t="n">
        <v>0.0412</v>
      </c>
      <c r="O1122" s="10" t="n">
        <f aca="false">M1122*(1+N1122)</f>
        <v>98.914</v>
      </c>
      <c r="P1122" s="10" t="n">
        <f aca="false">O1122*L1122</f>
        <v>2472.85</v>
      </c>
      <c r="Q1122" s="5" t="s">
        <v>113</v>
      </c>
      <c r="R1122" s="5" t="n">
        <v>0</v>
      </c>
      <c r="S1122" s="5" t="n">
        <v>30</v>
      </c>
      <c r="T1122" s="12" t="n">
        <f aca="false">(O1122-M1122)/M1122</f>
        <v>0.0411999999999999</v>
      </c>
      <c r="U1122" s="8" t="n">
        <f aca="false">IF(AND(K1122&lt;=I1122,R1122=0),1,0)</f>
        <v>1</v>
      </c>
      <c r="V1122" s="10" t="n">
        <f aca="false">IF(Q1122="No",P1122,0)</f>
        <v>0</v>
      </c>
    </row>
    <row r="1123" customFormat="false" ht="15" hidden="false" customHeight="false" outlineLevel="0" collapsed="false">
      <c r="A1123" s="5" t="s">
        <v>1257</v>
      </c>
      <c r="B1123" s="5" t="s">
        <v>75</v>
      </c>
      <c r="C1123" s="7" t="n">
        <v>45837</v>
      </c>
      <c r="D1123" s="8" t="str">
        <f aca="false">INDEX(Dim_Supplier!$C$2:$C$21,MATCH(B1123,Dim_Supplier!$A$2:$A$21,0))</f>
        <v>MRO</v>
      </c>
      <c r="E1123" s="8" t="str">
        <f aca="false">INDEX(Dim_Supplier!$B$2:$B$21,MATCH(B1123,Dim_Supplier!$A$2:$A$21,0))</f>
        <v>Sterling Lubricants Inc.</v>
      </c>
      <c r="F1123" s="5" t="s">
        <v>127</v>
      </c>
      <c r="G1123" s="5" t="s">
        <v>120</v>
      </c>
      <c r="H1123" s="8" t="n">
        <f aca="false">INDEX(Lookup_Tables!$B$2:$B$5,MATCH(D1123,Lookup_Tables!$A$2:$A$5,0))</f>
        <v>10</v>
      </c>
      <c r="I1123" s="9" t="n">
        <f aca="false">C1123+H1123</f>
        <v>45847</v>
      </c>
      <c r="J1123" s="5" t="n">
        <v>0</v>
      </c>
      <c r="K1123" s="9" t="n">
        <f aca="false">I1123+J1123</f>
        <v>45847</v>
      </c>
      <c r="L1123" s="5" t="n">
        <v>11</v>
      </c>
      <c r="M1123" s="10" t="n">
        <f aca="false">INDEX(Dim_Supplier!$F$2:$F$21,MATCH(B1123,Dim_Supplier!$A$2:$A$21,0))</f>
        <v>27.1</v>
      </c>
      <c r="N1123" s="11" t="n">
        <v>0.0266</v>
      </c>
      <c r="O1123" s="10" t="n">
        <f aca="false">M1123*(1+N1123)</f>
        <v>27.82086</v>
      </c>
      <c r="P1123" s="10" t="n">
        <f aca="false">O1123*L1123</f>
        <v>306.02946</v>
      </c>
      <c r="Q1123" s="5" t="s">
        <v>133</v>
      </c>
      <c r="R1123" s="5" t="n">
        <v>0</v>
      </c>
      <c r="S1123" s="5" t="n">
        <v>30</v>
      </c>
      <c r="T1123" s="12" t="n">
        <f aca="false">(O1123-M1123)/M1123</f>
        <v>0.0265999999999999</v>
      </c>
      <c r="U1123" s="8" t="n">
        <f aca="false">IF(AND(K1123&lt;=I1123,R1123=0),1,0)</f>
        <v>1</v>
      </c>
      <c r="V1123" s="10" t="n">
        <f aca="false">IF(Q1123="No",P1123,0)</f>
        <v>306.02946</v>
      </c>
    </row>
    <row r="1124" customFormat="false" ht="15" hidden="false" customHeight="false" outlineLevel="0" collapsed="false">
      <c r="A1124" s="5" t="s">
        <v>1258</v>
      </c>
      <c r="B1124" s="5" t="s">
        <v>79</v>
      </c>
      <c r="C1124" s="7" t="n">
        <v>45560</v>
      </c>
      <c r="D1124" s="8" t="str">
        <f aca="false">INDEX(Dim_Supplier!$C$2:$C$21,MATCH(B1124,Dim_Supplier!$A$2:$A$21,0))</f>
        <v>Logistics</v>
      </c>
      <c r="E1124" s="8" t="str">
        <f aca="false">INDEX(Dim_Supplier!$B$2:$B$21,MATCH(B1124,Dim_Supplier!$A$2:$A$21,0))</f>
        <v>Niagara Freight Solutions</v>
      </c>
      <c r="F1124" s="5" t="s">
        <v>185</v>
      </c>
      <c r="G1124" s="5" t="s">
        <v>112</v>
      </c>
      <c r="H1124" s="8" t="n">
        <f aca="false">INDEX(Lookup_Tables!$B$2:$B$5,MATCH(D1124,Lookup_Tables!$A$2:$A$5,0))</f>
        <v>5</v>
      </c>
      <c r="I1124" s="9" t="n">
        <f aca="false">C1124+H1124</f>
        <v>45565</v>
      </c>
      <c r="J1124" s="5" t="n">
        <v>-2</v>
      </c>
      <c r="K1124" s="9" t="n">
        <f aca="false">I1124+J1124</f>
        <v>45563</v>
      </c>
      <c r="L1124" s="5" t="n">
        <v>40</v>
      </c>
      <c r="M1124" s="10" t="n">
        <f aca="false">INDEX(Dim_Supplier!$F$2:$F$21,MATCH(B1124,Dim_Supplier!$A$2:$A$21,0))</f>
        <v>340</v>
      </c>
      <c r="N1124" s="11" t="n">
        <v>-0.0082</v>
      </c>
      <c r="O1124" s="10" t="n">
        <f aca="false">M1124*(1+N1124)</f>
        <v>337.212</v>
      </c>
      <c r="P1124" s="10" t="n">
        <f aca="false">O1124*L1124</f>
        <v>13488.48</v>
      </c>
      <c r="Q1124" s="5" t="s">
        <v>113</v>
      </c>
      <c r="R1124" s="5" t="n">
        <v>0</v>
      </c>
      <c r="S1124" s="5" t="n">
        <v>45</v>
      </c>
      <c r="T1124" s="12" t="n">
        <f aca="false">(O1124-M1124)/M1124</f>
        <v>-0.00820000000000003</v>
      </c>
      <c r="U1124" s="8" t="n">
        <f aca="false">IF(AND(K1124&lt;=I1124,R1124=0),1,0)</f>
        <v>1</v>
      </c>
      <c r="V1124" s="10" t="n">
        <f aca="false">IF(Q1124="No",P1124,0)</f>
        <v>0</v>
      </c>
    </row>
    <row r="1125" customFormat="false" ht="15" hidden="false" customHeight="false" outlineLevel="0" collapsed="false">
      <c r="A1125" s="5" t="s">
        <v>1259</v>
      </c>
      <c r="B1125" s="5" t="s">
        <v>77</v>
      </c>
      <c r="C1125" s="7" t="n">
        <v>45350</v>
      </c>
      <c r="D1125" s="8" t="str">
        <f aca="false">INDEX(Dim_Supplier!$C$2:$C$21,MATCH(B1125,Dim_Supplier!$A$2:$A$21,0))</f>
        <v>MRO</v>
      </c>
      <c r="E1125" s="8" t="str">
        <f aca="false">INDEX(Dim_Supplier!$B$2:$B$21,MATCH(B1125,Dim_Supplier!$A$2:$A$21,0))</f>
        <v>Apex Industrial Supply</v>
      </c>
      <c r="F1125" s="5" t="s">
        <v>127</v>
      </c>
      <c r="G1125" s="5" t="s">
        <v>125</v>
      </c>
      <c r="H1125" s="8" t="n">
        <f aca="false">INDEX(Lookup_Tables!$B$2:$B$5,MATCH(D1125,Lookup_Tables!$A$2:$A$5,0))</f>
        <v>10</v>
      </c>
      <c r="I1125" s="9" t="n">
        <f aca="false">C1125+H1125</f>
        <v>45360</v>
      </c>
      <c r="J1125" s="5" t="n">
        <v>3</v>
      </c>
      <c r="K1125" s="9" t="n">
        <f aca="false">I1125+J1125</f>
        <v>45363</v>
      </c>
      <c r="L1125" s="5" t="n">
        <v>78</v>
      </c>
      <c r="M1125" s="10" t="n">
        <f aca="false">INDEX(Dim_Supplier!$F$2:$F$21,MATCH(B1125,Dim_Supplier!$A$2:$A$21,0))</f>
        <v>24.6</v>
      </c>
      <c r="N1125" s="11" t="n">
        <v>0.0363</v>
      </c>
      <c r="O1125" s="10" t="n">
        <f aca="false">M1125*(1+N1125)</f>
        <v>25.49298</v>
      </c>
      <c r="P1125" s="10" t="n">
        <f aca="false">O1125*L1125</f>
        <v>1988.45244</v>
      </c>
      <c r="Q1125" s="5" t="s">
        <v>133</v>
      </c>
      <c r="R1125" s="5" t="n">
        <v>0</v>
      </c>
      <c r="S1125" s="5" t="n">
        <v>30</v>
      </c>
      <c r="T1125" s="12" t="n">
        <f aca="false">(O1125-M1125)/M1125</f>
        <v>0.0363000000000001</v>
      </c>
      <c r="U1125" s="8" t="n">
        <f aca="false">IF(AND(K1125&lt;=I1125,R1125=0),1,0)</f>
        <v>0</v>
      </c>
      <c r="V1125" s="10" t="n">
        <f aca="false">IF(Q1125="No",P1125,0)</f>
        <v>1988.45244</v>
      </c>
    </row>
    <row r="1126" customFormat="false" ht="15" hidden="false" customHeight="false" outlineLevel="0" collapsed="false">
      <c r="A1126" s="5" t="s">
        <v>1260</v>
      </c>
      <c r="B1126" s="5" t="s">
        <v>68</v>
      </c>
      <c r="C1126" s="7" t="n">
        <v>45873</v>
      </c>
      <c r="D1126" s="8" t="str">
        <f aca="false">INDEX(Dim_Supplier!$C$2:$C$21,MATCH(B1126,Dim_Supplier!$A$2:$A$21,0))</f>
        <v>MRO</v>
      </c>
      <c r="E1126" s="8" t="str">
        <f aca="false">INDEX(Dim_Supplier!$B$2:$B$21,MATCH(B1126,Dim_Supplier!$A$2:$A$21,0))</f>
        <v>Precision Tool &amp; Supply</v>
      </c>
      <c r="F1126" s="5" t="s">
        <v>132</v>
      </c>
      <c r="G1126" s="5" t="s">
        <v>120</v>
      </c>
      <c r="H1126" s="8" t="n">
        <f aca="false">INDEX(Lookup_Tables!$B$2:$B$5,MATCH(D1126,Lookup_Tables!$A$2:$A$5,0))</f>
        <v>10</v>
      </c>
      <c r="I1126" s="9" t="n">
        <f aca="false">C1126+H1126</f>
        <v>45883</v>
      </c>
      <c r="J1126" s="5" t="n">
        <v>-2</v>
      </c>
      <c r="K1126" s="9" t="n">
        <f aca="false">I1126+J1126</f>
        <v>45881</v>
      </c>
      <c r="L1126" s="5" t="n">
        <v>195</v>
      </c>
      <c r="M1126" s="10" t="n">
        <f aca="false">INDEX(Dim_Supplier!$F$2:$F$21,MATCH(B1126,Dim_Supplier!$A$2:$A$21,0))</f>
        <v>22.4</v>
      </c>
      <c r="N1126" s="11" t="n">
        <v>0.0267</v>
      </c>
      <c r="O1126" s="10" t="n">
        <f aca="false">M1126*(1+N1126)</f>
        <v>22.99808</v>
      </c>
      <c r="P1126" s="10" t="n">
        <f aca="false">O1126*L1126</f>
        <v>4484.6256</v>
      </c>
      <c r="Q1126" s="5" t="s">
        <v>133</v>
      </c>
      <c r="R1126" s="5" t="n">
        <v>0</v>
      </c>
      <c r="S1126" s="5" t="n">
        <v>60</v>
      </c>
      <c r="T1126" s="12" t="n">
        <f aca="false">(O1126-M1126)/M1126</f>
        <v>0.0267</v>
      </c>
      <c r="U1126" s="8" t="n">
        <f aca="false">IF(AND(K1126&lt;=I1126,R1126=0),1,0)</f>
        <v>1</v>
      </c>
      <c r="V1126" s="10" t="n">
        <f aca="false">IF(Q1126="No",P1126,0)</f>
        <v>4484.6256</v>
      </c>
    </row>
    <row r="1127" customFormat="false" ht="15" hidden="false" customHeight="false" outlineLevel="0" collapsed="false">
      <c r="A1127" s="5" t="s">
        <v>1261</v>
      </c>
      <c r="B1127" s="5" t="s">
        <v>54</v>
      </c>
      <c r="C1127" s="7" t="n">
        <v>45990</v>
      </c>
      <c r="D1127" s="8" t="str">
        <f aca="false">INDEX(Dim_Supplier!$C$2:$C$21,MATCH(B1127,Dim_Supplier!$A$2:$A$21,0))</f>
        <v>Raw Materials</v>
      </c>
      <c r="E1127" s="8" t="str">
        <f aca="false">INDEX(Dim_Supplier!$B$2:$B$21,MATCH(B1127,Dim_Supplier!$A$2:$A$21,0))</f>
        <v>Northern Resin Solutions</v>
      </c>
      <c r="F1127" s="5" t="s">
        <v>139</v>
      </c>
      <c r="G1127" s="5" t="s">
        <v>129</v>
      </c>
      <c r="H1127" s="8" t="n">
        <f aca="false">INDEX(Lookup_Tables!$B$2:$B$5,MATCH(D1127,Lookup_Tables!$A$2:$A$5,0))</f>
        <v>21</v>
      </c>
      <c r="I1127" s="9" t="n">
        <f aca="false">C1127+H1127</f>
        <v>46011</v>
      </c>
      <c r="J1127" s="5" t="n">
        <v>2</v>
      </c>
      <c r="K1127" s="9" t="n">
        <f aca="false">I1127+J1127</f>
        <v>46013</v>
      </c>
      <c r="L1127" s="5" t="n">
        <v>705</v>
      </c>
      <c r="M1127" s="10" t="n">
        <f aca="false">INDEX(Dim_Supplier!$F$2:$F$21,MATCH(B1127,Dim_Supplier!$A$2:$A$21,0))</f>
        <v>38.9</v>
      </c>
      <c r="N1127" s="11" t="n">
        <v>0.0497</v>
      </c>
      <c r="O1127" s="10" t="n">
        <f aca="false">M1127*(1+N1127)</f>
        <v>40.83333</v>
      </c>
      <c r="P1127" s="10" t="n">
        <f aca="false">O1127*L1127</f>
        <v>28787.49765</v>
      </c>
      <c r="Q1127" s="5" t="s">
        <v>113</v>
      </c>
      <c r="R1127" s="5" t="n">
        <v>0</v>
      </c>
      <c r="S1127" s="5" t="n">
        <v>45</v>
      </c>
      <c r="T1127" s="12" t="n">
        <f aca="false">(O1127-M1127)/M1127</f>
        <v>0.0497000000000001</v>
      </c>
      <c r="U1127" s="8" t="n">
        <f aca="false">IF(AND(K1127&lt;=I1127,R1127=0),1,0)</f>
        <v>0</v>
      </c>
      <c r="V1127" s="10" t="n">
        <f aca="false">IF(Q1127="No",P1127,0)</f>
        <v>0</v>
      </c>
    </row>
    <row r="1128" customFormat="false" ht="15" hidden="false" customHeight="false" outlineLevel="0" collapsed="false">
      <c r="A1128" s="5" t="s">
        <v>1262</v>
      </c>
      <c r="B1128" s="5" t="s">
        <v>57</v>
      </c>
      <c r="C1128" s="7" t="n">
        <v>45967</v>
      </c>
      <c r="D1128" s="8" t="str">
        <f aca="false">INDEX(Dim_Supplier!$C$2:$C$21,MATCH(B1128,Dim_Supplier!$A$2:$A$21,0))</f>
        <v>Packaging</v>
      </c>
      <c r="E1128" s="8" t="str">
        <f aca="false">INDEX(Dim_Supplier!$B$2:$B$21,MATCH(B1128,Dim_Supplier!$A$2:$A$21,0))</f>
        <v>Great Lakes Packaging Co.</v>
      </c>
      <c r="F1128" s="5" t="s">
        <v>119</v>
      </c>
      <c r="G1128" s="5" t="s">
        <v>129</v>
      </c>
      <c r="H1128" s="8" t="n">
        <f aca="false">INDEX(Lookup_Tables!$B$2:$B$5,MATCH(D1128,Lookup_Tables!$A$2:$A$5,0))</f>
        <v>14</v>
      </c>
      <c r="I1128" s="9" t="n">
        <f aca="false">C1128+H1128</f>
        <v>45981</v>
      </c>
      <c r="J1128" s="5" t="n">
        <v>-1</v>
      </c>
      <c r="K1128" s="9" t="n">
        <f aca="false">I1128+J1128</f>
        <v>45980</v>
      </c>
      <c r="L1128" s="5" t="n">
        <v>3129</v>
      </c>
      <c r="M1128" s="10" t="n">
        <f aca="false">INDEX(Dim_Supplier!$F$2:$F$21,MATCH(B1128,Dim_Supplier!$A$2:$A$21,0))</f>
        <v>4.35</v>
      </c>
      <c r="N1128" s="11" t="n">
        <v>0.0283</v>
      </c>
      <c r="O1128" s="10" t="n">
        <f aca="false">M1128*(1+N1128)</f>
        <v>4.473105</v>
      </c>
      <c r="P1128" s="10" t="n">
        <f aca="false">O1128*L1128</f>
        <v>13996.345545</v>
      </c>
      <c r="Q1128" s="5" t="s">
        <v>113</v>
      </c>
      <c r="R1128" s="5" t="n">
        <v>0</v>
      </c>
      <c r="S1128" s="5" t="n">
        <v>30</v>
      </c>
      <c r="T1128" s="12" t="n">
        <f aca="false">(O1128-M1128)/M1128</f>
        <v>0.0283</v>
      </c>
      <c r="U1128" s="8" t="n">
        <f aca="false">IF(AND(K1128&lt;=I1128,R1128=0),1,0)</f>
        <v>1</v>
      </c>
      <c r="V1128" s="10" t="n">
        <f aca="false">IF(Q1128="No",P1128,0)</f>
        <v>0</v>
      </c>
    </row>
    <row r="1129" customFormat="false" ht="15" hidden="false" customHeight="false" outlineLevel="0" collapsed="false">
      <c r="A1129" s="5" t="s">
        <v>1263</v>
      </c>
      <c r="B1129" s="5" t="s">
        <v>41</v>
      </c>
      <c r="C1129" s="7" t="n">
        <v>45301</v>
      </c>
      <c r="D1129" s="8" t="str">
        <f aca="false">INDEX(Dim_Supplier!$C$2:$C$21,MATCH(B1129,Dim_Supplier!$A$2:$A$21,0))</f>
        <v>Raw Materials</v>
      </c>
      <c r="E1129" s="8" t="str">
        <f aca="false">INDEX(Dim_Supplier!$B$2:$B$21,MATCH(B1129,Dim_Supplier!$A$2:$A$21,0))</f>
        <v>Ontario Steel Partners</v>
      </c>
      <c r="F1129" s="5" t="s">
        <v>142</v>
      </c>
      <c r="G1129" s="5" t="s">
        <v>129</v>
      </c>
      <c r="H1129" s="8" t="n">
        <f aca="false">INDEX(Lookup_Tables!$B$2:$B$5,MATCH(D1129,Lookup_Tables!$A$2:$A$5,0))</f>
        <v>21</v>
      </c>
      <c r="I1129" s="9" t="n">
        <f aca="false">C1129+H1129</f>
        <v>45322</v>
      </c>
      <c r="J1129" s="5" t="n">
        <v>-1</v>
      </c>
      <c r="K1129" s="9" t="n">
        <f aca="false">I1129+J1129</f>
        <v>45321</v>
      </c>
      <c r="L1129" s="5" t="n">
        <v>1829</v>
      </c>
      <c r="M1129" s="10" t="n">
        <f aca="false">INDEX(Dim_Supplier!$F$2:$F$21,MATCH(B1129,Dim_Supplier!$A$2:$A$21,0))</f>
        <v>58</v>
      </c>
      <c r="N1129" s="11" t="n">
        <v>0.0051</v>
      </c>
      <c r="O1129" s="10" t="n">
        <f aca="false">M1129*(1+N1129)</f>
        <v>58.2958</v>
      </c>
      <c r="P1129" s="10" t="n">
        <f aca="false">O1129*L1129</f>
        <v>106623.0182</v>
      </c>
      <c r="Q1129" s="5" t="s">
        <v>113</v>
      </c>
      <c r="R1129" s="5" t="n">
        <v>0</v>
      </c>
      <c r="S1129" s="5" t="n">
        <v>45</v>
      </c>
      <c r="T1129" s="12" t="n">
        <f aca="false">(O1129-M1129)/M1129</f>
        <v>0.00510000000000012</v>
      </c>
      <c r="U1129" s="8" t="n">
        <f aca="false">IF(AND(K1129&lt;=I1129,R1129=0),1,0)</f>
        <v>1</v>
      </c>
      <c r="V1129" s="10" t="n">
        <f aca="false">IF(Q1129="No",P1129,0)</f>
        <v>0</v>
      </c>
    </row>
    <row r="1130" customFormat="false" ht="15" hidden="false" customHeight="false" outlineLevel="0" collapsed="false">
      <c r="A1130" s="5" t="s">
        <v>1264</v>
      </c>
      <c r="B1130" s="5" t="s">
        <v>41</v>
      </c>
      <c r="C1130" s="7" t="n">
        <v>45916</v>
      </c>
      <c r="D1130" s="8" t="str">
        <f aca="false">INDEX(Dim_Supplier!$C$2:$C$21,MATCH(B1130,Dim_Supplier!$A$2:$A$21,0))</f>
        <v>Raw Materials</v>
      </c>
      <c r="E1130" s="8" t="str">
        <f aca="false">INDEX(Dim_Supplier!$B$2:$B$21,MATCH(B1130,Dim_Supplier!$A$2:$A$21,0))</f>
        <v>Ontario Steel Partners</v>
      </c>
      <c r="F1130" s="5" t="s">
        <v>144</v>
      </c>
      <c r="G1130" s="5" t="s">
        <v>120</v>
      </c>
      <c r="H1130" s="8" t="n">
        <f aca="false">INDEX(Lookup_Tables!$B$2:$B$5,MATCH(D1130,Lookup_Tables!$A$2:$A$5,0))</f>
        <v>21</v>
      </c>
      <c r="I1130" s="9" t="n">
        <f aca="false">C1130+H1130</f>
        <v>45937</v>
      </c>
      <c r="J1130" s="5" t="n">
        <v>-1</v>
      </c>
      <c r="K1130" s="9" t="n">
        <f aca="false">I1130+J1130</f>
        <v>45936</v>
      </c>
      <c r="L1130" s="5" t="n">
        <v>628</v>
      </c>
      <c r="M1130" s="10" t="n">
        <f aca="false">INDEX(Dim_Supplier!$F$2:$F$21,MATCH(B1130,Dim_Supplier!$A$2:$A$21,0))</f>
        <v>58</v>
      </c>
      <c r="N1130" s="11" t="n">
        <v>0.0038</v>
      </c>
      <c r="O1130" s="10" t="n">
        <f aca="false">M1130*(1+N1130)</f>
        <v>58.2204</v>
      </c>
      <c r="P1130" s="10" t="n">
        <f aca="false">O1130*L1130</f>
        <v>36562.4112</v>
      </c>
      <c r="Q1130" s="5" t="s">
        <v>113</v>
      </c>
      <c r="R1130" s="5" t="n">
        <v>0</v>
      </c>
      <c r="S1130" s="5" t="n">
        <v>60</v>
      </c>
      <c r="T1130" s="12" t="n">
        <f aca="false">(O1130-M1130)/M1130</f>
        <v>0.00379999999999996</v>
      </c>
      <c r="U1130" s="8" t="n">
        <f aca="false">IF(AND(K1130&lt;=I1130,R1130=0),1,0)</f>
        <v>1</v>
      </c>
      <c r="V1130" s="10" t="n">
        <f aca="false">IF(Q1130="No",P1130,0)</f>
        <v>0</v>
      </c>
    </row>
    <row r="1131" customFormat="false" ht="15" hidden="false" customHeight="false" outlineLevel="0" collapsed="false">
      <c r="A1131" s="5" t="s">
        <v>1265</v>
      </c>
      <c r="B1131" s="5" t="s">
        <v>46</v>
      </c>
      <c r="C1131" s="7" t="n">
        <v>45937</v>
      </c>
      <c r="D1131" s="8" t="str">
        <f aca="false">INDEX(Dim_Supplier!$C$2:$C$21,MATCH(B1131,Dim_Supplier!$A$2:$A$21,0))</f>
        <v>Raw Materials</v>
      </c>
      <c r="E1131" s="8" t="str">
        <f aca="false">INDEX(Dim_Supplier!$B$2:$B$21,MATCH(B1131,Dim_Supplier!$A$2:$A$21,0))</f>
        <v>Niagara Alloy Supply</v>
      </c>
      <c r="F1131" s="5" t="s">
        <v>115</v>
      </c>
      <c r="G1131" s="5" t="s">
        <v>112</v>
      </c>
      <c r="H1131" s="8" t="n">
        <f aca="false">INDEX(Lookup_Tables!$B$2:$B$5,MATCH(D1131,Lookup_Tables!$A$2:$A$5,0))</f>
        <v>21</v>
      </c>
      <c r="I1131" s="9" t="n">
        <f aca="false">C1131+H1131</f>
        <v>45958</v>
      </c>
      <c r="J1131" s="5" t="n">
        <v>1</v>
      </c>
      <c r="K1131" s="9" t="n">
        <f aca="false">I1131+J1131</f>
        <v>45959</v>
      </c>
      <c r="L1131" s="5" t="n">
        <v>576</v>
      </c>
      <c r="M1131" s="10" t="n">
        <f aca="false">INDEX(Dim_Supplier!$F$2:$F$21,MATCH(B1131,Dim_Supplier!$A$2:$A$21,0))</f>
        <v>46.5</v>
      </c>
      <c r="N1131" s="11" t="n">
        <v>0.0089</v>
      </c>
      <c r="O1131" s="10" t="n">
        <f aca="false">M1131*(1+N1131)</f>
        <v>46.91385</v>
      </c>
      <c r="P1131" s="10" t="n">
        <f aca="false">O1131*L1131</f>
        <v>27022.3776</v>
      </c>
      <c r="Q1131" s="5" t="s">
        <v>113</v>
      </c>
      <c r="R1131" s="5" t="n">
        <v>0</v>
      </c>
      <c r="S1131" s="5" t="n">
        <v>45</v>
      </c>
      <c r="T1131" s="12" t="n">
        <f aca="false">(O1131-M1131)/M1131</f>
        <v>0.00889999999999993</v>
      </c>
      <c r="U1131" s="8" t="n">
        <f aca="false">IF(AND(K1131&lt;=I1131,R1131=0),1,0)</f>
        <v>0</v>
      </c>
      <c r="V1131" s="10" t="n">
        <f aca="false">IF(Q1131="No",P1131,0)</f>
        <v>0</v>
      </c>
    </row>
    <row r="1132" customFormat="false" ht="15" hidden="false" customHeight="false" outlineLevel="0" collapsed="false">
      <c r="A1132" s="5" t="s">
        <v>1266</v>
      </c>
      <c r="B1132" s="5" t="s">
        <v>82</v>
      </c>
      <c r="C1132" s="7" t="n">
        <v>45885</v>
      </c>
      <c r="D1132" s="8" t="str">
        <f aca="false">INDEX(Dim_Supplier!$C$2:$C$21,MATCH(B1132,Dim_Supplier!$A$2:$A$21,0))</f>
        <v>Logistics</v>
      </c>
      <c r="E1132" s="8" t="str">
        <f aca="false">INDEX(Dim_Supplier!$B$2:$B$21,MATCH(B1132,Dim_Supplier!$A$2:$A$21,0))</f>
        <v>Maple Route Logistics</v>
      </c>
      <c r="F1132" s="5" t="s">
        <v>146</v>
      </c>
      <c r="G1132" s="5" t="s">
        <v>129</v>
      </c>
      <c r="H1132" s="8" t="n">
        <f aca="false">INDEX(Lookup_Tables!$B$2:$B$5,MATCH(D1132,Lookup_Tables!$A$2:$A$5,0))</f>
        <v>5</v>
      </c>
      <c r="I1132" s="9" t="n">
        <f aca="false">C1132+H1132</f>
        <v>45890</v>
      </c>
      <c r="J1132" s="5" t="n">
        <v>-2</v>
      </c>
      <c r="K1132" s="9" t="n">
        <f aca="false">I1132+J1132</f>
        <v>45888</v>
      </c>
      <c r="L1132" s="5" t="n">
        <v>46</v>
      </c>
      <c r="M1132" s="10" t="n">
        <f aca="false">INDEX(Dim_Supplier!$F$2:$F$21,MATCH(B1132,Dim_Supplier!$A$2:$A$21,0))</f>
        <v>285</v>
      </c>
      <c r="N1132" s="11" t="n">
        <v>0.0253</v>
      </c>
      <c r="O1132" s="10" t="n">
        <f aca="false">M1132*(1+N1132)</f>
        <v>292.2105</v>
      </c>
      <c r="P1132" s="10" t="n">
        <f aca="false">O1132*L1132</f>
        <v>13441.683</v>
      </c>
      <c r="Q1132" s="5" t="s">
        <v>133</v>
      </c>
      <c r="R1132" s="5" t="n">
        <v>0</v>
      </c>
      <c r="S1132" s="5" t="n">
        <v>30</v>
      </c>
      <c r="T1132" s="12" t="n">
        <f aca="false">(O1132-M1132)/M1132</f>
        <v>0.0253000000000001</v>
      </c>
      <c r="U1132" s="8" t="n">
        <f aca="false">IF(AND(K1132&lt;=I1132,R1132=0),1,0)</f>
        <v>1</v>
      </c>
      <c r="V1132" s="10" t="n">
        <f aca="false">IF(Q1132="No",P1132,0)</f>
        <v>13441.683</v>
      </c>
    </row>
    <row r="1133" customFormat="false" ht="15" hidden="false" customHeight="false" outlineLevel="0" collapsed="false">
      <c r="A1133" s="5" t="s">
        <v>1267</v>
      </c>
      <c r="B1133" s="5" t="s">
        <v>82</v>
      </c>
      <c r="C1133" s="7" t="n">
        <v>46161</v>
      </c>
      <c r="D1133" s="8" t="str">
        <f aca="false">INDEX(Dim_Supplier!$C$2:$C$21,MATCH(B1133,Dim_Supplier!$A$2:$A$21,0))</f>
        <v>Logistics</v>
      </c>
      <c r="E1133" s="8" t="str">
        <f aca="false">INDEX(Dim_Supplier!$B$2:$B$21,MATCH(B1133,Dim_Supplier!$A$2:$A$21,0))</f>
        <v>Maple Route Logistics</v>
      </c>
      <c r="F1133" s="5" t="s">
        <v>146</v>
      </c>
      <c r="G1133" s="5" t="s">
        <v>129</v>
      </c>
      <c r="H1133" s="8" t="n">
        <f aca="false">INDEX(Lookup_Tables!$B$2:$B$5,MATCH(D1133,Lookup_Tables!$A$2:$A$5,0))</f>
        <v>5</v>
      </c>
      <c r="I1133" s="9" t="n">
        <f aca="false">C1133+H1133</f>
        <v>46166</v>
      </c>
      <c r="J1133" s="5" t="n">
        <v>-2</v>
      </c>
      <c r="K1133" s="9" t="n">
        <f aca="false">I1133+J1133</f>
        <v>46164</v>
      </c>
      <c r="L1133" s="5" t="n">
        <v>5</v>
      </c>
      <c r="M1133" s="10" t="n">
        <f aca="false">INDEX(Dim_Supplier!$F$2:$F$21,MATCH(B1133,Dim_Supplier!$A$2:$A$21,0))</f>
        <v>285</v>
      </c>
      <c r="N1133" s="11" t="n">
        <v>0.019</v>
      </c>
      <c r="O1133" s="10" t="n">
        <f aca="false">M1133*(1+N1133)</f>
        <v>290.415</v>
      </c>
      <c r="P1133" s="10" t="n">
        <f aca="false">O1133*L1133</f>
        <v>1452.075</v>
      </c>
      <c r="Q1133" s="5" t="s">
        <v>113</v>
      </c>
      <c r="R1133" s="5" t="n">
        <v>0</v>
      </c>
      <c r="S1133" s="5" t="n">
        <v>30</v>
      </c>
      <c r="T1133" s="12" t="n">
        <f aca="false">(O1133-M1133)/M1133</f>
        <v>0.0189999999999999</v>
      </c>
      <c r="U1133" s="8" t="n">
        <f aca="false">IF(AND(K1133&lt;=I1133,R1133=0),1,0)</f>
        <v>1</v>
      </c>
      <c r="V1133" s="10" t="n">
        <f aca="false">IF(Q1133="No",P1133,0)</f>
        <v>0</v>
      </c>
    </row>
    <row r="1134" customFormat="false" ht="15" hidden="false" customHeight="false" outlineLevel="0" collapsed="false">
      <c r="A1134" s="5" t="s">
        <v>1268</v>
      </c>
      <c r="B1134" s="5" t="s">
        <v>52</v>
      </c>
      <c r="C1134" s="7" t="n">
        <v>45876</v>
      </c>
      <c r="D1134" s="8" t="str">
        <f aca="false">INDEX(Dim_Supplier!$C$2:$C$21,MATCH(B1134,Dim_Supplier!$A$2:$A$21,0))</f>
        <v>Raw Materials</v>
      </c>
      <c r="E1134" s="8" t="str">
        <f aca="false">INDEX(Dim_Supplier!$B$2:$B$21,MATCH(B1134,Dim_Supplier!$A$2:$A$21,0))</f>
        <v>Laurentian Metals Inc.</v>
      </c>
      <c r="F1134" s="5" t="s">
        <v>139</v>
      </c>
      <c r="G1134" s="5" t="s">
        <v>125</v>
      </c>
      <c r="H1134" s="8" t="n">
        <f aca="false">INDEX(Lookup_Tables!$B$2:$B$5,MATCH(D1134,Lookup_Tables!$A$2:$A$5,0))</f>
        <v>21</v>
      </c>
      <c r="I1134" s="9" t="n">
        <f aca="false">C1134+H1134</f>
        <v>45897</v>
      </c>
      <c r="J1134" s="5" t="n">
        <v>-1</v>
      </c>
      <c r="K1134" s="9" t="n">
        <f aca="false">I1134+J1134</f>
        <v>45896</v>
      </c>
      <c r="L1134" s="5" t="n">
        <v>679</v>
      </c>
      <c r="M1134" s="10" t="n">
        <f aca="false">INDEX(Dim_Supplier!$F$2:$F$21,MATCH(B1134,Dim_Supplier!$A$2:$A$21,0))</f>
        <v>61.2</v>
      </c>
      <c r="N1134" s="11" t="n">
        <v>0.0291</v>
      </c>
      <c r="O1134" s="10" t="n">
        <f aca="false">M1134*(1+N1134)</f>
        <v>62.98092</v>
      </c>
      <c r="P1134" s="10" t="n">
        <f aca="false">O1134*L1134</f>
        <v>42764.04468</v>
      </c>
      <c r="Q1134" s="5" t="s">
        <v>113</v>
      </c>
      <c r="R1134" s="5" t="n">
        <v>0</v>
      </c>
      <c r="S1134" s="5" t="n">
        <v>45</v>
      </c>
      <c r="T1134" s="12" t="n">
        <f aca="false">(O1134-M1134)/M1134</f>
        <v>0.0290999999999999</v>
      </c>
      <c r="U1134" s="8" t="n">
        <f aca="false">IF(AND(K1134&lt;=I1134,R1134=0),1,0)</f>
        <v>1</v>
      </c>
      <c r="V1134" s="10" t="n">
        <f aca="false">IF(Q1134="No",P1134,0)</f>
        <v>0</v>
      </c>
    </row>
    <row r="1135" customFormat="false" ht="15" hidden="false" customHeight="false" outlineLevel="0" collapsed="false">
      <c r="A1135" s="5" t="s">
        <v>1269</v>
      </c>
      <c r="B1135" s="5" t="s">
        <v>57</v>
      </c>
      <c r="C1135" s="7" t="n">
        <v>45709</v>
      </c>
      <c r="D1135" s="8" t="str">
        <f aca="false">INDEX(Dim_Supplier!$C$2:$C$21,MATCH(B1135,Dim_Supplier!$A$2:$A$21,0))</f>
        <v>Packaging</v>
      </c>
      <c r="E1135" s="8" t="str">
        <f aca="false">INDEX(Dim_Supplier!$B$2:$B$21,MATCH(B1135,Dim_Supplier!$A$2:$A$21,0))</f>
        <v>Great Lakes Packaging Co.</v>
      </c>
      <c r="F1135" s="5" t="s">
        <v>119</v>
      </c>
      <c r="G1135" s="5" t="s">
        <v>125</v>
      </c>
      <c r="H1135" s="8" t="n">
        <f aca="false">INDEX(Lookup_Tables!$B$2:$B$5,MATCH(D1135,Lookup_Tables!$A$2:$A$5,0))</f>
        <v>14</v>
      </c>
      <c r="I1135" s="9" t="n">
        <f aca="false">C1135+H1135</f>
        <v>45723</v>
      </c>
      <c r="J1135" s="5" t="n">
        <v>-1</v>
      </c>
      <c r="K1135" s="9" t="n">
        <f aca="false">I1135+J1135</f>
        <v>45722</v>
      </c>
      <c r="L1135" s="5" t="n">
        <v>755</v>
      </c>
      <c r="M1135" s="10" t="n">
        <f aca="false">INDEX(Dim_Supplier!$F$2:$F$21,MATCH(B1135,Dim_Supplier!$A$2:$A$21,0))</f>
        <v>4.35</v>
      </c>
      <c r="N1135" s="11" t="n">
        <v>0.0041</v>
      </c>
      <c r="O1135" s="10" t="n">
        <f aca="false">M1135*(1+N1135)</f>
        <v>4.367835</v>
      </c>
      <c r="P1135" s="10" t="n">
        <f aca="false">O1135*L1135</f>
        <v>3297.715425</v>
      </c>
      <c r="Q1135" s="5" t="s">
        <v>113</v>
      </c>
      <c r="R1135" s="5" t="n">
        <v>0</v>
      </c>
      <c r="S1135" s="5" t="n">
        <v>60</v>
      </c>
      <c r="T1135" s="12" t="n">
        <f aca="false">(O1135-M1135)/M1135</f>
        <v>0.00409999999999996</v>
      </c>
      <c r="U1135" s="8" t="n">
        <f aca="false">IF(AND(K1135&lt;=I1135,R1135=0),1,0)</f>
        <v>1</v>
      </c>
      <c r="V1135" s="10" t="n">
        <f aca="false">IF(Q1135="No",P1135,0)</f>
        <v>0</v>
      </c>
    </row>
    <row r="1136" customFormat="false" ht="15" hidden="false" customHeight="false" outlineLevel="0" collapsed="false">
      <c r="A1136" s="5" t="s">
        <v>1270</v>
      </c>
      <c r="B1136" s="5" t="s">
        <v>86</v>
      </c>
      <c r="C1136" s="7" t="n">
        <v>45318</v>
      </c>
      <c r="D1136" s="8" t="str">
        <f aca="false">INDEX(Dim_Supplier!$C$2:$C$21,MATCH(B1136,Dim_Supplier!$A$2:$A$21,0))</f>
        <v>Logistics</v>
      </c>
      <c r="E1136" s="8" t="str">
        <f aca="false">INDEX(Dim_Supplier!$B$2:$B$21,MATCH(B1136,Dim_Supplier!$A$2:$A$21,0))</f>
        <v>Blue Water Customs Brokerage</v>
      </c>
      <c r="F1136" s="5" t="s">
        <v>124</v>
      </c>
      <c r="G1136" s="5" t="s">
        <v>112</v>
      </c>
      <c r="H1136" s="8" t="n">
        <f aca="false">INDEX(Lookup_Tables!$B$2:$B$5,MATCH(D1136,Lookup_Tables!$A$2:$A$5,0))</f>
        <v>5</v>
      </c>
      <c r="I1136" s="9" t="n">
        <f aca="false">C1136+H1136</f>
        <v>45323</v>
      </c>
      <c r="J1136" s="5" t="n">
        <v>-1</v>
      </c>
      <c r="K1136" s="9" t="n">
        <f aca="false">I1136+J1136</f>
        <v>45322</v>
      </c>
      <c r="L1136" s="5" t="n">
        <v>50</v>
      </c>
      <c r="M1136" s="10" t="n">
        <f aca="false">INDEX(Dim_Supplier!$F$2:$F$21,MATCH(B1136,Dim_Supplier!$A$2:$A$21,0))</f>
        <v>175</v>
      </c>
      <c r="N1136" s="11" t="n">
        <v>-0.0123</v>
      </c>
      <c r="O1136" s="10" t="n">
        <f aca="false">M1136*(1+N1136)</f>
        <v>172.8475</v>
      </c>
      <c r="P1136" s="10" t="n">
        <f aca="false">O1136*L1136</f>
        <v>8642.375</v>
      </c>
      <c r="Q1136" s="5" t="s">
        <v>113</v>
      </c>
      <c r="R1136" s="5" t="n">
        <v>0</v>
      </c>
      <c r="S1136" s="5" t="n">
        <v>45</v>
      </c>
      <c r="T1136" s="12" t="n">
        <f aca="false">(O1136-M1136)/M1136</f>
        <v>-0.0123</v>
      </c>
      <c r="U1136" s="8" t="n">
        <f aca="false">IF(AND(K1136&lt;=I1136,R1136=0),1,0)</f>
        <v>1</v>
      </c>
      <c r="V1136" s="10" t="n">
        <f aca="false">IF(Q1136="No",P1136,0)</f>
        <v>0</v>
      </c>
    </row>
    <row r="1137" customFormat="false" ht="15" hidden="false" customHeight="false" outlineLevel="0" collapsed="false">
      <c r="A1137" s="5" t="s">
        <v>1271</v>
      </c>
      <c r="B1137" s="5" t="s">
        <v>86</v>
      </c>
      <c r="C1137" s="7" t="n">
        <v>45679</v>
      </c>
      <c r="D1137" s="8" t="str">
        <f aca="false">INDEX(Dim_Supplier!$C$2:$C$21,MATCH(B1137,Dim_Supplier!$A$2:$A$21,0))</f>
        <v>Logistics</v>
      </c>
      <c r="E1137" s="8" t="str">
        <f aca="false">INDEX(Dim_Supplier!$B$2:$B$21,MATCH(B1137,Dim_Supplier!$A$2:$A$21,0))</f>
        <v>Blue Water Customs Brokerage</v>
      </c>
      <c r="F1137" s="5" t="s">
        <v>185</v>
      </c>
      <c r="G1137" s="5" t="s">
        <v>129</v>
      </c>
      <c r="H1137" s="8" t="n">
        <f aca="false">INDEX(Lookup_Tables!$B$2:$B$5,MATCH(D1137,Lookup_Tables!$A$2:$A$5,0))</f>
        <v>5</v>
      </c>
      <c r="I1137" s="9" t="n">
        <f aca="false">C1137+H1137</f>
        <v>45684</v>
      </c>
      <c r="J1137" s="5" t="n">
        <v>-3</v>
      </c>
      <c r="K1137" s="9" t="n">
        <f aca="false">I1137+J1137</f>
        <v>45681</v>
      </c>
      <c r="L1137" s="5" t="n">
        <v>49</v>
      </c>
      <c r="M1137" s="10" t="n">
        <f aca="false">INDEX(Dim_Supplier!$F$2:$F$21,MATCH(B1137,Dim_Supplier!$A$2:$A$21,0))</f>
        <v>175</v>
      </c>
      <c r="N1137" s="11" t="n">
        <v>0.0005</v>
      </c>
      <c r="O1137" s="10" t="n">
        <f aca="false">M1137*(1+N1137)</f>
        <v>175.0875</v>
      </c>
      <c r="P1137" s="10" t="n">
        <f aca="false">O1137*L1137</f>
        <v>8579.2875</v>
      </c>
      <c r="Q1137" s="5" t="s">
        <v>133</v>
      </c>
      <c r="R1137" s="5" t="n">
        <v>0</v>
      </c>
      <c r="S1137" s="5" t="n">
        <v>30</v>
      </c>
      <c r="T1137" s="12" t="n">
        <f aca="false">(O1137-M1137)/M1137</f>
        <v>0.00049999999999987</v>
      </c>
      <c r="U1137" s="8" t="n">
        <f aca="false">IF(AND(K1137&lt;=I1137,R1137=0),1,0)</f>
        <v>1</v>
      </c>
      <c r="V1137" s="10" t="n">
        <f aca="false">IF(Q1137="No",P1137,0)</f>
        <v>8579.2875</v>
      </c>
    </row>
    <row r="1138" customFormat="false" ht="15" hidden="false" customHeight="false" outlineLevel="0" collapsed="false">
      <c r="A1138" s="5" t="s">
        <v>1272</v>
      </c>
      <c r="B1138" s="5" t="s">
        <v>86</v>
      </c>
      <c r="C1138" s="7" t="n">
        <v>45521</v>
      </c>
      <c r="D1138" s="8" t="str">
        <f aca="false">INDEX(Dim_Supplier!$C$2:$C$21,MATCH(B1138,Dim_Supplier!$A$2:$A$21,0))</f>
        <v>Logistics</v>
      </c>
      <c r="E1138" s="8" t="str">
        <f aca="false">INDEX(Dim_Supplier!$B$2:$B$21,MATCH(B1138,Dim_Supplier!$A$2:$A$21,0))</f>
        <v>Blue Water Customs Brokerage</v>
      </c>
      <c r="F1138" s="5" t="s">
        <v>185</v>
      </c>
      <c r="G1138" s="5" t="s">
        <v>125</v>
      </c>
      <c r="H1138" s="8" t="n">
        <f aca="false">INDEX(Lookup_Tables!$B$2:$B$5,MATCH(D1138,Lookup_Tables!$A$2:$A$5,0))</f>
        <v>5</v>
      </c>
      <c r="I1138" s="9" t="n">
        <f aca="false">C1138+H1138</f>
        <v>45526</v>
      </c>
      <c r="J1138" s="5" t="n">
        <v>-3</v>
      </c>
      <c r="K1138" s="9" t="n">
        <f aca="false">I1138+J1138</f>
        <v>45523</v>
      </c>
      <c r="L1138" s="5" t="n">
        <v>34</v>
      </c>
      <c r="M1138" s="10" t="n">
        <f aca="false">INDEX(Dim_Supplier!$F$2:$F$21,MATCH(B1138,Dim_Supplier!$A$2:$A$21,0))</f>
        <v>175</v>
      </c>
      <c r="N1138" s="11" t="n">
        <v>0.0075</v>
      </c>
      <c r="O1138" s="10" t="n">
        <f aca="false">M1138*(1+N1138)</f>
        <v>176.3125</v>
      </c>
      <c r="P1138" s="10" t="n">
        <f aca="false">O1138*L1138</f>
        <v>5994.625</v>
      </c>
      <c r="Q1138" s="5" t="s">
        <v>113</v>
      </c>
      <c r="R1138" s="5" t="n">
        <v>0</v>
      </c>
      <c r="S1138" s="5" t="n">
        <v>45</v>
      </c>
      <c r="T1138" s="12" t="n">
        <f aca="false">(O1138-M1138)/M1138</f>
        <v>0.0075</v>
      </c>
      <c r="U1138" s="8" t="n">
        <f aca="false">IF(AND(K1138&lt;=I1138,R1138=0),1,0)</f>
        <v>1</v>
      </c>
      <c r="V1138" s="10" t="n">
        <f aca="false">IF(Q1138="No",P1138,0)</f>
        <v>0</v>
      </c>
    </row>
    <row r="1139" customFormat="false" ht="15" hidden="false" customHeight="false" outlineLevel="0" collapsed="false">
      <c r="A1139" s="5" t="s">
        <v>1273</v>
      </c>
      <c r="B1139" s="5" t="s">
        <v>66</v>
      </c>
      <c r="C1139" s="7" t="n">
        <v>45616</v>
      </c>
      <c r="D1139" s="8" t="str">
        <f aca="false">INDEX(Dim_Supplier!$C$2:$C$21,MATCH(B1139,Dim_Supplier!$A$2:$A$21,0))</f>
        <v>Packaging</v>
      </c>
      <c r="E1139" s="8" t="str">
        <f aca="false">INDEX(Dim_Supplier!$B$2:$B$21,MATCH(B1139,Dim_Supplier!$A$2:$A$21,0))</f>
        <v>EverGreen Wrap Industries</v>
      </c>
      <c r="F1139" s="5" t="s">
        <v>119</v>
      </c>
      <c r="G1139" s="5" t="s">
        <v>112</v>
      </c>
      <c r="H1139" s="8" t="n">
        <f aca="false">INDEX(Lookup_Tables!$B$2:$B$5,MATCH(D1139,Lookup_Tables!$A$2:$A$5,0))</f>
        <v>14</v>
      </c>
      <c r="I1139" s="9" t="n">
        <f aca="false">C1139+H1139</f>
        <v>45630</v>
      </c>
      <c r="J1139" s="5" t="n">
        <v>0</v>
      </c>
      <c r="K1139" s="9" t="n">
        <f aca="false">I1139+J1139</f>
        <v>45630</v>
      </c>
      <c r="L1139" s="5" t="n">
        <v>2499</v>
      </c>
      <c r="M1139" s="10" t="n">
        <f aca="false">INDEX(Dim_Supplier!$F$2:$F$21,MATCH(B1139,Dim_Supplier!$A$2:$A$21,0))</f>
        <v>6.8</v>
      </c>
      <c r="N1139" s="11" t="n">
        <v>0.0457</v>
      </c>
      <c r="O1139" s="10" t="n">
        <f aca="false">M1139*(1+N1139)</f>
        <v>7.11076</v>
      </c>
      <c r="P1139" s="10" t="n">
        <f aca="false">O1139*L1139</f>
        <v>17769.78924</v>
      </c>
      <c r="Q1139" s="5" t="s">
        <v>113</v>
      </c>
      <c r="R1139" s="5" t="n">
        <v>0</v>
      </c>
      <c r="S1139" s="5" t="n">
        <v>60</v>
      </c>
      <c r="T1139" s="12" t="n">
        <f aca="false">(O1139-M1139)/M1139</f>
        <v>0.0457</v>
      </c>
      <c r="U1139" s="8" t="n">
        <f aca="false">IF(AND(K1139&lt;=I1139,R1139=0),1,0)</f>
        <v>1</v>
      </c>
      <c r="V1139" s="10" t="n">
        <f aca="false">IF(Q1139="No",P1139,0)</f>
        <v>0</v>
      </c>
    </row>
    <row r="1140" customFormat="false" ht="15" hidden="false" customHeight="false" outlineLevel="0" collapsed="false">
      <c r="A1140" s="5" t="s">
        <v>1274</v>
      </c>
      <c r="B1140" s="5" t="s">
        <v>52</v>
      </c>
      <c r="C1140" s="7" t="n">
        <v>45614</v>
      </c>
      <c r="D1140" s="8" t="str">
        <f aca="false">INDEX(Dim_Supplier!$C$2:$C$21,MATCH(B1140,Dim_Supplier!$A$2:$A$21,0))</f>
        <v>Raw Materials</v>
      </c>
      <c r="E1140" s="8" t="str">
        <f aca="false">INDEX(Dim_Supplier!$B$2:$B$21,MATCH(B1140,Dim_Supplier!$A$2:$A$21,0))</f>
        <v>Laurentian Metals Inc.</v>
      </c>
      <c r="F1140" s="5" t="s">
        <v>148</v>
      </c>
      <c r="G1140" s="5" t="s">
        <v>112</v>
      </c>
      <c r="H1140" s="8" t="n">
        <f aca="false">INDEX(Lookup_Tables!$B$2:$B$5,MATCH(D1140,Lookup_Tables!$A$2:$A$5,0))</f>
        <v>21</v>
      </c>
      <c r="I1140" s="9" t="n">
        <f aca="false">C1140+H1140</f>
        <v>45635</v>
      </c>
      <c r="J1140" s="5" t="n">
        <v>-4</v>
      </c>
      <c r="K1140" s="9" t="n">
        <f aca="false">I1140+J1140</f>
        <v>45631</v>
      </c>
      <c r="L1140" s="5" t="n">
        <v>939</v>
      </c>
      <c r="M1140" s="10" t="n">
        <f aca="false">INDEX(Dim_Supplier!$F$2:$F$21,MATCH(B1140,Dim_Supplier!$A$2:$A$21,0))</f>
        <v>61.2</v>
      </c>
      <c r="N1140" s="11" t="n">
        <v>0.037</v>
      </c>
      <c r="O1140" s="10" t="n">
        <f aca="false">M1140*(1+N1140)</f>
        <v>63.4644</v>
      </c>
      <c r="P1140" s="10" t="n">
        <f aca="false">O1140*L1140</f>
        <v>59593.0716</v>
      </c>
      <c r="Q1140" s="5" t="s">
        <v>113</v>
      </c>
      <c r="R1140" s="5" t="n">
        <v>0</v>
      </c>
      <c r="S1140" s="5" t="n">
        <v>45</v>
      </c>
      <c r="T1140" s="12" t="n">
        <f aca="false">(O1140-M1140)/M1140</f>
        <v>0.0369999999999999</v>
      </c>
      <c r="U1140" s="8" t="n">
        <f aca="false">IF(AND(K1140&lt;=I1140,R1140=0),1,0)</f>
        <v>1</v>
      </c>
      <c r="V1140" s="10" t="n">
        <f aca="false">IF(Q1140="No",P1140,0)</f>
        <v>0</v>
      </c>
    </row>
    <row r="1141" customFormat="false" ht="15" hidden="false" customHeight="false" outlineLevel="0" collapsed="false">
      <c r="A1141" s="5" t="s">
        <v>1275</v>
      </c>
      <c r="B1141" s="5" t="s">
        <v>86</v>
      </c>
      <c r="C1141" s="7" t="n">
        <v>45961</v>
      </c>
      <c r="D1141" s="8" t="str">
        <f aca="false">INDEX(Dim_Supplier!$C$2:$C$21,MATCH(B1141,Dim_Supplier!$A$2:$A$21,0))</f>
        <v>Logistics</v>
      </c>
      <c r="E1141" s="8" t="str">
        <f aca="false">INDEX(Dim_Supplier!$B$2:$B$21,MATCH(B1141,Dim_Supplier!$A$2:$A$21,0))</f>
        <v>Blue Water Customs Brokerage</v>
      </c>
      <c r="F1141" s="5" t="s">
        <v>237</v>
      </c>
      <c r="G1141" s="5" t="s">
        <v>112</v>
      </c>
      <c r="H1141" s="8" t="n">
        <f aca="false">INDEX(Lookup_Tables!$B$2:$B$5,MATCH(D1141,Lookup_Tables!$A$2:$A$5,0))</f>
        <v>5</v>
      </c>
      <c r="I1141" s="9" t="n">
        <f aca="false">C1141+H1141</f>
        <v>45966</v>
      </c>
      <c r="J1141" s="5" t="n">
        <v>-4</v>
      </c>
      <c r="K1141" s="9" t="n">
        <f aca="false">I1141+J1141</f>
        <v>45962</v>
      </c>
      <c r="L1141" s="5" t="n">
        <v>37</v>
      </c>
      <c r="M1141" s="10" t="n">
        <f aca="false">INDEX(Dim_Supplier!$F$2:$F$21,MATCH(B1141,Dim_Supplier!$A$2:$A$21,0))</f>
        <v>175</v>
      </c>
      <c r="N1141" s="11" t="n">
        <v>0.0166</v>
      </c>
      <c r="O1141" s="10" t="n">
        <f aca="false">M1141*(1+N1141)</f>
        <v>177.905</v>
      </c>
      <c r="P1141" s="10" t="n">
        <f aca="false">O1141*L1141</f>
        <v>6582.485</v>
      </c>
      <c r="Q1141" s="5" t="s">
        <v>113</v>
      </c>
      <c r="R1141" s="5" t="n">
        <v>0</v>
      </c>
      <c r="S1141" s="5" t="n">
        <v>60</v>
      </c>
      <c r="T1141" s="12" t="n">
        <f aca="false">(O1141-M1141)/M1141</f>
        <v>0.0166</v>
      </c>
      <c r="U1141" s="8" t="n">
        <f aca="false">IF(AND(K1141&lt;=I1141,R1141=0),1,0)</f>
        <v>1</v>
      </c>
      <c r="V1141" s="10" t="n">
        <f aca="false">IF(Q1141="No",P1141,0)</f>
        <v>0</v>
      </c>
    </row>
    <row r="1142" customFormat="false" ht="15" hidden="false" customHeight="false" outlineLevel="0" collapsed="false">
      <c r="A1142" s="5" t="s">
        <v>1276</v>
      </c>
      <c r="B1142" s="5" t="s">
        <v>52</v>
      </c>
      <c r="C1142" s="7" t="n">
        <v>45709</v>
      </c>
      <c r="D1142" s="8" t="str">
        <f aca="false">INDEX(Dim_Supplier!$C$2:$C$21,MATCH(B1142,Dim_Supplier!$A$2:$A$21,0))</f>
        <v>Raw Materials</v>
      </c>
      <c r="E1142" s="8" t="str">
        <f aca="false">INDEX(Dim_Supplier!$B$2:$B$21,MATCH(B1142,Dim_Supplier!$A$2:$A$21,0))</f>
        <v>Laurentian Metals Inc.</v>
      </c>
      <c r="F1142" s="5" t="s">
        <v>144</v>
      </c>
      <c r="G1142" s="5" t="s">
        <v>112</v>
      </c>
      <c r="H1142" s="8" t="n">
        <f aca="false">INDEX(Lookup_Tables!$B$2:$B$5,MATCH(D1142,Lookup_Tables!$A$2:$A$5,0))</f>
        <v>21</v>
      </c>
      <c r="I1142" s="9" t="n">
        <f aca="false">C1142+H1142</f>
        <v>45730</v>
      </c>
      <c r="J1142" s="5" t="n">
        <v>-4</v>
      </c>
      <c r="K1142" s="9" t="n">
        <f aca="false">I1142+J1142</f>
        <v>45726</v>
      </c>
      <c r="L1142" s="5" t="n">
        <v>799</v>
      </c>
      <c r="M1142" s="10" t="n">
        <f aca="false">INDEX(Dim_Supplier!$F$2:$F$21,MATCH(B1142,Dim_Supplier!$A$2:$A$21,0))</f>
        <v>61.2</v>
      </c>
      <c r="N1142" s="11" t="n">
        <v>-0.0019</v>
      </c>
      <c r="O1142" s="10" t="n">
        <f aca="false">M1142*(1+N1142)</f>
        <v>61.08372</v>
      </c>
      <c r="P1142" s="10" t="n">
        <f aca="false">O1142*L1142</f>
        <v>48805.89228</v>
      </c>
      <c r="Q1142" s="5" t="s">
        <v>113</v>
      </c>
      <c r="R1142" s="5" t="n">
        <v>0</v>
      </c>
      <c r="S1142" s="5" t="n">
        <v>30</v>
      </c>
      <c r="T1142" s="12" t="n">
        <f aca="false">(O1142-M1142)/M1142</f>
        <v>-0.00190000000000005</v>
      </c>
      <c r="U1142" s="8" t="n">
        <f aca="false">IF(AND(K1142&lt;=I1142,R1142=0),1,0)</f>
        <v>1</v>
      </c>
      <c r="V1142" s="10" t="n">
        <f aca="false">IF(Q1142="No",P1142,0)</f>
        <v>0</v>
      </c>
    </row>
    <row r="1143" customFormat="false" ht="15" hidden="false" customHeight="false" outlineLevel="0" collapsed="false">
      <c r="A1143" s="5" t="s">
        <v>1277</v>
      </c>
      <c r="B1143" s="5" t="s">
        <v>88</v>
      </c>
      <c r="C1143" s="7" t="n">
        <v>45881</v>
      </c>
      <c r="D1143" s="8" t="str">
        <f aca="false">INDEX(Dim_Supplier!$C$2:$C$21,MATCH(B1143,Dim_Supplier!$A$2:$A$21,0))</f>
        <v>Logistics</v>
      </c>
      <c r="E1143" s="8" t="str">
        <f aca="false">INDEX(Dim_Supplier!$B$2:$B$21,MATCH(B1143,Dim_Supplier!$A$2:$A$21,0))</f>
        <v>Summit Last-Mile Delivery</v>
      </c>
      <c r="F1143" s="5" t="s">
        <v>237</v>
      </c>
      <c r="G1143" s="5" t="s">
        <v>112</v>
      </c>
      <c r="H1143" s="8" t="n">
        <f aca="false">INDEX(Lookup_Tables!$B$2:$B$5,MATCH(D1143,Lookup_Tables!$A$2:$A$5,0))</f>
        <v>5</v>
      </c>
      <c r="I1143" s="9" t="n">
        <f aca="false">C1143+H1143</f>
        <v>45886</v>
      </c>
      <c r="J1143" s="5" t="n">
        <v>2</v>
      </c>
      <c r="K1143" s="9" t="n">
        <f aca="false">I1143+J1143</f>
        <v>45888</v>
      </c>
      <c r="L1143" s="5" t="n">
        <v>1</v>
      </c>
      <c r="M1143" s="10" t="n">
        <f aca="false">INDEX(Dim_Supplier!$F$2:$F$21,MATCH(B1143,Dim_Supplier!$A$2:$A$21,0))</f>
        <v>95</v>
      </c>
      <c r="N1143" s="11" t="n">
        <v>0.0159</v>
      </c>
      <c r="O1143" s="10" t="n">
        <f aca="false">M1143*(1+N1143)</f>
        <v>96.5105</v>
      </c>
      <c r="P1143" s="10" t="n">
        <f aca="false">O1143*L1143</f>
        <v>96.5105</v>
      </c>
      <c r="Q1143" s="5" t="s">
        <v>113</v>
      </c>
      <c r="R1143" s="5" t="n">
        <v>0</v>
      </c>
      <c r="S1143" s="5" t="n">
        <v>45</v>
      </c>
      <c r="T1143" s="12" t="n">
        <f aca="false">(O1143-M1143)/M1143</f>
        <v>0.0159000000000001</v>
      </c>
      <c r="U1143" s="8" t="n">
        <f aca="false">IF(AND(K1143&lt;=I1143,R1143=0),1,0)</f>
        <v>0</v>
      </c>
      <c r="V1143" s="10" t="n">
        <f aca="false">IF(Q1143="No",P1143,0)</f>
        <v>0</v>
      </c>
    </row>
    <row r="1144" customFormat="false" ht="15" hidden="false" customHeight="false" outlineLevel="0" collapsed="false">
      <c r="A1144" s="5" t="s">
        <v>1278</v>
      </c>
      <c r="B1144" s="5" t="s">
        <v>75</v>
      </c>
      <c r="C1144" s="7" t="n">
        <v>45773</v>
      </c>
      <c r="D1144" s="8" t="str">
        <f aca="false">INDEX(Dim_Supplier!$C$2:$C$21,MATCH(B1144,Dim_Supplier!$A$2:$A$21,0))</f>
        <v>MRO</v>
      </c>
      <c r="E1144" s="8" t="str">
        <f aca="false">INDEX(Dim_Supplier!$B$2:$B$21,MATCH(B1144,Dim_Supplier!$A$2:$A$21,0))</f>
        <v>Sterling Lubricants Inc.</v>
      </c>
      <c r="F1144" s="5" t="s">
        <v>127</v>
      </c>
      <c r="G1144" s="5" t="s">
        <v>112</v>
      </c>
      <c r="H1144" s="8" t="n">
        <f aca="false">INDEX(Lookup_Tables!$B$2:$B$5,MATCH(D1144,Lookup_Tables!$A$2:$A$5,0))</f>
        <v>10</v>
      </c>
      <c r="I1144" s="9" t="n">
        <f aca="false">C1144+H1144</f>
        <v>45783</v>
      </c>
      <c r="J1144" s="5" t="n">
        <v>0</v>
      </c>
      <c r="K1144" s="9" t="n">
        <f aca="false">I1144+J1144</f>
        <v>45783</v>
      </c>
      <c r="L1144" s="5" t="n">
        <v>11</v>
      </c>
      <c r="M1144" s="10" t="n">
        <f aca="false">INDEX(Dim_Supplier!$F$2:$F$21,MATCH(B1144,Dim_Supplier!$A$2:$A$21,0))</f>
        <v>27.1</v>
      </c>
      <c r="N1144" s="11" t="n">
        <v>-0.0077</v>
      </c>
      <c r="O1144" s="10" t="n">
        <f aca="false">M1144*(1+N1144)</f>
        <v>26.89133</v>
      </c>
      <c r="P1144" s="10" t="n">
        <f aca="false">O1144*L1144</f>
        <v>295.80463</v>
      </c>
      <c r="Q1144" s="5" t="s">
        <v>113</v>
      </c>
      <c r="R1144" s="5" t="n">
        <v>0</v>
      </c>
      <c r="S1144" s="5" t="n">
        <v>30</v>
      </c>
      <c r="T1144" s="12" t="n">
        <f aca="false">(O1144-M1144)/M1144</f>
        <v>-0.00770000000000005</v>
      </c>
      <c r="U1144" s="8" t="n">
        <f aca="false">IF(AND(K1144&lt;=I1144,R1144=0),1,0)</f>
        <v>1</v>
      </c>
      <c r="V1144" s="10" t="n">
        <f aca="false">IF(Q1144="No",P1144,0)</f>
        <v>0</v>
      </c>
    </row>
    <row r="1145" customFormat="false" ht="15" hidden="false" customHeight="false" outlineLevel="0" collapsed="false">
      <c r="A1145" s="5" t="s">
        <v>1279</v>
      </c>
      <c r="B1145" s="5" t="s">
        <v>82</v>
      </c>
      <c r="C1145" s="7" t="n">
        <v>45689</v>
      </c>
      <c r="D1145" s="8" t="str">
        <f aca="false">INDEX(Dim_Supplier!$C$2:$C$21,MATCH(B1145,Dim_Supplier!$A$2:$A$21,0))</f>
        <v>Logistics</v>
      </c>
      <c r="E1145" s="8" t="str">
        <f aca="false">INDEX(Dim_Supplier!$B$2:$B$21,MATCH(B1145,Dim_Supplier!$A$2:$A$21,0))</f>
        <v>Maple Route Logistics</v>
      </c>
      <c r="F1145" s="5" t="s">
        <v>237</v>
      </c>
      <c r="G1145" s="5" t="s">
        <v>120</v>
      </c>
      <c r="H1145" s="8" t="n">
        <f aca="false">INDEX(Lookup_Tables!$B$2:$B$5,MATCH(D1145,Lookup_Tables!$A$2:$A$5,0))</f>
        <v>5</v>
      </c>
      <c r="I1145" s="9" t="n">
        <f aca="false">C1145+H1145</f>
        <v>45694</v>
      </c>
      <c r="J1145" s="5" t="n">
        <v>1</v>
      </c>
      <c r="K1145" s="9" t="n">
        <f aca="false">I1145+J1145</f>
        <v>45695</v>
      </c>
      <c r="L1145" s="5" t="n">
        <v>16</v>
      </c>
      <c r="M1145" s="10" t="n">
        <f aca="false">INDEX(Dim_Supplier!$F$2:$F$21,MATCH(B1145,Dim_Supplier!$A$2:$A$21,0))</f>
        <v>285</v>
      </c>
      <c r="N1145" s="11" t="n">
        <v>0.0522</v>
      </c>
      <c r="O1145" s="10" t="n">
        <f aca="false">M1145*(1+N1145)</f>
        <v>299.877</v>
      </c>
      <c r="P1145" s="10" t="n">
        <f aca="false">O1145*L1145</f>
        <v>4798.032</v>
      </c>
      <c r="Q1145" s="5" t="s">
        <v>113</v>
      </c>
      <c r="R1145" s="5" t="n">
        <v>0</v>
      </c>
      <c r="S1145" s="5" t="n">
        <v>60</v>
      </c>
      <c r="T1145" s="12" t="n">
        <f aca="false">(O1145-M1145)/M1145</f>
        <v>0.0522</v>
      </c>
      <c r="U1145" s="8" t="n">
        <f aca="false">IF(AND(K1145&lt;=I1145,R1145=0),1,0)</f>
        <v>0</v>
      </c>
      <c r="V1145" s="10" t="n">
        <f aca="false">IF(Q1145="No",P1145,0)</f>
        <v>0</v>
      </c>
    </row>
    <row r="1146" customFormat="false" ht="15" hidden="false" customHeight="false" outlineLevel="0" collapsed="false">
      <c r="A1146" s="5" t="s">
        <v>1280</v>
      </c>
      <c r="B1146" s="5" t="s">
        <v>86</v>
      </c>
      <c r="C1146" s="7" t="n">
        <v>45897</v>
      </c>
      <c r="D1146" s="8" t="str">
        <f aca="false">INDEX(Dim_Supplier!$C$2:$C$21,MATCH(B1146,Dim_Supplier!$A$2:$A$21,0))</f>
        <v>Logistics</v>
      </c>
      <c r="E1146" s="8" t="str">
        <f aca="false">INDEX(Dim_Supplier!$B$2:$B$21,MATCH(B1146,Dim_Supplier!$A$2:$A$21,0))</f>
        <v>Blue Water Customs Brokerage</v>
      </c>
      <c r="F1146" s="5" t="s">
        <v>185</v>
      </c>
      <c r="G1146" s="5" t="s">
        <v>129</v>
      </c>
      <c r="H1146" s="8" t="n">
        <f aca="false">INDEX(Lookup_Tables!$B$2:$B$5,MATCH(D1146,Lookup_Tables!$A$2:$A$5,0))</f>
        <v>5</v>
      </c>
      <c r="I1146" s="9" t="n">
        <f aca="false">C1146+H1146</f>
        <v>45902</v>
      </c>
      <c r="J1146" s="5" t="n">
        <v>-1</v>
      </c>
      <c r="K1146" s="9" t="n">
        <f aca="false">I1146+J1146</f>
        <v>45901</v>
      </c>
      <c r="L1146" s="5" t="n">
        <v>48</v>
      </c>
      <c r="M1146" s="10" t="n">
        <f aca="false">INDEX(Dim_Supplier!$F$2:$F$21,MATCH(B1146,Dim_Supplier!$A$2:$A$21,0))</f>
        <v>175</v>
      </c>
      <c r="N1146" s="11" t="n">
        <v>0.0098</v>
      </c>
      <c r="O1146" s="10" t="n">
        <f aca="false">M1146*(1+N1146)</f>
        <v>176.715</v>
      </c>
      <c r="P1146" s="10" t="n">
        <f aca="false">O1146*L1146</f>
        <v>8482.32</v>
      </c>
      <c r="Q1146" s="5" t="s">
        <v>113</v>
      </c>
      <c r="R1146" s="5" t="n">
        <v>0</v>
      </c>
      <c r="S1146" s="5" t="n">
        <v>60</v>
      </c>
      <c r="T1146" s="12" t="n">
        <f aca="false">(O1146-M1146)/M1146</f>
        <v>0.00980000000000002</v>
      </c>
      <c r="U1146" s="8" t="n">
        <f aca="false">IF(AND(K1146&lt;=I1146,R1146=0),1,0)</f>
        <v>1</v>
      </c>
      <c r="V1146" s="10" t="n">
        <f aca="false">IF(Q1146="No",P1146,0)</f>
        <v>0</v>
      </c>
    </row>
    <row r="1147" customFormat="false" ht="15" hidden="false" customHeight="false" outlineLevel="0" collapsed="false">
      <c r="A1147" s="5" t="s">
        <v>1281</v>
      </c>
      <c r="B1147" s="5" t="s">
        <v>71</v>
      </c>
      <c r="C1147" s="7" t="n">
        <v>46050</v>
      </c>
      <c r="D1147" s="8" t="str">
        <f aca="false">INDEX(Dim_Supplier!$C$2:$C$21,MATCH(B1147,Dim_Supplier!$A$2:$A$21,0))</f>
        <v>MRO</v>
      </c>
      <c r="E1147" s="8" t="str">
        <f aca="false">INDEX(Dim_Supplier!$B$2:$B$21,MATCH(B1147,Dim_Supplier!$A$2:$A$21,0))</f>
        <v>CanSafe Equipment Ltd.</v>
      </c>
      <c r="F1147" s="5" t="s">
        <v>179</v>
      </c>
      <c r="G1147" s="5" t="s">
        <v>120</v>
      </c>
      <c r="H1147" s="8" t="n">
        <f aca="false">INDEX(Lookup_Tables!$B$2:$B$5,MATCH(D1147,Lookup_Tables!$A$2:$A$5,0))</f>
        <v>10</v>
      </c>
      <c r="I1147" s="9" t="n">
        <f aca="false">C1147+H1147</f>
        <v>46060</v>
      </c>
      <c r="J1147" s="5" t="n">
        <v>-1</v>
      </c>
      <c r="K1147" s="9" t="n">
        <f aca="false">I1147+J1147</f>
        <v>46059</v>
      </c>
      <c r="L1147" s="5" t="n">
        <v>192</v>
      </c>
      <c r="M1147" s="10" t="n">
        <f aca="false">INDEX(Dim_Supplier!$F$2:$F$21,MATCH(B1147,Dim_Supplier!$A$2:$A$21,0))</f>
        <v>18.75</v>
      </c>
      <c r="N1147" s="11" t="n">
        <v>-0.001</v>
      </c>
      <c r="O1147" s="10" t="n">
        <f aca="false">M1147*(1+N1147)</f>
        <v>18.73125</v>
      </c>
      <c r="P1147" s="10" t="n">
        <f aca="false">O1147*L1147</f>
        <v>3596.4</v>
      </c>
      <c r="Q1147" s="5" t="s">
        <v>113</v>
      </c>
      <c r="R1147" s="5" t="n">
        <v>0</v>
      </c>
      <c r="S1147" s="5" t="n">
        <v>60</v>
      </c>
      <c r="T1147" s="12" t="n">
        <f aca="false">(O1147-M1147)/M1147</f>
        <v>-0.00100000000000004</v>
      </c>
      <c r="U1147" s="8" t="n">
        <f aca="false">IF(AND(K1147&lt;=I1147,R1147=0),1,0)</f>
        <v>1</v>
      </c>
      <c r="V1147" s="10" t="n">
        <f aca="false">IF(Q1147="No",P1147,0)</f>
        <v>0</v>
      </c>
    </row>
    <row r="1148" customFormat="false" ht="15" hidden="false" customHeight="false" outlineLevel="0" collapsed="false">
      <c r="A1148" s="5" t="s">
        <v>1282</v>
      </c>
      <c r="B1148" s="5" t="s">
        <v>86</v>
      </c>
      <c r="C1148" s="7" t="n">
        <v>45377</v>
      </c>
      <c r="D1148" s="8" t="str">
        <f aca="false">INDEX(Dim_Supplier!$C$2:$C$21,MATCH(B1148,Dim_Supplier!$A$2:$A$21,0))</f>
        <v>Logistics</v>
      </c>
      <c r="E1148" s="8" t="str">
        <f aca="false">INDEX(Dim_Supplier!$B$2:$B$21,MATCH(B1148,Dim_Supplier!$A$2:$A$21,0))</f>
        <v>Blue Water Customs Brokerage</v>
      </c>
      <c r="F1148" s="5" t="s">
        <v>154</v>
      </c>
      <c r="G1148" s="5" t="s">
        <v>129</v>
      </c>
      <c r="H1148" s="8" t="n">
        <f aca="false">INDEX(Lookup_Tables!$B$2:$B$5,MATCH(D1148,Lookup_Tables!$A$2:$A$5,0))</f>
        <v>5</v>
      </c>
      <c r="I1148" s="9" t="n">
        <f aca="false">C1148+H1148</f>
        <v>45382</v>
      </c>
      <c r="J1148" s="5" t="n">
        <v>-4</v>
      </c>
      <c r="K1148" s="9" t="n">
        <f aca="false">I1148+J1148</f>
        <v>45378</v>
      </c>
      <c r="L1148" s="5" t="n">
        <v>42</v>
      </c>
      <c r="M1148" s="10" t="n">
        <f aca="false">INDEX(Dim_Supplier!$F$2:$F$21,MATCH(B1148,Dim_Supplier!$A$2:$A$21,0))</f>
        <v>175</v>
      </c>
      <c r="N1148" s="11" t="n">
        <v>-0.0007</v>
      </c>
      <c r="O1148" s="10" t="n">
        <f aca="false">M1148*(1+N1148)</f>
        <v>174.8775</v>
      </c>
      <c r="P1148" s="10" t="n">
        <f aca="false">O1148*L1148</f>
        <v>7344.855</v>
      </c>
      <c r="Q1148" s="5" t="s">
        <v>113</v>
      </c>
      <c r="R1148" s="5" t="n">
        <v>0</v>
      </c>
      <c r="S1148" s="5" t="n">
        <v>30</v>
      </c>
      <c r="T1148" s="12" t="n">
        <f aca="false">(O1148-M1148)/M1148</f>
        <v>-0.000700000000000013</v>
      </c>
      <c r="U1148" s="8" t="n">
        <f aca="false">IF(AND(K1148&lt;=I1148,R1148=0),1,0)</f>
        <v>1</v>
      </c>
      <c r="V1148" s="10" t="n">
        <f aca="false">IF(Q1148="No",P1148,0)</f>
        <v>0</v>
      </c>
    </row>
    <row r="1149" customFormat="false" ht="15" hidden="false" customHeight="false" outlineLevel="0" collapsed="false">
      <c r="A1149" s="5" t="s">
        <v>1283</v>
      </c>
      <c r="B1149" s="5" t="s">
        <v>77</v>
      </c>
      <c r="C1149" s="7" t="n">
        <v>45578</v>
      </c>
      <c r="D1149" s="8" t="str">
        <f aca="false">INDEX(Dim_Supplier!$C$2:$C$21,MATCH(B1149,Dim_Supplier!$A$2:$A$21,0))</f>
        <v>MRO</v>
      </c>
      <c r="E1149" s="8" t="str">
        <f aca="false">INDEX(Dim_Supplier!$B$2:$B$21,MATCH(B1149,Dim_Supplier!$A$2:$A$21,0))</f>
        <v>Apex Industrial Supply</v>
      </c>
      <c r="F1149" s="5" t="s">
        <v>127</v>
      </c>
      <c r="G1149" s="5" t="s">
        <v>112</v>
      </c>
      <c r="H1149" s="8" t="n">
        <f aca="false">INDEX(Lookup_Tables!$B$2:$B$5,MATCH(D1149,Lookup_Tables!$A$2:$A$5,0))</f>
        <v>10</v>
      </c>
      <c r="I1149" s="9" t="n">
        <f aca="false">C1149+H1149</f>
        <v>45588</v>
      </c>
      <c r="J1149" s="5" t="n">
        <v>-2</v>
      </c>
      <c r="K1149" s="9" t="n">
        <f aca="false">I1149+J1149</f>
        <v>45586</v>
      </c>
      <c r="L1149" s="5" t="n">
        <v>149</v>
      </c>
      <c r="M1149" s="10" t="n">
        <f aca="false">INDEX(Dim_Supplier!$F$2:$F$21,MATCH(B1149,Dim_Supplier!$A$2:$A$21,0))</f>
        <v>24.6</v>
      </c>
      <c r="N1149" s="11" t="n">
        <v>0.0675</v>
      </c>
      <c r="O1149" s="10" t="n">
        <f aca="false">M1149*(1+N1149)</f>
        <v>26.2605</v>
      </c>
      <c r="P1149" s="10" t="n">
        <f aca="false">O1149*L1149</f>
        <v>3912.8145</v>
      </c>
      <c r="Q1149" s="5" t="s">
        <v>113</v>
      </c>
      <c r="R1149" s="5" t="n">
        <v>0</v>
      </c>
      <c r="S1149" s="5" t="n">
        <v>45</v>
      </c>
      <c r="T1149" s="12" t="n">
        <f aca="false">(O1149-M1149)/M1149</f>
        <v>0.0675</v>
      </c>
      <c r="U1149" s="8" t="n">
        <f aca="false">IF(AND(K1149&lt;=I1149,R1149=0),1,0)</f>
        <v>1</v>
      </c>
      <c r="V1149" s="10" t="n">
        <f aca="false">IF(Q1149="No",P1149,0)</f>
        <v>0</v>
      </c>
    </row>
    <row r="1150" customFormat="false" ht="15" hidden="false" customHeight="false" outlineLevel="0" collapsed="false">
      <c r="A1150" s="5" t="s">
        <v>1284</v>
      </c>
      <c r="B1150" s="5" t="s">
        <v>86</v>
      </c>
      <c r="C1150" s="7" t="n">
        <v>45584</v>
      </c>
      <c r="D1150" s="8" t="str">
        <f aca="false">INDEX(Dim_Supplier!$C$2:$C$21,MATCH(B1150,Dim_Supplier!$A$2:$A$21,0))</f>
        <v>Logistics</v>
      </c>
      <c r="E1150" s="8" t="str">
        <f aca="false">INDEX(Dim_Supplier!$B$2:$B$21,MATCH(B1150,Dim_Supplier!$A$2:$A$21,0))</f>
        <v>Blue Water Customs Brokerage</v>
      </c>
      <c r="F1150" s="5" t="s">
        <v>146</v>
      </c>
      <c r="G1150" s="5" t="s">
        <v>125</v>
      </c>
      <c r="H1150" s="8" t="n">
        <f aca="false">INDEX(Lookup_Tables!$B$2:$B$5,MATCH(D1150,Lookup_Tables!$A$2:$A$5,0))</f>
        <v>5</v>
      </c>
      <c r="I1150" s="9" t="n">
        <f aca="false">C1150+H1150</f>
        <v>45589</v>
      </c>
      <c r="J1150" s="5" t="n">
        <v>-3</v>
      </c>
      <c r="K1150" s="9" t="n">
        <f aca="false">I1150+J1150</f>
        <v>45586</v>
      </c>
      <c r="L1150" s="5" t="n">
        <v>10</v>
      </c>
      <c r="M1150" s="10" t="n">
        <f aca="false">INDEX(Dim_Supplier!$F$2:$F$21,MATCH(B1150,Dim_Supplier!$A$2:$A$21,0))</f>
        <v>175</v>
      </c>
      <c r="N1150" s="11" t="n">
        <v>0.0214</v>
      </c>
      <c r="O1150" s="10" t="n">
        <f aca="false">M1150*(1+N1150)</f>
        <v>178.745</v>
      </c>
      <c r="P1150" s="10" t="n">
        <f aca="false">O1150*L1150</f>
        <v>1787.45</v>
      </c>
      <c r="Q1150" s="5" t="s">
        <v>113</v>
      </c>
      <c r="R1150" s="5" t="n">
        <v>0</v>
      </c>
      <c r="S1150" s="5" t="n">
        <v>60</v>
      </c>
      <c r="T1150" s="12" t="n">
        <f aca="false">(O1150-M1150)/M1150</f>
        <v>0.0214</v>
      </c>
      <c r="U1150" s="8" t="n">
        <f aca="false">IF(AND(K1150&lt;=I1150,R1150=0),1,0)</f>
        <v>1</v>
      </c>
      <c r="V1150" s="10" t="n">
        <f aca="false">IF(Q1150="No",P1150,0)</f>
        <v>0</v>
      </c>
    </row>
    <row r="1151" customFormat="false" ht="15" hidden="false" customHeight="false" outlineLevel="0" collapsed="false">
      <c r="A1151" s="5" t="s">
        <v>1285</v>
      </c>
      <c r="B1151" s="5" t="s">
        <v>77</v>
      </c>
      <c r="C1151" s="7" t="n">
        <v>45732</v>
      </c>
      <c r="D1151" s="8" t="str">
        <f aca="false">INDEX(Dim_Supplier!$C$2:$C$21,MATCH(B1151,Dim_Supplier!$A$2:$A$21,0))</f>
        <v>MRO</v>
      </c>
      <c r="E1151" s="8" t="str">
        <f aca="false">INDEX(Dim_Supplier!$B$2:$B$21,MATCH(B1151,Dim_Supplier!$A$2:$A$21,0))</f>
        <v>Apex Industrial Supply</v>
      </c>
      <c r="F1151" s="5" t="s">
        <v>132</v>
      </c>
      <c r="G1151" s="5" t="s">
        <v>120</v>
      </c>
      <c r="H1151" s="8" t="n">
        <f aca="false">INDEX(Lookup_Tables!$B$2:$B$5,MATCH(D1151,Lookup_Tables!$A$2:$A$5,0))</f>
        <v>10</v>
      </c>
      <c r="I1151" s="9" t="n">
        <f aca="false">C1151+H1151</f>
        <v>45742</v>
      </c>
      <c r="J1151" s="5" t="n">
        <v>-3</v>
      </c>
      <c r="K1151" s="9" t="n">
        <f aca="false">I1151+J1151</f>
        <v>45739</v>
      </c>
      <c r="L1151" s="5" t="n">
        <v>30</v>
      </c>
      <c r="M1151" s="10" t="n">
        <f aca="false">INDEX(Dim_Supplier!$F$2:$F$21,MATCH(B1151,Dim_Supplier!$A$2:$A$21,0))</f>
        <v>24.6</v>
      </c>
      <c r="N1151" s="11" t="n">
        <v>0.0374</v>
      </c>
      <c r="O1151" s="10" t="n">
        <f aca="false">M1151*(1+N1151)</f>
        <v>25.52004</v>
      </c>
      <c r="P1151" s="10" t="n">
        <f aca="false">O1151*L1151</f>
        <v>765.6012</v>
      </c>
      <c r="Q1151" s="5" t="s">
        <v>113</v>
      </c>
      <c r="R1151" s="5" t="n">
        <v>0</v>
      </c>
      <c r="S1151" s="5" t="n">
        <v>30</v>
      </c>
      <c r="T1151" s="12" t="n">
        <f aca="false">(O1151-M1151)/M1151</f>
        <v>0.0374000000000002</v>
      </c>
      <c r="U1151" s="8" t="n">
        <f aca="false">IF(AND(K1151&lt;=I1151,R1151=0),1,0)</f>
        <v>1</v>
      </c>
      <c r="V1151" s="10" t="n">
        <f aca="false">IF(Q1151="No",P1151,0)</f>
        <v>0</v>
      </c>
    </row>
    <row r="1152" customFormat="false" ht="15" hidden="false" customHeight="false" outlineLevel="0" collapsed="false">
      <c r="A1152" s="5" t="s">
        <v>1286</v>
      </c>
      <c r="B1152" s="5" t="s">
        <v>64</v>
      </c>
      <c r="C1152" s="7" t="n">
        <v>45521</v>
      </c>
      <c r="D1152" s="8" t="str">
        <f aca="false">INDEX(Dim_Supplier!$C$2:$C$21,MATCH(B1152,Dim_Supplier!$A$2:$A$21,0))</f>
        <v>Packaging</v>
      </c>
      <c r="E1152" s="8" t="str">
        <f aca="false">INDEX(Dim_Supplier!$B$2:$B$21,MATCH(B1152,Dim_Supplier!$A$2:$A$21,0))</f>
        <v>Huron Pallet Works</v>
      </c>
      <c r="F1152" s="5" t="s">
        <v>158</v>
      </c>
      <c r="G1152" s="5" t="s">
        <v>120</v>
      </c>
      <c r="H1152" s="8" t="n">
        <f aca="false">INDEX(Lookup_Tables!$B$2:$B$5,MATCH(D1152,Lookup_Tables!$A$2:$A$5,0))</f>
        <v>14</v>
      </c>
      <c r="I1152" s="9" t="n">
        <f aca="false">C1152+H1152</f>
        <v>45535</v>
      </c>
      <c r="J1152" s="5" t="n">
        <v>6</v>
      </c>
      <c r="K1152" s="9" t="n">
        <f aca="false">I1152+J1152</f>
        <v>45541</v>
      </c>
      <c r="L1152" s="5" t="n">
        <v>1369</v>
      </c>
      <c r="M1152" s="10" t="n">
        <f aca="false">INDEX(Dim_Supplier!$F$2:$F$21,MATCH(B1152,Dim_Supplier!$A$2:$A$21,0))</f>
        <v>2.25</v>
      </c>
      <c r="N1152" s="11" t="n">
        <v>0.1342</v>
      </c>
      <c r="O1152" s="10" t="n">
        <f aca="false">M1152*(1+N1152)</f>
        <v>2.55195</v>
      </c>
      <c r="P1152" s="10" t="n">
        <f aca="false">O1152*L1152</f>
        <v>3493.61955</v>
      </c>
      <c r="Q1152" s="5" t="s">
        <v>133</v>
      </c>
      <c r="R1152" s="5" t="n">
        <v>0</v>
      </c>
      <c r="S1152" s="5" t="n">
        <v>30</v>
      </c>
      <c r="T1152" s="12" t="n">
        <f aca="false">(O1152-M1152)/M1152</f>
        <v>0.1342</v>
      </c>
      <c r="U1152" s="8" t="n">
        <f aca="false">IF(AND(K1152&lt;=I1152,R1152=0),1,0)</f>
        <v>0</v>
      </c>
      <c r="V1152" s="10" t="n">
        <f aca="false">IF(Q1152="No",P1152,0)</f>
        <v>3493.61955</v>
      </c>
    </row>
    <row r="1153" customFormat="false" ht="15" hidden="false" customHeight="false" outlineLevel="0" collapsed="false">
      <c r="A1153" s="5" t="s">
        <v>1287</v>
      </c>
      <c r="B1153" s="5" t="s">
        <v>52</v>
      </c>
      <c r="C1153" s="7" t="n">
        <v>46150</v>
      </c>
      <c r="D1153" s="8" t="str">
        <f aca="false">INDEX(Dim_Supplier!$C$2:$C$21,MATCH(B1153,Dim_Supplier!$A$2:$A$21,0))</f>
        <v>Raw Materials</v>
      </c>
      <c r="E1153" s="8" t="str">
        <f aca="false">INDEX(Dim_Supplier!$B$2:$B$21,MATCH(B1153,Dim_Supplier!$A$2:$A$21,0))</f>
        <v>Laurentian Metals Inc.</v>
      </c>
      <c r="F1153" s="5" t="s">
        <v>144</v>
      </c>
      <c r="G1153" s="5" t="s">
        <v>112</v>
      </c>
      <c r="H1153" s="8" t="n">
        <f aca="false">INDEX(Lookup_Tables!$B$2:$B$5,MATCH(D1153,Lookup_Tables!$A$2:$A$5,0))</f>
        <v>21</v>
      </c>
      <c r="I1153" s="9" t="n">
        <f aca="false">C1153+H1153</f>
        <v>46171</v>
      </c>
      <c r="J1153" s="5" t="n">
        <v>1</v>
      </c>
      <c r="K1153" s="9" t="n">
        <f aca="false">I1153+J1153</f>
        <v>46172</v>
      </c>
      <c r="L1153" s="5" t="n">
        <v>1924</v>
      </c>
      <c r="M1153" s="10" t="n">
        <f aca="false">INDEX(Dim_Supplier!$F$2:$F$21,MATCH(B1153,Dim_Supplier!$A$2:$A$21,0))</f>
        <v>61.2</v>
      </c>
      <c r="N1153" s="11" t="n">
        <v>0.0274</v>
      </c>
      <c r="O1153" s="10" t="n">
        <f aca="false">M1153*(1+N1153)</f>
        <v>62.87688</v>
      </c>
      <c r="P1153" s="10" t="n">
        <f aca="false">O1153*L1153</f>
        <v>120975.11712</v>
      </c>
      <c r="Q1153" s="5" t="s">
        <v>113</v>
      </c>
      <c r="R1153" s="5" t="n">
        <v>0</v>
      </c>
      <c r="S1153" s="5" t="n">
        <v>30</v>
      </c>
      <c r="T1153" s="12" t="n">
        <f aca="false">(O1153-M1153)/M1153</f>
        <v>0.0274000000000001</v>
      </c>
      <c r="U1153" s="8" t="n">
        <f aca="false">IF(AND(K1153&lt;=I1153,R1153=0),1,0)</f>
        <v>0</v>
      </c>
      <c r="V1153" s="10" t="n">
        <f aca="false">IF(Q1153="No",P1153,0)</f>
        <v>0</v>
      </c>
    </row>
    <row r="1154" customFormat="false" ht="15" hidden="false" customHeight="false" outlineLevel="0" collapsed="false">
      <c r="A1154" s="5" t="s">
        <v>1288</v>
      </c>
      <c r="B1154" s="5" t="s">
        <v>82</v>
      </c>
      <c r="C1154" s="7" t="n">
        <v>45318</v>
      </c>
      <c r="D1154" s="8" t="str">
        <f aca="false">INDEX(Dim_Supplier!$C$2:$C$21,MATCH(B1154,Dim_Supplier!$A$2:$A$21,0))</f>
        <v>Logistics</v>
      </c>
      <c r="E1154" s="8" t="str">
        <f aca="false">INDEX(Dim_Supplier!$B$2:$B$21,MATCH(B1154,Dim_Supplier!$A$2:$A$21,0))</f>
        <v>Maple Route Logistics</v>
      </c>
      <c r="F1154" s="5" t="s">
        <v>146</v>
      </c>
      <c r="G1154" s="5" t="s">
        <v>112</v>
      </c>
      <c r="H1154" s="8" t="n">
        <f aca="false">INDEX(Lookup_Tables!$B$2:$B$5,MATCH(D1154,Lookup_Tables!$A$2:$A$5,0))</f>
        <v>5</v>
      </c>
      <c r="I1154" s="9" t="n">
        <f aca="false">C1154+H1154</f>
        <v>45323</v>
      </c>
      <c r="J1154" s="5" t="n">
        <v>-2</v>
      </c>
      <c r="K1154" s="9" t="n">
        <f aca="false">I1154+J1154</f>
        <v>45321</v>
      </c>
      <c r="L1154" s="5" t="n">
        <v>28</v>
      </c>
      <c r="M1154" s="10" t="n">
        <f aca="false">INDEX(Dim_Supplier!$F$2:$F$21,MATCH(B1154,Dim_Supplier!$A$2:$A$21,0))</f>
        <v>285</v>
      </c>
      <c r="N1154" s="11" t="n">
        <v>0.0776</v>
      </c>
      <c r="O1154" s="10" t="n">
        <f aca="false">M1154*(1+N1154)</f>
        <v>307.116</v>
      </c>
      <c r="P1154" s="10" t="n">
        <f aca="false">O1154*L1154</f>
        <v>8599.248</v>
      </c>
      <c r="Q1154" s="5" t="s">
        <v>113</v>
      </c>
      <c r="R1154" s="5" t="n">
        <v>0</v>
      </c>
      <c r="S1154" s="5" t="n">
        <v>60</v>
      </c>
      <c r="T1154" s="12" t="n">
        <f aca="false">(O1154-M1154)/M1154</f>
        <v>0.0776</v>
      </c>
      <c r="U1154" s="8" t="n">
        <f aca="false">IF(AND(K1154&lt;=I1154,R1154=0),1,0)</f>
        <v>1</v>
      </c>
      <c r="V1154" s="10" t="n">
        <f aca="false">IF(Q1154="No",P1154,0)</f>
        <v>0</v>
      </c>
    </row>
    <row r="1155" customFormat="false" ht="15" hidden="false" customHeight="false" outlineLevel="0" collapsed="false">
      <c r="A1155" s="5" t="s">
        <v>1289</v>
      </c>
      <c r="B1155" s="5" t="s">
        <v>57</v>
      </c>
      <c r="C1155" s="7" t="n">
        <v>45404</v>
      </c>
      <c r="D1155" s="8" t="str">
        <f aca="false">INDEX(Dim_Supplier!$C$2:$C$21,MATCH(B1155,Dim_Supplier!$A$2:$A$21,0))</f>
        <v>Packaging</v>
      </c>
      <c r="E1155" s="8" t="str">
        <f aca="false">INDEX(Dim_Supplier!$B$2:$B$21,MATCH(B1155,Dim_Supplier!$A$2:$A$21,0))</f>
        <v>Great Lakes Packaging Co.</v>
      </c>
      <c r="F1155" s="5" t="s">
        <v>117</v>
      </c>
      <c r="G1155" s="5" t="s">
        <v>125</v>
      </c>
      <c r="H1155" s="8" t="n">
        <f aca="false">INDEX(Lookup_Tables!$B$2:$B$5,MATCH(D1155,Lookup_Tables!$A$2:$A$5,0))</f>
        <v>14</v>
      </c>
      <c r="I1155" s="9" t="n">
        <f aca="false">C1155+H1155</f>
        <v>45418</v>
      </c>
      <c r="J1155" s="5" t="n">
        <v>-1</v>
      </c>
      <c r="K1155" s="9" t="n">
        <f aca="false">I1155+J1155</f>
        <v>45417</v>
      </c>
      <c r="L1155" s="5" t="n">
        <v>1211</v>
      </c>
      <c r="M1155" s="10" t="n">
        <f aca="false">INDEX(Dim_Supplier!$F$2:$F$21,MATCH(B1155,Dim_Supplier!$A$2:$A$21,0))</f>
        <v>4.35</v>
      </c>
      <c r="N1155" s="11" t="n">
        <v>-0.005</v>
      </c>
      <c r="O1155" s="10" t="n">
        <f aca="false">M1155*(1+N1155)</f>
        <v>4.32825</v>
      </c>
      <c r="P1155" s="10" t="n">
        <f aca="false">O1155*L1155</f>
        <v>5241.51075</v>
      </c>
      <c r="Q1155" s="5" t="s">
        <v>113</v>
      </c>
      <c r="R1155" s="5" t="n">
        <v>0</v>
      </c>
      <c r="S1155" s="5" t="n">
        <v>45</v>
      </c>
      <c r="T1155" s="12" t="n">
        <f aca="false">(O1155-M1155)/M1155</f>
        <v>-0.00499999999999999</v>
      </c>
      <c r="U1155" s="8" t="n">
        <f aca="false">IF(AND(K1155&lt;=I1155,R1155=0),1,0)</f>
        <v>1</v>
      </c>
      <c r="V1155" s="10" t="n">
        <f aca="false">IF(Q1155="No",P1155,0)</f>
        <v>0</v>
      </c>
    </row>
    <row r="1156" customFormat="false" ht="15" hidden="false" customHeight="false" outlineLevel="0" collapsed="false">
      <c r="A1156" s="5" t="s">
        <v>1290</v>
      </c>
      <c r="B1156" s="5" t="s">
        <v>46</v>
      </c>
      <c r="C1156" s="7" t="n">
        <v>45654</v>
      </c>
      <c r="D1156" s="8" t="str">
        <f aca="false">INDEX(Dim_Supplier!$C$2:$C$21,MATCH(B1156,Dim_Supplier!$A$2:$A$21,0))</f>
        <v>Raw Materials</v>
      </c>
      <c r="E1156" s="8" t="str">
        <f aca="false">INDEX(Dim_Supplier!$B$2:$B$21,MATCH(B1156,Dim_Supplier!$A$2:$A$21,0))</f>
        <v>Niagara Alloy Supply</v>
      </c>
      <c r="F1156" s="5" t="s">
        <v>148</v>
      </c>
      <c r="G1156" s="5" t="s">
        <v>112</v>
      </c>
      <c r="H1156" s="8" t="n">
        <f aca="false">INDEX(Lookup_Tables!$B$2:$B$5,MATCH(D1156,Lookup_Tables!$A$2:$A$5,0))</f>
        <v>21</v>
      </c>
      <c r="I1156" s="9" t="n">
        <f aca="false">C1156+H1156</f>
        <v>45675</v>
      </c>
      <c r="J1156" s="5" t="n">
        <v>-1</v>
      </c>
      <c r="K1156" s="9" t="n">
        <f aca="false">I1156+J1156</f>
        <v>45674</v>
      </c>
      <c r="L1156" s="5" t="n">
        <v>1138</v>
      </c>
      <c r="M1156" s="10" t="n">
        <f aca="false">INDEX(Dim_Supplier!$F$2:$F$21,MATCH(B1156,Dim_Supplier!$A$2:$A$21,0))</f>
        <v>46.5</v>
      </c>
      <c r="N1156" s="11" t="n">
        <v>0.0124</v>
      </c>
      <c r="O1156" s="10" t="n">
        <f aca="false">M1156*(1+N1156)</f>
        <v>47.0766</v>
      </c>
      <c r="P1156" s="10" t="n">
        <f aca="false">O1156*L1156</f>
        <v>53573.1708</v>
      </c>
      <c r="Q1156" s="5" t="s">
        <v>113</v>
      </c>
      <c r="R1156" s="5" t="n">
        <v>0</v>
      </c>
      <c r="S1156" s="5" t="n">
        <v>45</v>
      </c>
      <c r="T1156" s="12" t="n">
        <f aca="false">(O1156-M1156)/M1156</f>
        <v>0.0124</v>
      </c>
      <c r="U1156" s="8" t="n">
        <f aca="false">IF(AND(K1156&lt;=I1156,R1156=0),1,0)</f>
        <v>1</v>
      </c>
      <c r="V1156" s="10" t="n">
        <f aca="false">IF(Q1156="No",P1156,0)</f>
        <v>0</v>
      </c>
    </row>
    <row r="1157" customFormat="false" ht="15" hidden="false" customHeight="false" outlineLevel="0" collapsed="false">
      <c r="A1157" s="5" t="s">
        <v>1291</v>
      </c>
      <c r="B1157" s="5" t="s">
        <v>75</v>
      </c>
      <c r="C1157" s="7" t="n">
        <v>45367</v>
      </c>
      <c r="D1157" s="8" t="str">
        <f aca="false">INDEX(Dim_Supplier!$C$2:$C$21,MATCH(B1157,Dim_Supplier!$A$2:$A$21,0))</f>
        <v>MRO</v>
      </c>
      <c r="E1157" s="8" t="str">
        <f aca="false">INDEX(Dim_Supplier!$B$2:$B$21,MATCH(B1157,Dim_Supplier!$A$2:$A$21,0))</f>
        <v>Sterling Lubricants Inc.</v>
      </c>
      <c r="F1157" s="5" t="s">
        <v>111</v>
      </c>
      <c r="G1157" s="5" t="s">
        <v>129</v>
      </c>
      <c r="H1157" s="8" t="n">
        <f aca="false">INDEX(Lookup_Tables!$B$2:$B$5,MATCH(D1157,Lookup_Tables!$A$2:$A$5,0))</f>
        <v>10</v>
      </c>
      <c r="I1157" s="9" t="n">
        <f aca="false">C1157+H1157</f>
        <v>45377</v>
      </c>
      <c r="J1157" s="5" t="n">
        <v>-4</v>
      </c>
      <c r="K1157" s="9" t="n">
        <f aca="false">I1157+J1157</f>
        <v>45373</v>
      </c>
      <c r="L1157" s="5" t="n">
        <v>138</v>
      </c>
      <c r="M1157" s="10" t="n">
        <f aca="false">INDEX(Dim_Supplier!$F$2:$F$21,MATCH(B1157,Dim_Supplier!$A$2:$A$21,0))</f>
        <v>27.1</v>
      </c>
      <c r="N1157" s="11" t="n">
        <v>0.0389</v>
      </c>
      <c r="O1157" s="10" t="n">
        <f aca="false">M1157*(1+N1157)</f>
        <v>28.15419</v>
      </c>
      <c r="P1157" s="10" t="n">
        <f aca="false">O1157*L1157</f>
        <v>3885.27822</v>
      </c>
      <c r="Q1157" s="5" t="s">
        <v>113</v>
      </c>
      <c r="R1157" s="5" t="n">
        <v>0</v>
      </c>
      <c r="S1157" s="5" t="n">
        <v>45</v>
      </c>
      <c r="T1157" s="12" t="n">
        <f aca="false">(O1157-M1157)/M1157</f>
        <v>0.0388999999999999</v>
      </c>
      <c r="U1157" s="8" t="n">
        <f aca="false">IF(AND(K1157&lt;=I1157,R1157=0),1,0)</f>
        <v>1</v>
      </c>
      <c r="V1157" s="10" t="n">
        <f aca="false">IF(Q1157="No",P1157,0)</f>
        <v>0</v>
      </c>
    </row>
    <row r="1158" customFormat="false" ht="15" hidden="false" customHeight="false" outlineLevel="0" collapsed="false">
      <c r="A1158" s="5" t="s">
        <v>1292</v>
      </c>
      <c r="B1158" s="5" t="s">
        <v>82</v>
      </c>
      <c r="C1158" s="7" t="n">
        <v>45328</v>
      </c>
      <c r="D1158" s="8" t="str">
        <f aca="false">INDEX(Dim_Supplier!$C$2:$C$21,MATCH(B1158,Dim_Supplier!$A$2:$A$21,0))</f>
        <v>Logistics</v>
      </c>
      <c r="E1158" s="8" t="str">
        <f aca="false">INDEX(Dim_Supplier!$B$2:$B$21,MATCH(B1158,Dim_Supplier!$A$2:$A$21,0))</f>
        <v>Maple Route Logistics</v>
      </c>
      <c r="F1158" s="5" t="s">
        <v>124</v>
      </c>
      <c r="G1158" s="5" t="s">
        <v>112</v>
      </c>
      <c r="H1158" s="8" t="n">
        <f aca="false">INDEX(Lookup_Tables!$B$2:$B$5,MATCH(D1158,Lookup_Tables!$A$2:$A$5,0))</f>
        <v>5</v>
      </c>
      <c r="I1158" s="9" t="n">
        <f aca="false">C1158+H1158</f>
        <v>45333</v>
      </c>
      <c r="J1158" s="5" t="n">
        <v>0</v>
      </c>
      <c r="K1158" s="9" t="n">
        <f aca="false">I1158+J1158</f>
        <v>45333</v>
      </c>
      <c r="L1158" s="5" t="n">
        <v>15</v>
      </c>
      <c r="M1158" s="10" t="n">
        <f aca="false">INDEX(Dim_Supplier!$F$2:$F$21,MATCH(B1158,Dim_Supplier!$A$2:$A$21,0))</f>
        <v>285</v>
      </c>
      <c r="N1158" s="11" t="n">
        <v>0.0447</v>
      </c>
      <c r="O1158" s="10" t="n">
        <f aca="false">M1158*(1+N1158)</f>
        <v>297.7395</v>
      </c>
      <c r="P1158" s="10" t="n">
        <f aca="false">O1158*L1158</f>
        <v>4466.0925</v>
      </c>
      <c r="Q1158" s="5" t="s">
        <v>113</v>
      </c>
      <c r="R1158" s="5" t="n">
        <v>0</v>
      </c>
      <c r="S1158" s="5" t="n">
        <v>30</v>
      </c>
      <c r="T1158" s="12" t="n">
        <f aca="false">(O1158-M1158)/M1158</f>
        <v>0.0446999999999999</v>
      </c>
      <c r="U1158" s="8" t="n">
        <f aca="false">IF(AND(K1158&lt;=I1158,R1158=0),1,0)</f>
        <v>1</v>
      </c>
      <c r="V1158" s="10" t="n">
        <f aca="false">IF(Q1158="No",P1158,0)</f>
        <v>0</v>
      </c>
    </row>
    <row r="1159" customFormat="false" ht="15" hidden="false" customHeight="false" outlineLevel="0" collapsed="false">
      <c r="A1159" s="5" t="s">
        <v>1293</v>
      </c>
      <c r="B1159" s="5" t="s">
        <v>79</v>
      </c>
      <c r="C1159" s="7" t="n">
        <v>46043</v>
      </c>
      <c r="D1159" s="8" t="str">
        <f aca="false">INDEX(Dim_Supplier!$C$2:$C$21,MATCH(B1159,Dim_Supplier!$A$2:$A$21,0))</f>
        <v>Logistics</v>
      </c>
      <c r="E1159" s="8" t="str">
        <f aca="false">INDEX(Dim_Supplier!$B$2:$B$21,MATCH(B1159,Dim_Supplier!$A$2:$A$21,0))</f>
        <v>Niagara Freight Solutions</v>
      </c>
      <c r="F1159" s="5" t="s">
        <v>237</v>
      </c>
      <c r="G1159" s="5" t="s">
        <v>120</v>
      </c>
      <c r="H1159" s="8" t="n">
        <f aca="false">INDEX(Lookup_Tables!$B$2:$B$5,MATCH(D1159,Lookup_Tables!$A$2:$A$5,0))</f>
        <v>5</v>
      </c>
      <c r="I1159" s="9" t="n">
        <f aca="false">C1159+H1159</f>
        <v>46048</v>
      </c>
      <c r="J1159" s="5" t="n">
        <v>0</v>
      </c>
      <c r="K1159" s="9" t="n">
        <f aca="false">I1159+J1159</f>
        <v>46048</v>
      </c>
      <c r="L1159" s="5" t="n">
        <v>6</v>
      </c>
      <c r="M1159" s="10" t="n">
        <f aca="false">INDEX(Dim_Supplier!$F$2:$F$21,MATCH(B1159,Dim_Supplier!$A$2:$A$21,0))</f>
        <v>340</v>
      </c>
      <c r="N1159" s="11" t="n">
        <v>0.0309</v>
      </c>
      <c r="O1159" s="10" t="n">
        <f aca="false">M1159*(1+N1159)</f>
        <v>350.506</v>
      </c>
      <c r="P1159" s="10" t="n">
        <f aca="false">O1159*L1159</f>
        <v>2103.036</v>
      </c>
      <c r="Q1159" s="5" t="s">
        <v>133</v>
      </c>
      <c r="R1159" s="5" t="n">
        <v>0</v>
      </c>
      <c r="S1159" s="5" t="n">
        <v>45</v>
      </c>
      <c r="T1159" s="12" t="n">
        <f aca="false">(O1159-M1159)/M1159</f>
        <v>0.0308999999999999</v>
      </c>
      <c r="U1159" s="8" t="n">
        <f aca="false">IF(AND(K1159&lt;=I1159,R1159=0),1,0)</f>
        <v>1</v>
      </c>
      <c r="V1159" s="10" t="n">
        <f aca="false">IF(Q1159="No",P1159,0)</f>
        <v>2103.036</v>
      </c>
    </row>
    <row r="1160" customFormat="false" ht="15" hidden="false" customHeight="false" outlineLevel="0" collapsed="false">
      <c r="A1160" s="5" t="s">
        <v>1294</v>
      </c>
      <c r="B1160" s="5" t="s">
        <v>41</v>
      </c>
      <c r="C1160" s="7" t="n">
        <v>45360</v>
      </c>
      <c r="D1160" s="8" t="str">
        <f aca="false">INDEX(Dim_Supplier!$C$2:$C$21,MATCH(B1160,Dim_Supplier!$A$2:$A$21,0))</f>
        <v>Raw Materials</v>
      </c>
      <c r="E1160" s="8" t="str">
        <f aca="false">INDEX(Dim_Supplier!$B$2:$B$21,MATCH(B1160,Dim_Supplier!$A$2:$A$21,0))</f>
        <v>Ontario Steel Partners</v>
      </c>
      <c r="F1160" s="5" t="s">
        <v>142</v>
      </c>
      <c r="G1160" s="5" t="s">
        <v>112</v>
      </c>
      <c r="H1160" s="8" t="n">
        <f aca="false">INDEX(Lookup_Tables!$B$2:$B$5,MATCH(D1160,Lookup_Tables!$A$2:$A$5,0))</f>
        <v>21</v>
      </c>
      <c r="I1160" s="9" t="n">
        <f aca="false">C1160+H1160</f>
        <v>45381</v>
      </c>
      <c r="J1160" s="5" t="n">
        <v>-3</v>
      </c>
      <c r="K1160" s="9" t="n">
        <f aca="false">I1160+J1160</f>
        <v>45378</v>
      </c>
      <c r="L1160" s="5" t="n">
        <v>1508</v>
      </c>
      <c r="M1160" s="10" t="n">
        <f aca="false">INDEX(Dim_Supplier!$F$2:$F$21,MATCH(B1160,Dim_Supplier!$A$2:$A$21,0))</f>
        <v>58</v>
      </c>
      <c r="N1160" s="11" t="n">
        <v>0.0045</v>
      </c>
      <c r="O1160" s="10" t="n">
        <f aca="false">M1160*(1+N1160)</f>
        <v>58.261</v>
      </c>
      <c r="P1160" s="10" t="n">
        <f aca="false">O1160*L1160</f>
        <v>87857.588</v>
      </c>
      <c r="Q1160" s="5" t="s">
        <v>113</v>
      </c>
      <c r="R1160" s="5" t="n">
        <v>0</v>
      </c>
      <c r="S1160" s="5" t="n">
        <v>45</v>
      </c>
      <c r="T1160" s="12" t="n">
        <f aca="false">(O1160-M1160)/M1160</f>
        <v>0.00449999999999993</v>
      </c>
      <c r="U1160" s="8" t="n">
        <f aca="false">IF(AND(K1160&lt;=I1160,R1160=0),1,0)</f>
        <v>1</v>
      </c>
      <c r="V1160" s="10" t="n">
        <f aca="false">IF(Q1160="No",P1160,0)</f>
        <v>0</v>
      </c>
    </row>
    <row r="1161" customFormat="false" ht="15" hidden="false" customHeight="false" outlineLevel="0" collapsed="false">
      <c r="A1161" s="5" t="s">
        <v>1295</v>
      </c>
      <c r="B1161" s="5" t="s">
        <v>71</v>
      </c>
      <c r="C1161" s="7" t="n">
        <v>45787</v>
      </c>
      <c r="D1161" s="8" t="str">
        <f aca="false">INDEX(Dim_Supplier!$C$2:$C$21,MATCH(B1161,Dim_Supplier!$A$2:$A$21,0))</f>
        <v>MRO</v>
      </c>
      <c r="E1161" s="8" t="str">
        <f aca="false">INDEX(Dim_Supplier!$B$2:$B$21,MATCH(B1161,Dim_Supplier!$A$2:$A$21,0))</f>
        <v>CanSafe Equipment Ltd.</v>
      </c>
      <c r="F1161" s="5" t="s">
        <v>132</v>
      </c>
      <c r="G1161" s="5" t="s">
        <v>112</v>
      </c>
      <c r="H1161" s="8" t="n">
        <f aca="false">INDEX(Lookup_Tables!$B$2:$B$5,MATCH(D1161,Lookup_Tables!$A$2:$A$5,0))</f>
        <v>10</v>
      </c>
      <c r="I1161" s="9" t="n">
        <f aca="false">C1161+H1161</f>
        <v>45797</v>
      </c>
      <c r="J1161" s="5" t="n">
        <v>2</v>
      </c>
      <c r="K1161" s="9" t="n">
        <f aca="false">I1161+J1161</f>
        <v>45799</v>
      </c>
      <c r="L1161" s="5" t="n">
        <v>79</v>
      </c>
      <c r="M1161" s="10" t="n">
        <f aca="false">INDEX(Dim_Supplier!$F$2:$F$21,MATCH(B1161,Dim_Supplier!$A$2:$A$21,0))</f>
        <v>18.75</v>
      </c>
      <c r="N1161" s="11" t="n">
        <v>0.0034</v>
      </c>
      <c r="O1161" s="10" t="n">
        <f aca="false">M1161*(1+N1161)</f>
        <v>18.81375</v>
      </c>
      <c r="P1161" s="10" t="n">
        <f aca="false">O1161*L1161</f>
        <v>1486.28625</v>
      </c>
      <c r="Q1161" s="5" t="s">
        <v>113</v>
      </c>
      <c r="R1161" s="5" t="n">
        <v>0</v>
      </c>
      <c r="S1161" s="5" t="n">
        <v>45</v>
      </c>
      <c r="T1161" s="12" t="n">
        <f aca="false">(O1161-M1161)/M1161</f>
        <v>0.00340000000000013</v>
      </c>
      <c r="U1161" s="8" t="n">
        <f aca="false">IF(AND(K1161&lt;=I1161,R1161=0),1,0)</f>
        <v>0</v>
      </c>
      <c r="V1161" s="10" t="n">
        <f aca="false">IF(Q1161="No",P1161,0)</f>
        <v>0</v>
      </c>
    </row>
    <row r="1162" customFormat="false" ht="15" hidden="false" customHeight="false" outlineLevel="0" collapsed="false">
      <c r="A1162" s="5" t="s">
        <v>1296</v>
      </c>
      <c r="B1162" s="5" t="s">
        <v>71</v>
      </c>
      <c r="C1162" s="7" t="n">
        <v>45848</v>
      </c>
      <c r="D1162" s="8" t="str">
        <f aca="false">INDEX(Dim_Supplier!$C$2:$C$21,MATCH(B1162,Dim_Supplier!$A$2:$A$21,0))</f>
        <v>MRO</v>
      </c>
      <c r="E1162" s="8" t="str">
        <f aca="false">INDEX(Dim_Supplier!$B$2:$B$21,MATCH(B1162,Dim_Supplier!$A$2:$A$21,0))</f>
        <v>CanSafe Equipment Ltd.</v>
      </c>
      <c r="F1162" s="5" t="s">
        <v>179</v>
      </c>
      <c r="G1162" s="5" t="s">
        <v>120</v>
      </c>
      <c r="H1162" s="8" t="n">
        <f aca="false">INDEX(Lookup_Tables!$B$2:$B$5,MATCH(D1162,Lookup_Tables!$A$2:$A$5,0))</f>
        <v>10</v>
      </c>
      <c r="I1162" s="9" t="n">
        <f aca="false">C1162+H1162</f>
        <v>45858</v>
      </c>
      <c r="J1162" s="5" t="n">
        <v>0</v>
      </c>
      <c r="K1162" s="9" t="n">
        <f aca="false">I1162+J1162</f>
        <v>45858</v>
      </c>
      <c r="L1162" s="5" t="n">
        <v>198</v>
      </c>
      <c r="M1162" s="10" t="n">
        <f aca="false">INDEX(Dim_Supplier!$F$2:$F$21,MATCH(B1162,Dim_Supplier!$A$2:$A$21,0))</f>
        <v>18.75</v>
      </c>
      <c r="N1162" s="11" t="n">
        <v>0.0356</v>
      </c>
      <c r="O1162" s="10" t="n">
        <f aca="false">M1162*(1+N1162)</f>
        <v>19.4175</v>
      </c>
      <c r="P1162" s="10" t="n">
        <f aca="false">O1162*L1162</f>
        <v>3844.665</v>
      </c>
      <c r="Q1162" s="5" t="s">
        <v>113</v>
      </c>
      <c r="R1162" s="5" t="n">
        <v>0</v>
      </c>
      <c r="S1162" s="5" t="n">
        <v>30</v>
      </c>
      <c r="T1162" s="12" t="n">
        <f aca="false">(O1162-M1162)/M1162</f>
        <v>0.0356</v>
      </c>
      <c r="U1162" s="8" t="n">
        <f aca="false">IF(AND(K1162&lt;=I1162,R1162=0),1,0)</f>
        <v>1</v>
      </c>
      <c r="V1162" s="10" t="n">
        <f aca="false">IF(Q1162="No",P1162,0)</f>
        <v>0</v>
      </c>
    </row>
    <row r="1163" customFormat="false" ht="15" hidden="false" customHeight="false" outlineLevel="0" collapsed="false">
      <c r="A1163" s="5" t="s">
        <v>1297</v>
      </c>
      <c r="B1163" s="5" t="s">
        <v>52</v>
      </c>
      <c r="C1163" s="7" t="n">
        <v>45727</v>
      </c>
      <c r="D1163" s="8" t="str">
        <f aca="false">INDEX(Dim_Supplier!$C$2:$C$21,MATCH(B1163,Dim_Supplier!$A$2:$A$21,0))</f>
        <v>Raw Materials</v>
      </c>
      <c r="E1163" s="8" t="str">
        <f aca="false">INDEX(Dim_Supplier!$B$2:$B$21,MATCH(B1163,Dim_Supplier!$A$2:$A$21,0))</f>
        <v>Laurentian Metals Inc.</v>
      </c>
      <c r="F1163" s="5" t="s">
        <v>148</v>
      </c>
      <c r="G1163" s="5" t="s">
        <v>112</v>
      </c>
      <c r="H1163" s="8" t="n">
        <f aca="false">INDEX(Lookup_Tables!$B$2:$B$5,MATCH(D1163,Lookup_Tables!$A$2:$A$5,0))</f>
        <v>21</v>
      </c>
      <c r="I1163" s="9" t="n">
        <f aca="false">C1163+H1163</f>
        <v>45748</v>
      </c>
      <c r="J1163" s="5" t="n">
        <v>-4</v>
      </c>
      <c r="K1163" s="9" t="n">
        <f aca="false">I1163+J1163</f>
        <v>45744</v>
      </c>
      <c r="L1163" s="5" t="n">
        <v>332</v>
      </c>
      <c r="M1163" s="10" t="n">
        <f aca="false">INDEX(Dim_Supplier!$F$2:$F$21,MATCH(B1163,Dim_Supplier!$A$2:$A$21,0))</f>
        <v>61.2</v>
      </c>
      <c r="N1163" s="11" t="n">
        <v>0.0239</v>
      </c>
      <c r="O1163" s="10" t="n">
        <f aca="false">M1163*(1+N1163)</f>
        <v>62.66268</v>
      </c>
      <c r="P1163" s="10" t="n">
        <f aca="false">O1163*L1163</f>
        <v>20804.00976</v>
      </c>
      <c r="Q1163" s="5" t="s">
        <v>113</v>
      </c>
      <c r="R1163" s="5" t="n">
        <v>0</v>
      </c>
      <c r="S1163" s="5" t="n">
        <v>30</v>
      </c>
      <c r="T1163" s="12" t="n">
        <f aca="false">(O1163-M1163)/M1163</f>
        <v>0.0239</v>
      </c>
      <c r="U1163" s="8" t="n">
        <f aca="false">IF(AND(K1163&lt;=I1163,R1163=0),1,0)</f>
        <v>1</v>
      </c>
      <c r="V1163" s="10" t="n">
        <f aca="false">IF(Q1163="No",P1163,0)</f>
        <v>0</v>
      </c>
    </row>
    <row r="1164" customFormat="false" ht="15" hidden="false" customHeight="false" outlineLevel="0" collapsed="false">
      <c r="A1164" s="5" t="s">
        <v>1298</v>
      </c>
      <c r="B1164" s="5" t="s">
        <v>84</v>
      </c>
      <c r="C1164" s="7" t="n">
        <v>46152</v>
      </c>
      <c r="D1164" s="8" t="str">
        <f aca="false">INDEX(Dim_Supplier!$C$2:$C$21,MATCH(B1164,Dim_Supplier!$A$2:$A$21,0))</f>
        <v>Logistics</v>
      </c>
      <c r="E1164" s="8" t="str">
        <f aca="false">INDEX(Dim_Supplier!$B$2:$B$21,MATCH(B1164,Dim_Supplier!$A$2:$A$21,0))</f>
        <v>Trans-Canada Carriers</v>
      </c>
      <c r="F1164" s="5" t="s">
        <v>237</v>
      </c>
      <c r="G1164" s="5" t="s">
        <v>125</v>
      </c>
      <c r="H1164" s="8" t="n">
        <f aca="false">INDEX(Lookup_Tables!$B$2:$B$5,MATCH(D1164,Lookup_Tables!$A$2:$A$5,0))</f>
        <v>5</v>
      </c>
      <c r="I1164" s="9" t="n">
        <f aca="false">C1164+H1164</f>
        <v>46157</v>
      </c>
      <c r="J1164" s="5" t="n">
        <v>4</v>
      </c>
      <c r="K1164" s="9" t="n">
        <f aca="false">I1164+J1164</f>
        <v>46161</v>
      </c>
      <c r="L1164" s="5" t="n">
        <v>18</v>
      </c>
      <c r="M1164" s="10" t="n">
        <f aca="false">INDEX(Dim_Supplier!$F$2:$F$21,MATCH(B1164,Dim_Supplier!$A$2:$A$21,0))</f>
        <v>210</v>
      </c>
      <c r="N1164" s="11" t="n">
        <v>0.1255</v>
      </c>
      <c r="O1164" s="10" t="n">
        <f aca="false">M1164*(1+N1164)</f>
        <v>236.355</v>
      </c>
      <c r="P1164" s="10" t="n">
        <f aca="false">O1164*L1164</f>
        <v>4254.39</v>
      </c>
      <c r="Q1164" s="5" t="s">
        <v>133</v>
      </c>
      <c r="R1164" s="5" t="n">
        <v>0</v>
      </c>
      <c r="S1164" s="5" t="n">
        <v>45</v>
      </c>
      <c r="T1164" s="12" t="n">
        <f aca="false">(O1164-M1164)/M1164</f>
        <v>0.1255</v>
      </c>
      <c r="U1164" s="8" t="n">
        <f aca="false">IF(AND(K1164&lt;=I1164,R1164=0),1,0)</f>
        <v>0</v>
      </c>
      <c r="V1164" s="10" t="n">
        <f aca="false">IF(Q1164="No",P1164,0)</f>
        <v>4254.39</v>
      </c>
    </row>
    <row r="1165" customFormat="false" ht="15" hidden="false" customHeight="false" outlineLevel="0" collapsed="false">
      <c r="A1165" s="5" t="s">
        <v>1299</v>
      </c>
      <c r="B1165" s="5" t="s">
        <v>41</v>
      </c>
      <c r="C1165" s="7" t="n">
        <v>46082</v>
      </c>
      <c r="D1165" s="8" t="str">
        <f aca="false">INDEX(Dim_Supplier!$C$2:$C$21,MATCH(B1165,Dim_Supplier!$A$2:$A$21,0))</f>
        <v>Raw Materials</v>
      </c>
      <c r="E1165" s="8" t="str">
        <f aca="false">INDEX(Dim_Supplier!$B$2:$B$21,MATCH(B1165,Dim_Supplier!$A$2:$A$21,0))</f>
        <v>Ontario Steel Partners</v>
      </c>
      <c r="F1165" s="5" t="s">
        <v>139</v>
      </c>
      <c r="G1165" s="5" t="s">
        <v>120</v>
      </c>
      <c r="H1165" s="8" t="n">
        <f aca="false">INDEX(Lookup_Tables!$B$2:$B$5,MATCH(D1165,Lookup_Tables!$A$2:$A$5,0))</f>
        <v>21</v>
      </c>
      <c r="I1165" s="9" t="n">
        <f aca="false">C1165+H1165</f>
        <v>46103</v>
      </c>
      <c r="J1165" s="5" t="n">
        <v>-4</v>
      </c>
      <c r="K1165" s="9" t="n">
        <f aca="false">I1165+J1165</f>
        <v>46099</v>
      </c>
      <c r="L1165" s="5" t="n">
        <v>1756</v>
      </c>
      <c r="M1165" s="10" t="n">
        <f aca="false">INDEX(Dim_Supplier!$F$2:$F$21,MATCH(B1165,Dim_Supplier!$A$2:$A$21,0))</f>
        <v>58</v>
      </c>
      <c r="N1165" s="11" t="n">
        <v>-0.0083</v>
      </c>
      <c r="O1165" s="10" t="n">
        <f aca="false">M1165*(1+N1165)</f>
        <v>57.5186</v>
      </c>
      <c r="P1165" s="10" t="n">
        <f aca="false">O1165*L1165</f>
        <v>101002.6616</v>
      </c>
      <c r="Q1165" s="5" t="s">
        <v>113</v>
      </c>
      <c r="R1165" s="5" t="n">
        <v>0</v>
      </c>
      <c r="S1165" s="5" t="n">
        <v>60</v>
      </c>
      <c r="T1165" s="12" t="n">
        <f aca="false">(O1165-M1165)/M1165</f>
        <v>-0.00830000000000001</v>
      </c>
      <c r="U1165" s="8" t="n">
        <f aca="false">IF(AND(K1165&lt;=I1165,R1165=0),1,0)</f>
        <v>1</v>
      </c>
      <c r="V1165" s="10" t="n">
        <f aca="false">IF(Q1165="No",P1165,0)</f>
        <v>0</v>
      </c>
    </row>
    <row r="1166" customFormat="false" ht="15" hidden="false" customHeight="false" outlineLevel="0" collapsed="false">
      <c r="A1166" s="5" t="s">
        <v>1300</v>
      </c>
      <c r="B1166" s="5" t="s">
        <v>54</v>
      </c>
      <c r="C1166" s="7" t="n">
        <v>46037</v>
      </c>
      <c r="D1166" s="8" t="str">
        <f aca="false">INDEX(Dim_Supplier!$C$2:$C$21,MATCH(B1166,Dim_Supplier!$A$2:$A$21,0))</f>
        <v>Raw Materials</v>
      </c>
      <c r="E1166" s="8" t="str">
        <f aca="false">INDEX(Dim_Supplier!$B$2:$B$21,MATCH(B1166,Dim_Supplier!$A$2:$A$21,0))</f>
        <v>Northern Resin Solutions</v>
      </c>
      <c r="F1166" s="5" t="s">
        <v>115</v>
      </c>
      <c r="G1166" s="5" t="s">
        <v>120</v>
      </c>
      <c r="H1166" s="8" t="n">
        <f aca="false">INDEX(Lookup_Tables!$B$2:$B$5,MATCH(D1166,Lookup_Tables!$A$2:$A$5,0))</f>
        <v>21</v>
      </c>
      <c r="I1166" s="9" t="n">
        <f aca="false">C1166+H1166</f>
        <v>46058</v>
      </c>
      <c r="J1166" s="5" t="n">
        <v>-1</v>
      </c>
      <c r="K1166" s="9" t="n">
        <f aca="false">I1166+J1166</f>
        <v>46057</v>
      </c>
      <c r="L1166" s="5" t="n">
        <v>1016</v>
      </c>
      <c r="M1166" s="10" t="n">
        <f aca="false">INDEX(Dim_Supplier!$F$2:$F$21,MATCH(B1166,Dim_Supplier!$A$2:$A$21,0))</f>
        <v>38.9</v>
      </c>
      <c r="N1166" s="11" t="n">
        <v>0.0454</v>
      </c>
      <c r="O1166" s="10" t="n">
        <f aca="false">M1166*(1+N1166)</f>
        <v>40.66606</v>
      </c>
      <c r="P1166" s="10" t="n">
        <f aca="false">O1166*L1166</f>
        <v>41316.71696</v>
      </c>
      <c r="Q1166" s="5" t="s">
        <v>113</v>
      </c>
      <c r="R1166" s="5" t="n">
        <v>0</v>
      </c>
      <c r="S1166" s="5" t="n">
        <v>30</v>
      </c>
      <c r="T1166" s="12" t="n">
        <f aca="false">(O1166-M1166)/M1166</f>
        <v>0.0454000000000001</v>
      </c>
      <c r="U1166" s="8" t="n">
        <f aca="false">IF(AND(K1166&lt;=I1166,R1166=0),1,0)</f>
        <v>1</v>
      </c>
      <c r="V1166" s="10" t="n">
        <f aca="false">IF(Q1166="No",P1166,0)</f>
        <v>0</v>
      </c>
    </row>
    <row r="1167" customFormat="false" ht="15" hidden="false" customHeight="false" outlineLevel="0" collapsed="false">
      <c r="A1167" s="5" t="s">
        <v>1301</v>
      </c>
      <c r="B1167" s="5" t="s">
        <v>52</v>
      </c>
      <c r="C1167" s="7" t="n">
        <v>45932</v>
      </c>
      <c r="D1167" s="8" t="str">
        <f aca="false">INDEX(Dim_Supplier!$C$2:$C$21,MATCH(B1167,Dim_Supplier!$A$2:$A$21,0))</f>
        <v>Raw Materials</v>
      </c>
      <c r="E1167" s="8" t="str">
        <f aca="false">INDEX(Dim_Supplier!$B$2:$B$21,MATCH(B1167,Dim_Supplier!$A$2:$A$21,0))</f>
        <v>Laurentian Metals Inc.</v>
      </c>
      <c r="F1167" s="5" t="s">
        <v>148</v>
      </c>
      <c r="G1167" s="5" t="s">
        <v>120</v>
      </c>
      <c r="H1167" s="8" t="n">
        <f aca="false">INDEX(Lookup_Tables!$B$2:$B$5,MATCH(D1167,Lookup_Tables!$A$2:$A$5,0))</f>
        <v>21</v>
      </c>
      <c r="I1167" s="9" t="n">
        <f aca="false">C1167+H1167</f>
        <v>45953</v>
      </c>
      <c r="J1167" s="5" t="n">
        <v>-1</v>
      </c>
      <c r="K1167" s="9" t="n">
        <f aca="false">I1167+J1167</f>
        <v>45952</v>
      </c>
      <c r="L1167" s="5" t="n">
        <v>1579</v>
      </c>
      <c r="M1167" s="10" t="n">
        <f aca="false">INDEX(Dim_Supplier!$F$2:$F$21,MATCH(B1167,Dim_Supplier!$A$2:$A$21,0))</f>
        <v>61.2</v>
      </c>
      <c r="N1167" s="11" t="n">
        <v>0.0381</v>
      </c>
      <c r="O1167" s="10" t="n">
        <f aca="false">M1167*(1+N1167)</f>
        <v>63.53172</v>
      </c>
      <c r="P1167" s="10" t="n">
        <f aca="false">O1167*L1167</f>
        <v>100316.58588</v>
      </c>
      <c r="Q1167" s="5" t="s">
        <v>113</v>
      </c>
      <c r="R1167" s="5" t="n">
        <v>0</v>
      </c>
      <c r="S1167" s="5" t="n">
        <v>45</v>
      </c>
      <c r="T1167" s="12" t="n">
        <f aca="false">(O1167-M1167)/M1167</f>
        <v>0.0381000000000001</v>
      </c>
      <c r="U1167" s="8" t="n">
        <f aca="false">IF(AND(K1167&lt;=I1167,R1167=0),1,0)</f>
        <v>1</v>
      </c>
      <c r="V1167" s="10" t="n">
        <f aca="false">IF(Q1167="No",P1167,0)</f>
        <v>0</v>
      </c>
    </row>
    <row r="1168" customFormat="false" ht="15" hidden="false" customHeight="false" outlineLevel="0" collapsed="false">
      <c r="A1168" s="5" t="s">
        <v>1302</v>
      </c>
      <c r="B1168" s="5" t="s">
        <v>57</v>
      </c>
      <c r="C1168" s="7" t="n">
        <v>45653</v>
      </c>
      <c r="D1168" s="8" t="str">
        <f aca="false">INDEX(Dim_Supplier!$C$2:$C$21,MATCH(B1168,Dim_Supplier!$A$2:$A$21,0))</f>
        <v>Packaging</v>
      </c>
      <c r="E1168" s="8" t="str">
        <f aca="false">INDEX(Dim_Supplier!$B$2:$B$21,MATCH(B1168,Dim_Supplier!$A$2:$A$21,0))</f>
        <v>Great Lakes Packaging Co.</v>
      </c>
      <c r="F1168" s="5" t="s">
        <v>122</v>
      </c>
      <c r="G1168" s="5" t="s">
        <v>129</v>
      </c>
      <c r="H1168" s="8" t="n">
        <f aca="false">INDEX(Lookup_Tables!$B$2:$B$5,MATCH(D1168,Lookup_Tables!$A$2:$A$5,0))</f>
        <v>14</v>
      </c>
      <c r="I1168" s="9" t="n">
        <f aca="false">C1168+H1168</f>
        <v>45667</v>
      </c>
      <c r="J1168" s="5" t="n">
        <v>-4</v>
      </c>
      <c r="K1168" s="9" t="n">
        <f aca="false">I1168+J1168</f>
        <v>45663</v>
      </c>
      <c r="L1168" s="5" t="n">
        <v>3466</v>
      </c>
      <c r="M1168" s="10" t="n">
        <f aca="false">INDEX(Dim_Supplier!$F$2:$F$21,MATCH(B1168,Dim_Supplier!$A$2:$A$21,0))</f>
        <v>4.35</v>
      </c>
      <c r="N1168" s="11" t="n">
        <v>-0.01</v>
      </c>
      <c r="O1168" s="10" t="n">
        <f aca="false">M1168*(1+N1168)</f>
        <v>4.3065</v>
      </c>
      <c r="P1168" s="10" t="n">
        <f aca="false">O1168*L1168</f>
        <v>14926.329</v>
      </c>
      <c r="Q1168" s="5" t="s">
        <v>113</v>
      </c>
      <c r="R1168" s="5" t="n">
        <v>0</v>
      </c>
      <c r="S1168" s="5" t="n">
        <v>60</v>
      </c>
      <c r="T1168" s="12" t="n">
        <f aca="false">(O1168-M1168)/M1168</f>
        <v>-0.00999999999999997</v>
      </c>
      <c r="U1168" s="8" t="n">
        <f aca="false">IF(AND(K1168&lt;=I1168,R1168=0),1,0)</f>
        <v>1</v>
      </c>
      <c r="V1168" s="10" t="n">
        <f aca="false">IF(Q1168="No",P1168,0)</f>
        <v>0</v>
      </c>
    </row>
    <row r="1169" customFormat="false" ht="15" hidden="false" customHeight="false" outlineLevel="0" collapsed="false">
      <c r="A1169" s="5" t="s">
        <v>1303</v>
      </c>
      <c r="B1169" s="5" t="s">
        <v>60</v>
      </c>
      <c r="C1169" s="7" t="n">
        <v>46027</v>
      </c>
      <c r="D1169" s="8" t="str">
        <f aca="false">INDEX(Dim_Supplier!$C$2:$C$21,MATCH(B1169,Dim_Supplier!$A$2:$A$21,0))</f>
        <v>Packaging</v>
      </c>
      <c r="E1169" s="8" t="str">
        <f aca="false">INDEX(Dim_Supplier!$B$2:$B$21,MATCH(B1169,Dim_Supplier!$A$2:$A$21,0))</f>
        <v>Maple Leaf Box &amp; Crate</v>
      </c>
      <c r="F1169" s="5" t="s">
        <v>158</v>
      </c>
      <c r="G1169" s="5" t="s">
        <v>120</v>
      </c>
      <c r="H1169" s="8" t="n">
        <f aca="false">INDEX(Lookup_Tables!$B$2:$B$5,MATCH(D1169,Lookup_Tables!$A$2:$A$5,0))</f>
        <v>14</v>
      </c>
      <c r="I1169" s="9" t="n">
        <f aca="false">C1169+H1169</f>
        <v>46041</v>
      </c>
      <c r="J1169" s="5" t="n">
        <v>0</v>
      </c>
      <c r="K1169" s="9" t="n">
        <f aca="false">I1169+J1169</f>
        <v>46041</v>
      </c>
      <c r="L1169" s="5" t="n">
        <v>3215</v>
      </c>
      <c r="M1169" s="10" t="n">
        <f aca="false">INDEX(Dim_Supplier!$F$2:$F$21,MATCH(B1169,Dim_Supplier!$A$2:$A$21,0))</f>
        <v>3.1</v>
      </c>
      <c r="N1169" s="11" t="n">
        <v>-0.0017</v>
      </c>
      <c r="O1169" s="10" t="n">
        <f aca="false">M1169*(1+N1169)</f>
        <v>3.09473</v>
      </c>
      <c r="P1169" s="10" t="n">
        <f aca="false">O1169*L1169</f>
        <v>9949.55695</v>
      </c>
      <c r="Q1169" s="5" t="s">
        <v>113</v>
      </c>
      <c r="R1169" s="5" t="n">
        <v>0</v>
      </c>
      <c r="S1169" s="5" t="n">
        <v>30</v>
      </c>
      <c r="T1169" s="12" t="n">
        <f aca="false">(O1169-M1169)/M1169</f>
        <v>-0.00170000000000011</v>
      </c>
      <c r="U1169" s="8" t="n">
        <f aca="false">IF(AND(K1169&lt;=I1169,R1169=0),1,0)</f>
        <v>1</v>
      </c>
      <c r="V1169" s="10" t="n">
        <f aca="false">IF(Q1169="No",P1169,0)</f>
        <v>0</v>
      </c>
    </row>
    <row r="1170" customFormat="false" ht="15" hidden="false" customHeight="false" outlineLevel="0" collapsed="false">
      <c r="A1170" s="5" t="s">
        <v>1304</v>
      </c>
      <c r="B1170" s="5" t="s">
        <v>41</v>
      </c>
      <c r="C1170" s="7" t="n">
        <v>46157</v>
      </c>
      <c r="D1170" s="8" t="str">
        <f aca="false">INDEX(Dim_Supplier!$C$2:$C$21,MATCH(B1170,Dim_Supplier!$A$2:$A$21,0))</f>
        <v>Raw Materials</v>
      </c>
      <c r="E1170" s="8" t="str">
        <f aca="false">INDEX(Dim_Supplier!$B$2:$B$21,MATCH(B1170,Dim_Supplier!$A$2:$A$21,0))</f>
        <v>Ontario Steel Partners</v>
      </c>
      <c r="F1170" s="5" t="s">
        <v>148</v>
      </c>
      <c r="G1170" s="5" t="s">
        <v>129</v>
      </c>
      <c r="H1170" s="8" t="n">
        <f aca="false">INDEX(Lookup_Tables!$B$2:$B$5,MATCH(D1170,Lookup_Tables!$A$2:$A$5,0))</f>
        <v>21</v>
      </c>
      <c r="I1170" s="9" t="n">
        <f aca="false">C1170+H1170</f>
        <v>46178</v>
      </c>
      <c r="J1170" s="5" t="n">
        <v>-4</v>
      </c>
      <c r="K1170" s="9" t="n">
        <f aca="false">I1170+J1170</f>
        <v>46174</v>
      </c>
      <c r="L1170" s="5" t="n">
        <v>186</v>
      </c>
      <c r="M1170" s="10" t="n">
        <f aca="false">INDEX(Dim_Supplier!$F$2:$F$21,MATCH(B1170,Dim_Supplier!$A$2:$A$21,0))</f>
        <v>58</v>
      </c>
      <c r="N1170" s="11" t="n">
        <v>0.0097</v>
      </c>
      <c r="O1170" s="10" t="n">
        <f aca="false">M1170*(1+N1170)</f>
        <v>58.5626</v>
      </c>
      <c r="P1170" s="10" t="n">
        <f aca="false">O1170*L1170</f>
        <v>10892.6436</v>
      </c>
      <c r="Q1170" s="5" t="s">
        <v>113</v>
      </c>
      <c r="R1170" s="5" t="n">
        <v>0</v>
      </c>
      <c r="S1170" s="5" t="n">
        <v>30</v>
      </c>
      <c r="T1170" s="12" t="n">
        <f aca="false">(O1170-M1170)/M1170</f>
        <v>0.00970000000000006</v>
      </c>
      <c r="U1170" s="8" t="n">
        <f aca="false">IF(AND(K1170&lt;=I1170,R1170=0),1,0)</f>
        <v>1</v>
      </c>
      <c r="V1170" s="10" t="n">
        <f aca="false">IF(Q1170="No",P1170,0)</f>
        <v>0</v>
      </c>
    </row>
    <row r="1171" customFormat="false" ht="15" hidden="false" customHeight="false" outlineLevel="0" collapsed="false">
      <c r="A1171" s="5" t="s">
        <v>1305</v>
      </c>
      <c r="B1171" s="5" t="s">
        <v>79</v>
      </c>
      <c r="C1171" s="7" t="n">
        <v>45545</v>
      </c>
      <c r="D1171" s="8" t="str">
        <f aca="false">INDEX(Dim_Supplier!$C$2:$C$21,MATCH(B1171,Dim_Supplier!$A$2:$A$21,0))</f>
        <v>Logistics</v>
      </c>
      <c r="E1171" s="8" t="str">
        <f aca="false">INDEX(Dim_Supplier!$B$2:$B$21,MATCH(B1171,Dim_Supplier!$A$2:$A$21,0))</f>
        <v>Niagara Freight Solutions</v>
      </c>
      <c r="F1171" s="5" t="s">
        <v>124</v>
      </c>
      <c r="G1171" s="5" t="s">
        <v>120</v>
      </c>
      <c r="H1171" s="8" t="n">
        <f aca="false">INDEX(Lookup_Tables!$B$2:$B$5,MATCH(D1171,Lookup_Tables!$A$2:$A$5,0))</f>
        <v>5</v>
      </c>
      <c r="I1171" s="9" t="n">
        <f aca="false">C1171+H1171</f>
        <v>45550</v>
      </c>
      <c r="J1171" s="5" t="n">
        <v>-2</v>
      </c>
      <c r="K1171" s="9" t="n">
        <f aca="false">I1171+J1171</f>
        <v>45548</v>
      </c>
      <c r="L1171" s="5" t="n">
        <v>25</v>
      </c>
      <c r="M1171" s="10" t="n">
        <f aca="false">INDEX(Dim_Supplier!$F$2:$F$21,MATCH(B1171,Dim_Supplier!$A$2:$A$21,0))</f>
        <v>340</v>
      </c>
      <c r="N1171" s="11" t="n">
        <v>-0.0266</v>
      </c>
      <c r="O1171" s="10" t="n">
        <f aca="false">M1171*(1+N1171)</f>
        <v>330.956</v>
      </c>
      <c r="P1171" s="10" t="n">
        <f aca="false">O1171*L1171</f>
        <v>8273.9</v>
      </c>
      <c r="Q1171" s="5" t="s">
        <v>113</v>
      </c>
      <c r="R1171" s="5" t="n">
        <v>0</v>
      </c>
      <c r="S1171" s="5" t="n">
        <v>45</v>
      </c>
      <c r="T1171" s="12" t="n">
        <f aca="false">(O1171-M1171)/M1171</f>
        <v>-0.0266</v>
      </c>
      <c r="U1171" s="8" t="n">
        <f aca="false">IF(AND(K1171&lt;=I1171,R1171=0),1,0)</f>
        <v>1</v>
      </c>
      <c r="V1171" s="10" t="n">
        <f aca="false">IF(Q1171="No",P1171,0)</f>
        <v>0</v>
      </c>
    </row>
    <row r="1172" customFormat="false" ht="15" hidden="false" customHeight="false" outlineLevel="0" collapsed="false">
      <c r="A1172" s="5" t="s">
        <v>1306</v>
      </c>
      <c r="B1172" s="5" t="s">
        <v>54</v>
      </c>
      <c r="C1172" s="7" t="n">
        <v>45378</v>
      </c>
      <c r="D1172" s="8" t="str">
        <f aca="false">INDEX(Dim_Supplier!$C$2:$C$21,MATCH(B1172,Dim_Supplier!$A$2:$A$21,0))</f>
        <v>Raw Materials</v>
      </c>
      <c r="E1172" s="8" t="str">
        <f aca="false">INDEX(Dim_Supplier!$B$2:$B$21,MATCH(B1172,Dim_Supplier!$A$2:$A$21,0))</f>
        <v>Northern Resin Solutions</v>
      </c>
      <c r="F1172" s="5" t="s">
        <v>148</v>
      </c>
      <c r="G1172" s="5" t="s">
        <v>129</v>
      </c>
      <c r="H1172" s="8" t="n">
        <f aca="false">INDEX(Lookup_Tables!$B$2:$B$5,MATCH(D1172,Lookup_Tables!$A$2:$A$5,0))</f>
        <v>21</v>
      </c>
      <c r="I1172" s="9" t="n">
        <f aca="false">C1172+H1172</f>
        <v>45399</v>
      </c>
      <c r="J1172" s="5" t="n">
        <v>-4</v>
      </c>
      <c r="K1172" s="9" t="n">
        <f aca="false">I1172+J1172</f>
        <v>45395</v>
      </c>
      <c r="L1172" s="5" t="n">
        <v>1600</v>
      </c>
      <c r="M1172" s="10" t="n">
        <f aca="false">INDEX(Dim_Supplier!$F$2:$F$21,MATCH(B1172,Dim_Supplier!$A$2:$A$21,0))</f>
        <v>38.9</v>
      </c>
      <c r="N1172" s="11" t="n">
        <v>0.0491</v>
      </c>
      <c r="O1172" s="10" t="n">
        <f aca="false">M1172*(1+N1172)</f>
        <v>40.80999</v>
      </c>
      <c r="P1172" s="10" t="n">
        <f aca="false">O1172*L1172</f>
        <v>65295.984</v>
      </c>
      <c r="Q1172" s="5" t="s">
        <v>113</v>
      </c>
      <c r="R1172" s="5" t="n">
        <v>39</v>
      </c>
      <c r="S1172" s="5" t="n">
        <v>30</v>
      </c>
      <c r="T1172" s="12" t="n">
        <f aca="false">(O1172-M1172)/M1172</f>
        <v>0.0490999999999998</v>
      </c>
      <c r="U1172" s="8" t="n">
        <f aca="false">IF(AND(K1172&lt;=I1172,R1172=0),1,0)</f>
        <v>0</v>
      </c>
      <c r="V1172" s="10" t="n">
        <f aca="false">IF(Q1172="No",P1172,0)</f>
        <v>0</v>
      </c>
    </row>
    <row r="1173" customFormat="false" ht="15" hidden="false" customHeight="false" outlineLevel="0" collapsed="false">
      <c r="A1173" s="5" t="s">
        <v>1307</v>
      </c>
      <c r="B1173" s="5" t="s">
        <v>68</v>
      </c>
      <c r="C1173" s="7" t="n">
        <v>45692</v>
      </c>
      <c r="D1173" s="8" t="str">
        <f aca="false">INDEX(Dim_Supplier!$C$2:$C$21,MATCH(B1173,Dim_Supplier!$A$2:$A$21,0))</f>
        <v>MRO</v>
      </c>
      <c r="E1173" s="8" t="str">
        <f aca="false">INDEX(Dim_Supplier!$B$2:$B$21,MATCH(B1173,Dim_Supplier!$A$2:$A$21,0))</f>
        <v>Precision Tool &amp; Supply</v>
      </c>
      <c r="F1173" s="5" t="s">
        <v>164</v>
      </c>
      <c r="G1173" s="5" t="s">
        <v>120</v>
      </c>
      <c r="H1173" s="8" t="n">
        <f aca="false">INDEX(Lookup_Tables!$B$2:$B$5,MATCH(D1173,Lookup_Tables!$A$2:$A$5,0))</f>
        <v>10</v>
      </c>
      <c r="I1173" s="9" t="n">
        <f aca="false">C1173+H1173</f>
        <v>45702</v>
      </c>
      <c r="J1173" s="5" t="n">
        <v>-3</v>
      </c>
      <c r="K1173" s="9" t="n">
        <f aca="false">I1173+J1173</f>
        <v>45699</v>
      </c>
      <c r="L1173" s="5" t="n">
        <v>195</v>
      </c>
      <c r="M1173" s="10" t="n">
        <f aca="false">INDEX(Dim_Supplier!$F$2:$F$21,MATCH(B1173,Dim_Supplier!$A$2:$A$21,0))</f>
        <v>22.4</v>
      </c>
      <c r="N1173" s="11" t="n">
        <v>-0.0105</v>
      </c>
      <c r="O1173" s="10" t="n">
        <f aca="false">M1173*(1+N1173)</f>
        <v>22.1648</v>
      </c>
      <c r="P1173" s="10" t="n">
        <f aca="false">O1173*L1173</f>
        <v>4322.136</v>
      </c>
      <c r="Q1173" s="5" t="s">
        <v>113</v>
      </c>
      <c r="R1173" s="5" t="n">
        <v>0</v>
      </c>
      <c r="S1173" s="5" t="n">
        <v>30</v>
      </c>
      <c r="T1173" s="12" t="n">
        <f aca="false">(O1173-M1173)/M1173</f>
        <v>-0.0105</v>
      </c>
      <c r="U1173" s="8" t="n">
        <f aca="false">IF(AND(K1173&lt;=I1173,R1173=0),1,0)</f>
        <v>1</v>
      </c>
      <c r="V1173" s="10" t="n">
        <f aca="false">IF(Q1173="No",P1173,0)</f>
        <v>0</v>
      </c>
    </row>
    <row r="1174" customFormat="false" ht="15" hidden="false" customHeight="false" outlineLevel="0" collapsed="false">
      <c r="A1174" s="5" t="s">
        <v>1308</v>
      </c>
      <c r="B1174" s="5" t="s">
        <v>54</v>
      </c>
      <c r="C1174" s="7" t="n">
        <v>45963</v>
      </c>
      <c r="D1174" s="8" t="str">
        <f aca="false">INDEX(Dim_Supplier!$C$2:$C$21,MATCH(B1174,Dim_Supplier!$A$2:$A$21,0))</f>
        <v>Raw Materials</v>
      </c>
      <c r="E1174" s="8" t="str">
        <f aca="false">INDEX(Dim_Supplier!$B$2:$B$21,MATCH(B1174,Dim_Supplier!$A$2:$A$21,0))</f>
        <v>Northern Resin Solutions</v>
      </c>
      <c r="F1174" s="5" t="s">
        <v>144</v>
      </c>
      <c r="G1174" s="5" t="s">
        <v>125</v>
      </c>
      <c r="H1174" s="8" t="n">
        <f aca="false">INDEX(Lookup_Tables!$B$2:$B$5,MATCH(D1174,Lookup_Tables!$A$2:$A$5,0))</f>
        <v>21</v>
      </c>
      <c r="I1174" s="9" t="n">
        <f aca="false">C1174+H1174</f>
        <v>45984</v>
      </c>
      <c r="J1174" s="5" t="n">
        <v>-3</v>
      </c>
      <c r="K1174" s="9" t="n">
        <f aca="false">I1174+J1174</f>
        <v>45981</v>
      </c>
      <c r="L1174" s="5" t="n">
        <v>555</v>
      </c>
      <c r="M1174" s="10" t="n">
        <f aca="false">INDEX(Dim_Supplier!$F$2:$F$21,MATCH(B1174,Dim_Supplier!$A$2:$A$21,0))</f>
        <v>38.9</v>
      </c>
      <c r="N1174" s="11" t="n">
        <v>0.0648</v>
      </c>
      <c r="O1174" s="10" t="n">
        <f aca="false">M1174*(1+N1174)</f>
        <v>41.42072</v>
      </c>
      <c r="P1174" s="10" t="n">
        <f aca="false">O1174*L1174</f>
        <v>22988.4996</v>
      </c>
      <c r="Q1174" s="5" t="s">
        <v>133</v>
      </c>
      <c r="R1174" s="5" t="n">
        <v>0</v>
      </c>
      <c r="S1174" s="5" t="n">
        <v>30</v>
      </c>
      <c r="T1174" s="12" t="n">
        <f aca="false">(O1174-M1174)/M1174</f>
        <v>0.0647999999999999</v>
      </c>
      <c r="U1174" s="8" t="n">
        <f aca="false">IF(AND(K1174&lt;=I1174,R1174=0),1,0)</f>
        <v>1</v>
      </c>
      <c r="V1174" s="10" t="n">
        <f aca="false">IF(Q1174="No",P1174,0)</f>
        <v>22988.4996</v>
      </c>
    </row>
    <row r="1175" customFormat="false" ht="15" hidden="false" customHeight="false" outlineLevel="0" collapsed="false">
      <c r="A1175" s="5" t="s">
        <v>1309</v>
      </c>
      <c r="B1175" s="5" t="s">
        <v>86</v>
      </c>
      <c r="C1175" s="7" t="n">
        <v>45838</v>
      </c>
      <c r="D1175" s="8" t="str">
        <f aca="false">INDEX(Dim_Supplier!$C$2:$C$21,MATCH(B1175,Dim_Supplier!$A$2:$A$21,0))</f>
        <v>Logistics</v>
      </c>
      <c r="E1175" s="8" t="str">
        <f aca="false">INDEX(Dim_Supplier!$B$2:$B$21,MATCH(B1175,Dim_Supplier!$A$2:$A$21,0))</f>
        <v>Blue Water Customs Brokerage</v>
      </c>
      <c r="F1175" s="5" t="s">
        <v>185</v>
      </c>
      <c r="G1175" s="5" t="s">
        <v>112</v>
      </c>
      <c r="H1175" s="8" t="n">
        <f aca="false">INDEX(Lookup_Tables!$B$2:$B$5,MATCH(D1175,Lookup_Tables!$A$2:$A$5,0))</f>
        <v>5</v>
      </c>
      <c r="I1175" s="9" t="n">
        <f aca="false">C1175+H1175</f>
        <v>45843</v>
      </c>
      <c r="J1175" s="5" t="n">
        <v>-4</v>
      </c>
      <c r="K1175" s="9" t="n">
        <f aca="false">I1175+J1175</f>
        <v>45839</v>
      </c>
      <c r="L1175" s="5" t="n">
        <v>47</v>
      </c>
      <c r="M1175" s="10" t="n">
        <f aca="false">INDEX(Dim_Supplier!$F$2:$F$21,MATCH(B1175,Dim_Supplier!$A$2:$A$21,0))</f>
        <v>175</v>
      </c>
      <c r="N1175" s="11" t="n">
        <v>0.0525</v>
      </c>
      <c r="O1175" s="10" t="n">
        <f aca="false">M1175*(1+N1175)</f>
        <v>184.1875</v>
      </c>
      <c r="P1175" s="10" t="n">
        <f aca="false">O1175*L1175</f>
        <v>8656.8125</v>
      </c>
      <c r="Q1175" s="5" t="s">
        <v>113</v>
      </c>
      <c r="R1175" s="5" t="n">
        <v>0</v>
      </c>
      <c r="S1175" s="5" t="n">
        <v>45</v>
      </c>
      <c r="T1175" s="12" t="n">
        <f aca="false">(O1175-M1175)/M1175</f>
        <v>0.0525</v>
      </c>
      <c r="U1175" s="8" t="n">
        <f aca="false">IF(AND(K1175&lt;=I1175,R1175=0),1,0)</f>
        <v>1</v>
      </c>
      <c r="V1175" s="10" t="n">
        <f aca="false">IF(Q1175="No",P1175,0)</f>
        <v>0</v>
      </c>
    </row>
    <row r="1176" customFormat="false" ht="15" hidden="false" customHeight="false" outlineLevel="0" collapsed="false">
      <c r="A1176" s="5" t="s">
        <v>1310</v>
      </c>
      <c r="B1176" s="5" t="s">
        <v>46</v>
      </c>
      <c r="C1176" s="7" t="n">
        <v>45521</v>
      </c>
      <c r="D1176" s="8" t="str">
        <f aca="false">INDEX(Dim_Supplier!$C$2:$C$21,MATCH(B1176,Dim_Supplier!$A$2:$A$21,0))</f>
        <v>Raw Materials</v>
      </c>
      <c r="E1176" s="8" t="str">
        <f aca="false">INDEX(Dim_Supplier!$B$2:$B$21,MATCH(B1176,Dim_Supplier!$A$2:$A$21,0))</f>
        <v>Niagara Alloy Supply</v>
      </c>
      <c r="F1176" s="5" t="s">
        <v>144</v>
      </c>
      <c r="G1176" s="5" t="s">
        <v>129</v>
      </c>
      <c r="H1176" s="8" t="n">
        <f aca="false">INDEX(Lookup_Tables!$B$2:$B$5,MATCH(D1176,Lookup_Tables!$A$2:$A$5,0))</f>
        <v>21</v>
      </c>
      <c r="I1176" s="9" t="n">
        <f aca="false">C1176+H1176</f>
        <v>45542</v>
      </c>
      <c r="J1176" s="5" t="n">
        <v>-2</v>
      </c>
      <c r="K1176" s="9" t="n">
        <f aca="false">I1176+J1176</f>
        <v>45540</v>
      </c>
      <c r="L1176" s="5" t="n">
        <v>857</v>
      </c>
      <c r="M1176" s="10" t="n">
        <f aca="false">INDEX(Dim_Supplier!$F$2:$F$21,MATCH(B1176,Dim_Supplier!$A$2:$A$21,0))</f>
        <v>46.5</v>
      </c>
      <c r="N1176" s="11" t="n">
        <v>0.0387</v>
      </c>
      <c r="O1176" s="10" t="n">
        <f aca="false">M1176*(1+N1176)</f>
        <v>48.29955</v>
      </c>
      <c r="P1176" s="10" t="n">
        <f aca="false">O1176*L1176</f>
        <v>41392.71435</v>
      </c>
      <c r="Q1176" s="5" t="s">
        <v>113</v>
      </c>
      <c r="R1176" s="5" t="n">
        <v>0</v>
      </c>
      <c r="S1176" s="5" t="n">
        <v>30</v>
      </c>
      <c r="T1176" s="12" t="n">
        <f aca="false">(O1176-M1176)/M1176</f>
        <v>0.0386999999999999</v>
      </c>
      <c r="U1176" s="8" t="n">
        <f aca="false">IF(AND(K1176&lt;=I1176,R1176=0),1,0)</f>
        <v>1</v>
      </c>
      <c r="V1176" s="10" t="n">
        <f aca="false">IF(Q1176="No",P1176,0)</f>
        <v>0</v>
      </c>
    </row>
    <row r="1177" customFormat="false" ht="15" hidden="false" customHeight="false" outlineLevel="0" collapsed="false">
      <c r="A1177" s="5" t="s">
        <v>1311</v>
      </c>
      <c r="B1177" s="5" t="s">
        <v>46</v>
      </c>
      <c r="C1177" s="7" t="n">
        <v>45937</v>
      </c>
      <c r="D1177" s="8" t="str">
        <f aca="false">INDEX(Dim_Supplier!$C$2:$C$21,MATCH(B1177,Dim_Supplier!$A$2:$A$21,0))</f>
        <v>Raw Materials</v>
      </c>
      <c r="E1177" s="8" t="str">
        <f aca="false">INDEX(Dim_Supplier!$B$2:$B$21,MATCH(B1177,Dim_Supplier!$A$2:$A$21,0))</f>
        <v>Niagara Alloy Supply</v>
      </c>
      <c r="F1177" s="5" t="s">
        <v>148</v>
      </c>
      <c r="G1177" s="5" t="s">
        <v>129</v>
      </c>
      <c r="H1177" s="8" t="n">
        <f aca="false">INDEX(Lookup_Tables!$B$2:$B$5,MATCH(D1177,Lookup_Tables!$A$2:$A$5,0))</f>
        <v>21</v>
      </c>
      <c r="I1177" s="9" t="n">
        <f aca="false">C1177+H1177</f>
        <v>45958</v>
      </c>
      <c r="J1177" s="5" t="n">
        <v>-2</v>
      </c>
      <c r="K1177" s="9" t="n">
        <f aca="false">I1177+J1177</f>
        <v>45956</v>
      </c>
      <c r="L1177" s="5" t="n">
        <v>1103</v>
      </c>
      <c r="M1177" s="10" t="n">
        <f aca="false">INDEX(Dim_Supplier!$F$2:$F$21,MATCH(B1177,Dim_Supplier!$A$2:$A$21,0))</f>
        <v>46.5</v>
      </c>
      <c r="N1177" s="11" t="n">
        <v>0.0249</v>
      </c>
      <c r="O1177" s="10" t="n">
        <f aca="false">M1177*(1+N1177)</f>
        <v>47.65785</v>
      </c>
      <c r="P1177" s="10" t="n">
        <f aca="false">O1177*L1177</f>
        <v>52566.60855</v>
      </c>
      <c r="Q1177" s="5" t="s">
        <v>113</v>
      </c>
      <c r="R1177" s="5" t="n">
        <v>0</v>
      </c>
      <c r="S1177" s="5" t="n">
        <v>30</v>
      </c>
      <c r="T1177" s="12" t="n">
        <f aca="false">(O1177-M1177)/M1177</f>
        <v>0.0248999999999999</v>
      </c>
      <c r="U1177" s="8" t="n">
        <f aca="false">IF(AND(K1177&lt;=I1177,R1177=0),1,0)</f>
        <v>1</v>
      </c>
      <c r="V1177" s="10" t="n">
        <f aca="false">IF(Q1177="No",P1177,0)</f>
        <v>0</v>
      </c>
    </row>
    <row r="1178" customFormat="false" ht="15" hidden="false" customHeight="false" outlineLevel="0" collapsed="false">
      <c r="A1178" s="5" t="s">
        <v>1312</v>
      </c>
      <c r="B1178" s="5" t="s">
        <v>82</v>
      </c>
      <c r="C1178" s="7" t="n">
        <v>45827</v>
      </c>
      <c r="D1178" s="8" t="str">
        <f aca="false">INDEX(Dim_Supplier!$C$2:$C$21,MATCH(B1178,Dim_Supplier!$A$2:$A$21,0))</f>
        <v>Logistics</v>
      </c>
      <c r="E1178" s="8" t="str">
        <f aca="false">INDEX(Dim_Supplier!$B$2:$B$21,MATCH(B1178,Dim_Supplier!$A$2:$A$21,0))</f>
        <v>Maple Route Logistics</v>
      </c>
      <c r="F1178" s="5" t="s">
        <v>185</v>
      </c>
      <c r="G1178" s="5" t="s">
        <v>112</v>
      </c>
      <c r="H1178" s="8" t="n">
        <f aca="false">INDEX(Lookup_Tables!$B$2:$B$5,MATCH(D1178,Lookup_Tables!$A$2:$A$5,0))</f>
        <v>5</v>
      </c>
      <c r="I1178" s="9" t="n">
        <f aca="false">C1178+H1178</f>
        <v>45832</v>
      </c>
      <c r="J1178" s="5" t="n">
        <v>1</v>
      </c>
      <c r="K1178" s="9" t="n">
        <f aca="false">I1178+J1178</f>
        <v>45833</v>
      </c>
      <c r="L1178" s="5" t="n">
        <v>27</v>
      </c>
      <c r="M1178" s="10" t="n">
        <f aca="false">INDEX(Dim_Supplier!$F$2:$F$21,MATCH(B1178,Dim_Supplier!$A$2:$A$21,0))</f>
        <v>285</v>
      </c>
      <c r="N1178" s="11" t="n">
        <v>0.0384</v>
      </c>
      <c r="O1178" s="10" t="n">
        <f aca="false">M1178*(1+N1178)</f>
        <v>295.944</v>
      </c>
      <c r="P1178" s="10" t="n">
        <f aca="false">O1178*L1178</f>
        <v>7990.488</v>
      </c>
      <c r="Q1178" s="5" t="s">
        <v>113</v>
      </c>
      <c r="R1178" s="5" t="n">
        <v>0</v>
      </c>
      <c r="S1178" s="5" t="n">
        <v>30</v>
      </c>
      <c r="T1178" s="12" t="n">
        <f aca="false">(O1178-M1178)/M1178</f>
        <v>0.0384000000000001</v>
      </c>
      <c r="U1178" s="8" t="n">
        <f aca="false">IF(AND(K1178&lt;=I1178,R1178=0),1,0)</f>
        <v>0</v>
      </c>
      <c r="V1178" s="10" t="n">
        <f aca="false">IF(Q1178="No",P1178,0)</f>
        <v>0</v>
      </c>
    </row>
    <row r="1179" customFormat="false" ht="15" hidden="false" customHeight="false" outlineLevel="0" collapsed="false">
      <c r="A1179" s="5" t="s">
        <v>1313</v>
      </c>
      <c r="B1179" s="5" t="s">
        <v>57</v>
      </c>
      <c r="C1179" s="7" t="n">
        <v>45870</v>
      </c>
      <c r="D1179" s="8" t="str">
        <f aca="false">INDEX(Dim_Supplier!$C$2:$C$21,MATCH(B1179,Dim_Supplier!$A$2:$A$21,0))</f>
        <v>Packaging</v>
      </c>
      <c r="E1179" s="8" t="str">
        <f aca="false">INDEX(Dim_Supplier!$B$2:$B$21,MATCH(B1179,Dim_Supplier!$A$2:$A$21,0))</f>
        <v>Great Lakes Packaging Co.</v>
      </c>
      <c r="F1179" s="5" t="s">
        <v>122</v>
      </c>
      <c r="G1179" s="5" t="s">
        <v>125</v>
      </c>
      <c r="H1179" s="8" t="n">
        <f aca="false">INDEX(Lookup_Tables!$B$2:$B$5,MATCH(D1179,Lookup_Tables!$A$2:$A$5,0))</f>
        <v>14</v>
      </c>
      <c r="I1179" s="9" t="n">
        <f aca="false">C1179+H1179</f>
        <v>45884</v>
      </c>
      <c r="J1179" s="5" t="n">
        <v>-2</v>
      </c>
      <c r="K1179" s="9" t="n">
        <f aca="false">I1179+J1179</f>
        <v>45882</v>
      </c>
      <c r="L1179" s="5" t="n">
        <v>2213</v>
      </c>
      <c r="M1179" s="10" t="n">
        <f aca="false">INDEX(Dim_Supplier!$F$2:$F$21,MATCH(B1179,Dim_Supplier!$A$2:$A$21,0))</f>
        <v>4.35</v>
      </c>
      <c r="N1179" s="11" t="n">
        <v>-0.0014</v>
      </c>
      <c r="O1179" s="10" t="n">
        <f aca="false">M1179*(1+N1179)</f>
        <v>4.34391</v>
      </c>
      <c r="P1179" s="10" t="n">
        <f aca="false">O1179*L1179</f>
        <v>9613.07283</v>
      </c>
      <c r="Q1179" s="5" t="s">
        <v>113</v>
      </c>
      <c r="R1179" s="5" t="n">
        <v>0</v>
      </c>
      <c r="S1179" s="5" t="n">
        <v>45</v>
      </c>
      <c r="T1179" s="12" t="n">
        <f aca="false">(O1179-M1179)/M1179</f>
        <v>-0.00139999999999988</v>
      </c>
      <c r="U1179" s="8" t="n">
        <f aca="false">IF(AND(K1179&lt;=I1179,R1179=0),1,0)</f>
        <v>1</v>
      </c>
      <c r="V1179" s="10" t="n">
        <f aca="false">IF(Q1179="No",P1179,0)</f>
        <v>0</v>
      </c>
    </row>
    <row r="1180" customFormat="false" ht="15" hidden="false" customHeight="false" outlineLevel="0" collapsed="false">
      <c r="A1180" s="5" t="s">
        <v>1314</v>
      </c>
      <c r="B1180" s="5" t="s">
        <v>57</v>
      </c>
      <c r="C1180" s="7" t="n">
        <v>45959</v>
      </c>
      <c r="D1180" s="8" t="str">
        <f aca="false">INDEX(Dim_Supplier!$C$2:$C$21,MATCH(B1180,Dim_Supplier!$A$2:$A$21,0))</f>
        <v>Packaging</v>
      </c>
      <c r="E1180" s="8" t="str">
        <f aca="false">INDEX(Dim_Supplier!$B$2:$B$21,MATCH(B1180,Dim_Supplier!$A$2:$A$21,0))</f>
        <v>Great Lakes Packaging Co.</v>
      </c>
      <c r="F1180" s="5" t="s">
        <v>158</v>
      </c>
      <c r="G1180" s="5" t="s">
        <v>120</v>
      </c>
      <c r="H1180" s="8" t="n">
        <f aca="false">INDEX(Lookup_Tables!$B$2:$B$5,MATCH(D1180,Lookup_Tables!$A$2:$A$5,0))</f>
        <v>14</v>
      </c>
      <c r="I1180" s="9" t="n">
        <f aca="false">C1180+H1180</f>
        <v>45973</v>
      </c>
      <c r="J1180" s="5" t="n">
        <v>-4</v>
      </c>
      <c r="K1180" s="9" t="n">
        <f aca="false">I1180+J1180</f>
        <v>45969</v>
      </c>
      <c r="L1180" s="5" t="n">
        <v>1167</v>
      </c>
      <c r="M1180" s="10" t="n">
        <f aca="false">INDEX(Dim_Supplier!$F$2:$F$21,MATCH(B1180,Dim_Supplier!$A$2:$A$21,0))</f>
        <v>4.35</v>
      </c>
      <c r="N1180" s="11" t="n">
        <v>0.0155</v>
      </c>
      <c r="O1180" s="10" t="n">
        <f aca="false">M1180*(1+N1180)</f>
        <v>4.417425</v>
      </c>
      <c r="P1180" s="10" t="n">
        <f aca="false">O1180*L1180</f>
        <v>5155.134975</v>
      </c>
      <c r="Q1180" s="5" t="s">
        <v>113</v>
      </c>
      <c r="R1180" s="5" t="n">
        <v>0</v>
      </c>
      <c r="S1180" s="5" t="n">
        <v>30</v>
      </c>
      <c r="T1180" s="12" t="n">
        <f aca="false">(O1180-M1180)/M1180</f>
        <v>0.0155</v>
      </c>
      <c r="U1180" s="8" t="n">
        <f aca="false">IF(AND(K1180&lt;=I1180,R1180=0),1,0)</f>
        <v>1</v>
      </c>
      <c r="V1180" s="10" t="n">
        <f aca="false">IF(Q1180="No",P1180,0)</f>
        <v>0</v>
      </c>
    </row>
    <row r="1181" customFormat="false" ht="15" hidden="false" customHeight="false" outlineLevel="0" collapsed="false">
      <c r="A1181" s="5" t="s">
        <v>1315</v>
      </c>
      <c r="B1181" s="5" t="s">
        <v>46</v>
      </c>
      <c r="C1181" s="7" t="n">
        <v>45305</v>
      </c>
      <c r="D1181" s="8" t="str">
        <f aca="false">INDEX(Dim_Supplier!$C$2:$C$21,MATCH(B1181,Dim_Supplier!$A$2:$A$21,0))</f>
        <v>Raw Materials</v>
      </c>
      <c r="E1181" s="8" t="str">
        <f aca="false">INDEX(Dim_Supplier!$B$2:$B$21,MATCH(B1181,Dim_Supplier!$A$2:$A$21,0))</f>
        <v>Niagara Alloy Supply</v>
      </c>
      <c r="F1181" s="5" t="s">
        <v>115</v>
      </c>
      <c r="G1181" s="5" t="s">
        <v>129</v>
      </c>
      <c r="H1181" s="8" t="n">
        <f aca="false">INDEX(Lookup_Tables!$B$2:$B$5,MATCH(D1181,Lookup_Tables!$A$2:$A$5,0))</f>
        <v>21</v>
      </c>
      <c r="I1181" s="9" t="n">
        <f aca="false">C1181+H1181</f>
        <v>45326</v>
      </c>
      <c r="J1181" s="5" t="n">
        <v>0</v>
      </c>
      <c r="K1181" s="9" t="n">
        <f aca="false">I1181+J1181</f>
        <v>45326</v>
      </c>
      <c r="L1181" s="5" t="n">
        <v>332</v>
      </c>
      <c r="M1181" s="10" t="n">
        <f aca="false">INDEX(Dim_Supplier!$F$2:$F$21,MATCH(B1181,Dim_Supplier!$A$2:$A$21,0))</f>
        <v>46.5</v>
      </c>
      <c r="N1181" s="11" t="n">
        <v>0.0486</v>
      </c>
      <c r="O1181" s="10" t="n">
        <f aca="false">M1181*(1+N1181)</f>
        <v>48.7599</v>
      </c>
      <c r="P1181" s="10" t="n">
        <f aca="false">O1181*L1181</f>
        <v>16188.2868</v>
      </c>
      <c r="Q1181" s="5" t="s">
        <v>113</v>
      </c>
      <c r="R1181" s="5" t="n">
        <v>0</v>
      </c>
      <c r="S1181" s="5" t="n">
        <v>30</v>
      </c>
      <c r="T1181" s="12" t="n">
        <f aca="false">(O1181-M1181)/M1181</f>
        <v>0.0486</v>
      </c>
      <c r="U1181" s="8" t="n">
        <f aca="false">IF(AND(K1181&lt;=I1181,R1181=0),1,0)</f>
        <v>1</v>
      </c>
      <c r="V1181" s="10" t="n">
        <f aca="false">IF(Q1181="No",P1181,0)</f>
        <v>0</v>
      </c>
    </row>
    <row r="1182" customFormat="false" ht="15" hidden="false" customHeight="false" outlineLevel="0" collapsed="false">
      <c r="A1182" s="5" t="s">
        <v>1316</v>
      </c>
      <c r="B1182" s="5" t="s">
        <v>79</v>
      </c>
      <c r="C1182" s="7" t="n">
        <v>45790</v>
      </c>
      <c r="D1182" s="8" t="str">
        <f aca="false">INDEX(Dim_Supplier!$C$2:$C$21,MATCH(B1182,Dim_Supplier!$A$2:$A$21,0))</f>
        <v>Logistics</v>
      </c>
      <c r="E1182" s="8" t="str">
        <f aca="false">INDEX(Dim_Supplier!$B$2:$B$21,MATCH(B1182,Dim_Supplier!$A$2:$A$21,0))</f>
        <v>Niagara Freight Solutions</v>
      </c>
      <c r="F1182" s="5" t="s">
        <v>154</v>
      </c>
      <c r="G1182" s="5" t="s">
        <v>125</v>
      </c>
      <c r="H1182" s="8" t="n">
        <f aca="false">INDEX(Lookup_Tables!$B$2:$B$5,MATCH(D1182,Lookup_Tables!$A$2:$A$5,0))</f>
        <v>5</v>
      </c>
      <c r="I1182" s="9" t="n">
        <f aca="false">C1182+H1182</f>
        <v>45795</v>
      </c>
      <c r="J1182" s="5" t="n">
        <v>-3</v>
      </c>
      <c r="K1182" s="9" t="n">
        <f aca="false">I1182+J1182</f>
        <v>45792</v>
      </c>
      <c r="L1182" s="5" t="n">
        <v>28</v>
      </c>
      <c r="M1182" s="10" t="n">
        <f aca="false">INDEX(Dim_Supplier!$F$2:$F$21,MATCH(B1182,Dim_Supplier!$A$2:$A$21,0))</f>
        <v>340</v>
      </c>
      <c r="N1182" s="11" t="n">
        <v>0.0199</v>
      </c>
      <c r="O1182" s="10" t="n">
        <f aca="false">M1182*(1+N1182)</f>
        <v>346.766</v>
      </c>
      <c r="P1182" s="10" t="n">
        <f aca="false">O1182*L1182</f>
        <v>9709.448</v>
      </c>
      <c r="Q1182" s="5" t="s">
        <v>133</v>
      </c>
      <c r="R1182" s="5" t="n">
        <v>0</v>
      </c>
      <c r="S1182" s="5" t="n">
        <v>60</v>
      </c>
      <c r="T1182" s="12" t="n">
        <f aca="false">(O1182-M1182)/M1182</f>
        <v>0.0199000000000001</v>
      </c>
      <c r="U1182" s="8" t="n">
        <f aca="false">IF(AND(K1182&lt;=I1182,R1182=0),1,0)</f>
        <v>1</v>
      </c>
      <c r="V1182" s="10" t="n">
        <f aca="false">IF(Q1182="No",P1182,0)</f>
        <v>9709.448</v>
      </c>
    </row>
    <row r="1183" customFormat="false" ht="15" hidden="false" customHeight="false" outlineLevel="0" collapsed="false">
      <c r="A1183" s="5" t="s">
        <v>1317</v>
      </c>
      <c r="B1183" s="5" t="s">
        <v>54</v>
      </c>
      <c r="C1183" s="7" t="n">
        <v>45622</v>
      </c>
      <c r="D1183" s="8" t="str">
        <f aca="false">INDEX(Dim_Supplier!$C$2:$C$21,MATCH(B1183,Dim_Supplier!$A$2:$A$21,0))</f>
        <v>Raw Materials</v>
      </c>
      <c r="E1183" s="8" t="str">
        <f aca="false">INDEX(Dim_Supplier!$B$2:$B$21,MATCH(B1183,Dim_Supplier!$A$2:$A$21,0))</f>
        <v>Northern Resin Solutions</v>
      </c>
      <c r="F1183" s="5" t="s">
        <v>144</v>
      </c>
      <c r="G1183" s="5" t="s">
        <v>120</v>
      </c>
      <c r="H1183" s="8" t="n">
        <f aca="false">INDEX(Lookup_Tables!$B$2:$B$5,MATCH(D1183,Lookup_Tables!$A$2:$A$5,0))</f>
        <v>21</v>
      </c>
      <c r="I1183" s="9" t="n">
        <f aca="false">C1183+H1183</f>
        <v>45643</v>
      </c>
      <c r="J1183" s="5" t="n">
        <v>-2</v>
      </c>
      <c r="K1183" s="9" t="n">
        <f aca="false">I1183+J1183</f>
        <v>45641</v>
      </c>
      <c r="L1183" s="5" t="n">
        <v>694</v>
      </c>
      <c r="M1183" s="10" t="n">
        <f aca="false">INDEX(Dim_Supplier!$F$2:$F$21,MATCH(B1183,Dim_Supplier!$A$2:$A$21,0))</f>
        <v>38.9</v>
      </c>
      <c r="N1183" s="11" t="n">
        <v>0.0453</v>
      </c>
      <c r="O1183" s="10" t="n">
        <f aca="false">M1183*(1+N1183)</f>
        <v>40.66217</v>
      </c>
      <c r="P1183" s="10" t="n">
        <f aca="false">O1183*L1183</f>
        <v>28219.54598</v>
      </c>
      <c r="Q1183" s="5" t="s">
        <v>113</v>
      </c>
      <c r="R1183" s="5" t="n">
        <v>0</v>
      </c>
      <c r="S1183" s="5" t="n">
        <v>45</v>
      </c>
      <c r="T1183" s="12" t="n">
        <f aca="false">(O1183-M1183)/M1183</f>
        <v>0.0452999999999999</v>
      </c>
      <c r="U1183" s="8" t="n">
        <f aca="false">IF(AND(K1183&lt;=I1183,R1183=0),1,0)</f>
        <v>1</v>
      </c>
      <c r="V1183" s="10" t="n">
        <f aca="false">IF(Q1183="No",P1183,0)</f>
        <v>0</v>
      </c>
    </row>
    <row r="1184" customFormat="false" ht="15" hidden="false" customHeight="false" outlineLevel="0" collapsed="false">
      <c r="A1184" s="5" t="s">
        <v>1318</v>
      </c>
      <c r="B1184" s="5" t="s">
        <v>75</v>
      </c>
      <c r="C1184" s="7" t="n">
        <v>45823</v>
      </c>
      <c r="D1184" s="8" t="str">
        <f aca="false">INDEX(Dim_Supplier!$C$2:$C$21,MATCH(B1184,Dim_Supplier!$A$2:$A$21,0))</f>
        <v>MRO</v>
      </c>
      <c r="E1184" s="8" t="str">
        <f aca="false">INDEX(Dim_Supplier!$B$2:$B$21,MATCH(B1184,Dim_Supplier!$A$2:$A$21,0))</f>
        <v>Sterling Lubricants Inc.</v>
      </c>
      <c r="F1184" s="5" t="s">
        <v>132</v>
      </c>
      <c r="G1184" s="5" t="s">
        <v>120</v>
      </c>
      <c r="H1184" s="8" t="n">
        <f aca="false">INDEX(Lookup_Tables!$B$2:$B$5,MATCH(D1184,Lookup_Tables!$A$2:$A$5,0))</f>
        <v>10</v>
      </c>
      <c r="I1184" s="9" t="n">
        <f aca="false">C1184+H1184</f>
        <v>45833</v>
      </c>
      <c r="J1184" s="5" t="n">
        <v>-4</v>
      </c>
      <c r="K1184" s="9" t="n">
        <f aca="false">I1184+J1184</f>
        <v>45829</v>
      </c>
      <c r="L1184" s="5" t="n">
        <v>89</v>
      </c>
      <c r="M1184" s="10" t="n">
        <f aca="false">INDEX(Dim_Supplier!$F$2:$F$21,MATCH(B1184,Dim_Supplier!$A$2:$A$21,0))</f>
        <v>27.1</v>
      </c>
      <c r="N1184" s="11" t="n">
        <v>0.0224</v>
      </c>
      <c r="O1184" s="10" t="n">
        <f aca="false">M1184*(1+N1184)</f>
        <v>27.70704</v>
      </c>
      <c r="P1184" s="10" t="n">
        <f aca="false">O1184*L1184</f>
        <v>2465.92656</v>
      </c>
      <c r="Q1184" s="5" t="s">
        <v>133</v>
      </c>
      <c r="R1184" s="5" t="n">
        <v>0</v>
      </c>
      <c r="S1184" s="5" t="n">
        <v>60</v>
      </c>
      <c r="T1184" s="12" t="n">
        <f aca="false">(O1184-M1184)/M1184</f>
        <v>0.0223999999999999</v>
      </c>
      <c r="U1184" s="8" t="n">
        <f aca="false">IF(AND(K1184&lt;=I1184,R1184=0),1,0)</f>
        <v>1</v>
      </c>
      <c r="V1184" s="10" t="n">
        <f aca="false">IF(Q1184="No",P1184,0)</f>
        <v>2465.92656</v>
      </c>
    </row>
    <row r="1185" customFormat="false" ht="15" hidden="false" customHeight="false" outlineLevel="0" collapsed="false">
      <c r="A1185" s="5" t="s">
        <v>1319</v>
      </c>
      <c r="B1185" s="5" t="s">
        <v>46</v>
      </c>
      <c r="C1185" s="7" t="n">
        <v>45828</v>
      </c>
      <c r="D1185" s="8" t="str">
        <f aca="false">INDEX(Dim_Supplier!$C$2:$C$21,MATCH(B1185,Dim_Supplier!$A$2:$A$21,0))</f>
        <v>Raw Materials</v>
      </c>
      <c r="E1185" s="8" t="str">
        <f aca="false">INDEX(Dim_Supplier!$B$2:$B$21,MATCH(B1185,Dim_Supplier!$A$2:$A$21,0))</f>
        <v>Niagara Alloy Supply</v>
      </c>
      <c r="F1185" s="5" t="s">
        <v>142</v>
      </c>
      <c r="G1185" s="5" t="s">
        <v>129</v>
      </c>
      <c r="H1185" s="8" t="n">
        <f aca="false">INDEX(Lookup_Tables!$B$2:$B$5,MATCH(D1185,Lookup_Tables!$A$2:$A$5,0))</f>
        <v>21</v>
      </c>
      <c r="I1185" s="9" t="n">
        <f aca="false">C1185+H1185</f>
        <v>45849</v>
      </c>
      <c r="J1185" s="5" t="n">
        <v>-2</v>
      </c>
      <c r="K1185" s="9" t="n">
        <f aca="false">I1185+J1185</f>
        <v>45847</v>
      </c>
      <c r="L1185" s="5" t="n">
        <v>1063</v>
      </c>
      <c r="M1185" s="10" t="n">
        <f aca="false">INDEX(Dim_Supplier!$F$2:$F$21,MATCH(B1185,Dim_Supplier!$A$2:$A$21,0))</f>
        <v>46.5</v>
      </c>
      <c r="N1185" s="11" t="n">
        <v>0.0415</v>
      </c>
      <c r="O1185" s="10" t="n">
        <f aca="false">M1185*(1+N1185)</f>
        <v>48.42975</v>
      </c>
      <c r="P1185" s="10" t="n">
        <f aca="false">O1185*L1185</f>
        <v>51480.82425</v>
      </c>
      <c r="Q1185" s="5" t="s">
        <v>113</v>
      </c>
      <c r="R1185" s="5" t="n">
        <v>0</v>
      </c>
      <c r="S1185" s="5" t="n">
        <v>30</v>
      </c>
      <c r="T1185" s="12" t="n">
        <f aca="false">(O1185-M1185)/M1185</f>
        <v>0.0415000000000001</v>
      </c>
      <c r="U1185" s="8" t="n">
        <f aca="false">IF(AND(K1185&lt;=I1185,R1185=0),1,0)</f>
        <v>1</v>
      </c>
      <c r="V1185" s="10" t="n">
        <f aca="false">IF(Q1185="No",P1185,0)</f>
        <v>0</v>
      </c>
    </row>
    <row r="1186" customFormat="false" ht="15" hidden="false" customHeight="false" outlineLevel="0" collapsed="false">
      <c r="A1186" s="5" t="s">
        <v>1320</v>
      </c>
      <c r="B1186" s="5" t="s">
        <v>52</v>
      </c>
      <c r="C1186" s="7" t="n">
        <v>46002</v>
      </c>
      <c r="D1186" s="8" t="str">
        <f aca="false">INDEX(Dim_Supplier!$C$2:$C$21,MATCH(B1186,Dim_Supplier!$A$2:$A$21,0))</f>
        <v>Raw Materials</v>
      </c>
      <c r="E1186" s="8" t="str">
        <f aca="false">INDEX(Dim_Supplier!$B$2:$B$21,MATCH(B1186,Dim_Supplier!$A$2:$A$21,0))</f>
        <v>Laurentian Metals Inc.</v>
      </c>
      <c r="F1186" s="5" t="s">
        <v>148</v>
      </c>
      <c r="G1186" s="5" t="s">
        <v>125</v>
      </c>
      <c r="H1186" s="8" t="n">
        <f aca="false">INDEX(Lookup_Tables!$B$2:$B$5,MATCH(D1186,Lookup_Tables!$A$2:$A$5,0))</f>
        <v>21</v>
      </c>
      <c r="I1186" s="9" t="n">
        <f aca="false">C1186+H1186</f>
        <v>46023</v>
      </c>
      <c r="J1186" s="5" t="n">
        <v>-3</v>
      </c>
      <c r="K1186" s="9" t="n">
        <f aca="false">I1186+J1186</f>
        <v>46020</v>
      </c>
      <c r="L1186" s="5" t="n">
        <v>1059</v>
      </c>
      <c r="M1186" s="10" t="n">
        <f aca="false">INDEX(Dim_Supplier!$F$2:$F$21,MATCH(B1186,Dim_Supplier!$A$2:$A$21,0))</f>
        <v>61.2</v>
      </c>
      <c r="N1186" s="11" t="n">
        <v>0.0262</v>
      </c>
      <c r="O1186" s="10" t="n">
        <f aca="false">M1186*(1+N1186)</f>
        <v>62.80344</v>
      </c>
      <c r="P1186" s="10" t="n">
        <f aca="false">O1186*L1186</f>
        <v>66508.84296</v>
      </c>
      <c r="Q1186" s="5" t="s">
        <v>113</v>
      </c>
      <c r="R1186" s="5" t="n">
        <v>0</v>
      </c>
      <c r="S1186" s="5" t="n">
        <v>45</v>
      </c>
      <c r="T1186" s="12" t="n">
        <f aca="false">(O1186-M1186)/M1186</f>
        <v>0.0262</v>
      </c>
      <c r="U1186" s="8" t="n">
        <f aca="false">IF(AND(K1186&lt;=I1186,R1186=0),1,0)</f>
        <v>1</v>
      </c>
      <c r="V1186" s="10" t="n">
        <f aca="false">IF(Q1186="No",P1186,0)</f>
        <v>0</v>
      </c>
    </row>
    <row r="1187" customFormat="false" ht="15" hidden="false" customHeight="false" outlineLevel="0" collapsed="false">
      <c r="A1187" s="5" t="s">
        <v>1321</v>
      </c>
      <c r="B1187" s="5" t="s">
        <v>84</v>
      </c>
      <c r="C1187" s="7" t="n">
        <v>45645</v>
      </c>
      <c r="D1187" s="8" t="str">
        <f aca="false">INDEX(Dim_Supplier!$C$2:$C$21,MATCH(B1187,Dim_Supplier!$A$2:$A$21,0))</f>
        <v>Logistics</v>
      </c>
      <c r="E1187" s="8" t="str">
        <f aca="false">INDEX(Dim_Supplier!$B$2:$B$21,MATCH(B1187,Dim_Supplier!$A$2:$A$21,0))</f>
        <v>Trans-Canada Carriers</v>
      </c>
      <c r="F1187" s="5" t="s">
        <v>124</v>
      </c>
      <c r="G1187" s="5" t="s">
        <v>112</v>
      </c>
      <c r="H1187" s="8" t="n">
        <f aca="false">INDEX(Lookup_Tables!$B$2:$B$5,MATCH(D1187,Lookup_Tables!$A$2:$A$5,0))</f>
        <v>5</v>
      </c>
      <c r="I1187" s="9" t="n">
        <f aca="false">C1187+H1187</f>
        <v>45650</v>
      </c>
      <c r="J1187" s="5" t="n">
        <v>3</v>
      </c>
      <c r="K1187" s="9" t="n">
        <f aca="false">I1187+J1187</f>
        <v>45653</v>
      </c>
      <c r="L1187" s="5" t="n">
        <v>28</v>
      </c>
      <c r="M1187" s="10" t="n">
        <f aca="false">INDEX(Dim_Supplier!$F$2:$F$21,MATCH(B1187,Dim_Supplier!$A$2:$A$21,0))</f>
        <v>210</v>
      </c>
      <c r="N1187" s="11" t="n">
        <v>0.1666</v>
      </c>
      <c r="O1187" s="10" t="n">
        <f aca="false">M1187*(1+N1187)</f>
        <v>244.986</v>
      </c>
      <c r="P1187" s="10" t="n">
        <f aca="false">O1187*L1187</f>
        <v>6859.608</v>
      </c>
      <c r="Q1187" s="5" t="s">
        <v>133</v>
      </c>
      <c r="R1187" s="5" t="n">
        <v>0</v>
      </c>
      <c r="S1187" s="5" t="n">
        <v>45</v>
      </c>
      <c r="T1187" s="12" t="n">
        <f aca="false">(O1187-M1187)/M1187</f>
        <v>0.1666</v>
      </c>
      <c r="U1187" s="8" t="n">
        <f aca="false">IF(AND(K1187&lt;=I1187,R1187=0),1,0)</f>
        <v>0</v>
      </c>
      <c r="V1187" s="10" t="n">
        <f aca="false">IF(Q1187="No",P1187,0)</f>
        <v>6859.608</v>
      </c>
    </row>
    <row r="1188" customFormat="false" ht="15" hidden="false" customHeight="false" outlineLevel="0" collapsed="false">
      <c r="A1188" s="5" t="s">
        <v>1322</v>
      </c>
      <c r="B1188" s="5" t="s">
        <v>60</v>
      </c>
      <c r="C1188" s="7" t="n">
        <v>45552</v>
      </c>
      <c r="D1188" s="8" t="str">
        <f aca="false">INDEX(Dim_Supplier!$C$2:$C$21,MATCH(B1188,Dim_Supplier!$A$2:$A$21,0))</f>
        <v>Packaging</v>
      </c>
      <c r="E1188" s="8" t="str">
        <f aca="false">INDEX(Dim_Supplier!$B$2:$B$21,MATCH(B1188,Dim_Supplier!$A$2:$A$21,0))</f>
        <v>Maple Leaf Box &amp; Crate</v>
      </c>
      <c r="F1188" s="5" t="s">
        <v>122</v>
      </c>
      <c r="G1188" s="5" t="s">
        <v>112</v>
      </c>
      <c r="H1188" s="8" t="n">
        <f aca="false">INDEX(Lookup_Tables!$B$2:$B$5,MATCH(D1188,Lookup_Tables!$A$2:$A$5,0))</f>
        <v>14</v>
      </c>
      <c r="I1188" s="9" t="n">
        <f aca="false">C1188+H1188</f>
        <v>45566</v>
      </c>
      <c r="J1188" s="5" t="n">
        <v>0</v>
      </c>
      <c r="K1188" s="9" t="n">
        <f aca="false">I1188+J1188</f>
        <v>45566</v>
      </c>
      <c r="L1188" s="5" t="n">
        <v>2273</v>
      </c>
      <c r="M1188" s="10" t="n">
        <f aca="false">INDEX(Dim_Supplier!$F$2:$F$21,MATCH(B1188,Dim_Supplier!$A$2:$A$21,0))</f>
        <v>3.1</v>
      </c>
      <c r="N1188" s="11" t="n">
        <v>0.0454</v>
      </c>
      <c r="O1188" s="10" t="n">
        <f aca="false">M1188*(1+N1188)</f>
        <v>3.24074</v>
      </c>
      <c r="P1188" s="10" t="n">
        <f aca="false">O1188*L1188</f>
        <v>7366.20202</v>
      </c>
      <c r="Q1188" s="5" t="s">
        <v>113</v>
      </c>
      <c r="R1188" s="5" t="n">
        <v>0</v>
      </c>
      <c r="S1188" s="5" t="n">
        <v>30</v>
      </c>
      <c r="T1188" s="12" t="n">
        <f aca="false">(O1188-M1188)/M1188</f>
        <v>0.0454000000000002</v>
      </c>
      <c r="U1188" s="8" t="n">
        <f aca="false">IF(AND(K1188&lt;=I1188,R1188=0),1,0)</f>
        <v>1</v>
      </c>
      <c r="V1188" s="10" t="n">
        <f aca="false">IF(Q1188="No",P1188,0)</f>
        <v>0</v>
      </c>
    </row>
    <row r="1189" customFormat="false" ht="15" hidden="false" customHeight="false" outlineLevel="0" collapsed="false">
      <c r="A1189" s="5" t="s">
        <v>1323</v>
      </c>
      <c r="B1189" s="5" t="s">
        <v>79</v>
      </c>
      <c r="C1189" s="7" t="n">
        <v>45893</v>
      </c>
      <c r="D1189" s="8" t="str">
        <f aca="false">INDEX(Dim_Supplier!$C$2:$C$21,MATCH(B1189,Dim_Supplier!$A$2:$A$21,0))</f>
        <v>Logistics</v>
      </c>
      <c r="E1189" s="8" t="str">
        <f aca="false">INDEX(Dim_Supplier!$B$2:$B$21,MATCH(B1189,Dim_Supplier!$A$2:$A$21,0))</f>
        <v>Niagara Freight Solutions</v>
      </c>
      <c r="F1189" s="5" t="s">
        <v>237</v>
      </c>
      <c r="G1189" s="5" t="s">
        <v>120</v>
      </c>
      <c r="H1189" s="8" t="n">
        <f aca="false">INDEX(Lookup_Tables!$B$2:$B$5,MATCH(D1189,Lookup_Tables!$A$2:$A$5,0))</f>
        <v>5</v>
      </c>
      <c r="I1189" s="9" t="n">
        <f aca="false">C1189+H1189</f>
        <v>45898</v>
      </c>
      <c r="J1189" s="5" t="n">
        <v>-4</v>
      </c>
      <c r="K1189" s="9" t="n">
        <f aca="false">I1189+J1189</f>
        <v>45894</v>
      </c>
      <c r="L1189" s="5" t="n">
        <v>39</v>
      </c>
      <c r="M1189" s="10" t="n">
        <f aca="false">INDEX(Dim_Supplier!$F$2:$F$21,MATCH(B1189,Dim_Supplier!$A$2:$A$21,0))</f>
        <v>340</v>
      </c>
      <c r="N1189" s="11" t="n">
        <v>-0.0079</v>
      </c>
      <c r="O1189" s="10" t="n">
        <f aca="false">M1189*(1+N1189)</f>
        <v>337.314</v>
      </c>
      <c r="P1189" s="10" t="n">
        <f aca="false">O1189*L1189</f>
        <v>13155.246</v>
      </c>
      <c r="Q1189" s="5" t="s">
        <v>113</v>
      </c>
      <c r="R1189" s="5" t="n">
        <v>0</v>
      </c>
      <c r="S1189" s="5" t="n">
        <v>60</v>
      </c>
      <c r="T1189" s="12" t="n">
        <f aca="false">(O1189-M1189)/M1189</f>
        <v>-0.00789999999999994</v>
      </c>
      <c r="U1189" s="8" t="n">
        <f aca="false">IF(AND(K1189&lt;=I1189,R1189=0),1,0)</f>
        <v>1</v>
      </c>
      <c r="V1189" s="10" t="n">
        <f aca="false">IF(Q1189="No",P1189,0)</f>
        <v>0</v>
      </c>
    </row>
    <row r="1190" customFormat="false" ht="15" hidden="false" customHeight="false" outlineLevel="0" collapsed="false">
      <c r="A1190" s="5" t="s">
        <v>1324</v>
      </c>
      <c r="B1190" s="5" t="s">
        <v>75</v>
      </c>
      <c r="C1190" s="7" t="n">
        <v>45776</v>
      </c>
      <c r="D1190" s="8" t="str">
        <f aca="false">INDEX(Dim_Supplier!$C$2:$C$21,MATCH(B1190,Dim_Supplier!$A$2:$A$21,0))</f>
        <v>MRO</v>
      </c>
      <c r="E1190" s="8" t="str">
        <f aca="false">INDEX(Dim_Supplier!$B$2:$B$21,MATCH(B1190,Dim_Supplier!$A$2:$A$21,0))</f>
        <v>Sterling Lubricants Inc.</v>
      </c>
      <c r="F1190" s="5" t="s">
        <v>164</v>
      </c>
      <c r="G1190" s="5" t="s">
        <v>112</v>
      </c>
      <c r="H1190" s="8" t="n">
        <f aca="false">INDEX(Lookup_Tables!$B$2:$B$5,MATCH(D1190,Lookup_Tables!$A$2:$A$5,0))</f>
        <v>10</v>
      </c>
      <c r="I1190" s="9" t="n">
        <f aca="false">C1190+H1190</f>
        <v>45786</v>
      </c>
      <c r="J1190" s="5" t="n">
        <v>-2</v>
      </c>
      <c r="K1190" s="9" t="n">
        <f aca="false">I1190+J1190</f>
        <v>45784</v>
      </c>
      <c r="L1190" s="5" t="n">
        <v>60</v>
      </c>
      <c r="M1190" s="10" t="n">
        <f aca="false">INDEX(Dim_Supplier!$F$2:$F$21,MATCH(B1190,Dim_Supplier!$A$2:$A$21,0))</f>
        <v>27.1</v>
      </c>
      <c r="N1190" s="11" t="n">
        <v>0.0202</v>
      </c>
      <c r="O1190" s="10" t="n">
        <f aca="false">M1190*(1+N1190)</f>
        <v>27.64742</v>
      </c>
      <c r="P1190" s="10" t="n">
        <f aca="false">O1190*L1190</f>
        <v>1658.8452</v>
      </c>
      <c r="Q1190" s="5" t="s">
        <v>113</v>
      </c>
      <c r="R1190" s="5" t="n">
        <v>0</v>
      </c>
      <c r="S1190" s="5" t="n">
        <v>30</v>
      </c>
      <c r="T1190" s="12" t="n">
        <f aca="false">(O1190-M1190)/M1190</f>
        <v>0.0202</v>
      </c>
      <c r="U1190" s="8" t="n">
        <f aca="false">IF(AND(K1190&lt;=I1190,R1190=0),1,0)</f>
        <v>1</v>
      </c>
      <c r="V1190" s="10" t="n">
        <f aca="false">IF(Q1190="No",P1190,0)</f>
        <v>0</v>
      </c>
    </row>
    <row r="1191" customFormat="false" ht="15" hidden="false" customHeight="false" outlineLevel="0" collapsed="false">
      <c r="A1191" s="5" t="s">
        <v>1325</v>
      </c>
      <c r="B1191" s="5" t="s">
        <v>49</v>
      </c>
      <c r="C1191" s="7" t="n">
        <v>46187</v>
      </c>
      <c r="D1191" s="8" t="str">
        <f aca="false">INDEX(Dim_Supplier!$C$2:$C$21,MATCH(B1191,Dim_Supplier!$A$2:$A$21,0))</f>
        <v>Raw Materials</v>
      </c>
      <c r="E1191" s="8" t="str">
        <f aca="false">INDEX(Dim_Supplier!$B$2:$B$21,MATCH(B1191,Dim_Supplier!$A$2:$A$21,0))</f>
        <v>Great Lakes Polymer Co.</v>
      </c>
      <c r="F1191" s="5" t="s">
        <v>148</v>
      </c>
      <c r="G1191" s="5" t="s">
        <v>120</v>
      </c>
      <c r="H1191" s="8" t="n">
        <f aca="false">INDEX(Lookup_Tables!$B$2:$B$5,MATCH(D1191,Lookup_Tables!$A$2:$A$5,0))</f>
        <v>21</v>
      </c>
      <c r="I1191" s="9" t="n">
        <f aca="false">C1191+H1191</f>
        <v>46208</v>
      </c>
      <c r="J1191" s="5" t="n">
        <v>9</v>
      </c>
      <c r="K1191" s="9" t="n">
        <f aca="false">I1191+J1191</f>
        <v>46217</v>
      </c>
      <c r="L1191" s="5" t="n">
        <v>380</v>
      </c>
      <c r="M1191" s="10" t="n">
        <f aca="false">INDEX(Dim_Supplier!$F$2:$F$21,MATCH(B1191,Dim_Supplier!$A$2:$A$21,0))</f>
        <v>32.75</v>
      </c>
      <c r="N1191" s="11" t="n">
        <v>0.1448</v>
      </c>
      <c r="O1191" s="10" t="n">
        <f aca="false">M1191*(1+N1191)</f>
        <v>37.4922</v>
      </c>
      <c r="P1191" s="10" t="n">
        <f aca="false">O1191*L1191</f>
        <v>14247.036</v>
      </c>
      <c r="Q1191" s="5" t="s">
        <v>113</v>
      </c>
      <c r="R1191" s="5" t="n">
        <v>0</v>
      </c>
      <c r="S1191" s="5" t="n">
        <v>45</v>
      </c>
      <c r="T1191" s="12" t="n">
        <f aca="false">(O1191-M1191)/M1191</f>
        <v>0.1448</v>
      </c>
      <c r="U1191" s="8" t="n">
        <f aca="false">IF(AND(K1191&lt;=I1191,R1191=0),1,0)</f>
        <v>0</v>
      </c>
      <c r="V1191" s="10" t="n">
        <f aca="false">IF(Q1191="No",P1191,0)</f>
        <v>0</v>
      </c>
    </row>
    <row r="1192" customFormat="false" ht="15" hidden="false" customHeight="false" outlineLevel="0" collapsed="false">
      <c r="A1192" s="5" t="s">
        <v>1326</v>
      </c>
      <c r="B1192" s="5" t="s">
        <v>57</v>
      </c>
      <c r="C1192" s="7" t="n">
        <v>45804</v>
      </c>
      <c r="D1192" s="8" t="str">
        <f aca="false">INDEX(Dim_Supplier!$C$2:$C$21,MATCH(B1192,Dim_Supplier!$A$2:$A$21,0))</f>
        <v>Packaging</v>
      </c>
      <c r="E1192" s="8" t="str">
        <f aca="false">INDEX(Dim_Supplier!$B$2:$B$21,MATCH(B1192,Dim_Supplier!$A$2:$A$21,0))</f>
        <v>Great Lakes Packaging Co.</v>
      </c>
      <c r="F1192" s="5" t="s">
        <v>117</v>
      </c>
      <c r="G1192" s="5" t="s">
        <v>112</v>
      </c>
      <c r="H1192" s="8" t="n">
        <f aca="false">INDEX(Lookup_Tables!$B$2:$B$5,MATCH(D1192,Lookup_Tables!$A$2:$A$5,0))</f>
        <v>14</v>
      </c>
      <c r="I1192" s="9" t="n">
        <f aca="false">C1192+H1192</f>
        <v>45818</v>
      </c>
      <c r="J1192" s="5" t="n">
        <v>-4</v>
      </c>
      <c r="K1192" s="9" t="n">
        <f aca="false">I1192+J1192</f>
        <v>45814</v>
      </c>
      <c r="L1192" s="5" t="n">
        <v>3658</v>
      </c>
      <c r="M1192" s="10" t="n">
        <f aca="false">INDEX(Dim_Supplier!$F$2:$F$21,MATCH(B1192,Dim_Supplier!$A$2:$A$21,0))</f>
        <v>4.35</v>
      </c>
      <c r="N1192" s="11" t="n">
        <v>0.0028</v>
      </c>
      <c r="O1192" s="10" t="n">
        <f aca="false">M1192*(1+N1192)</f>
        <v>4.36218</v>
      </c>
      <c r="P1192" s="10" t="n">
        <f aca="false">O1192*L1192</f>
        <v>15956.85444</v>
      </c>
      <c r="Q1192" s="5" t="s">
        <v>113</v>
      </c>
      <c r="R1192" s="5" t="n">
        <v>0</v>
      </c>
      <c r="S1192" s="5" t="n">
        <v>60</v>
      </c>
      <c r="T1192" s="12" t="n">
        <f aca="false">(O1192-M1192)/M1192</f>
        <v>0.00279999999999997</v>
      </c>
      <c r="U1192" s="8" t="n">
        <f aca="false">IF(AND(K1192&lt;=I1192,R1192=0),1,0)</f>
        <v>1</v>
      </c>
      <c r="V1192" s="10" t="n">
        <f aca="false">IF(Q1192="No",P1192,0)</f>
        <v>0</v>
      </c>
    </row>
    <row r="1193" customFormat="false" ht="15" hidden="false" customHeight="false" outlineLevel="0" collapsed="false">
      <c r="A1193" s="5" t="s">
        <v>1327</v>
      </c>
      <c r="B1193" s="5" t="s">
        <v>57</v>
      </c>
      <c r="C1193" s="7" t="n">
        <v>45372</v>
      </c>
      <c r="D1193" s="8" t="str">
        <f aca="false">INDEX(Dim_Supplier!$C$2:$C$21,MATCH(B1193,Dim_Supplier!$A$2:$A$21,0))</f>
        <v>Packaging</v>
      </c>
      <c r="E1193" s="8" t="str">
        <f aca="false">INDEX(Dim_Supplier!$B$2:$B$21,MATCH(B1193,Dim_Supplier!$A$2:$A$21,0))</f>
        <v>Great Lakes Packaging Co.</v>
      </c>
      <c r="F1193" s="5" t="s">
        <v>122</v>
      </c>
      <c r="G1193" s="5" t="s">
        <v>112</v>
      </c>
      <c r="H1193" s="8" t="n">
        <f aca="false">INDEX(Lookup_Tables!$B$2:$B$5,MATCH(D1193,Lookup_Tables!$A$2:$A$5,0))</f>
        <v>14</v>
      </c>
      <c r="I1193" s="9" t="n">
        <f aca="false">C1193+H1193</f>
        <v>45386</v>
      </c>
      <c r="J1193" s="5" t="n">
        <v>2</v>
      </c>
      <c r="K1193" s="9" t="n">
        <f aca="false">I1193+J1193</f>
        <v>45388</v>
      </c>
      <c r="L1193" s="5" t="n">
        <v>2775</v>
      </c>
      <c r="M1193" s="10" t="n">
        <f aca="false">INDEX(Dim_Supplier!$F$2:$F$21,MATCH(B1193,Dim_Supplier!$A$2:$A$21,0))</f>
        <v>4.35</v>
      </c>
      <c r="N1193" s="11" t="n">
        <v>-0.0034</v>
      </c>
      <c r="O1193" s="10" t="n">
        <f aca="false">M1193*(1+N1193)</f>
        <v>4.33521</v>
      </c>
      <c r="P1193" s="10" t="n">
        <f aca="false">O1193*L1193</f>
        <v>12030.20775</v>
      </c>
      <c r="Q1193" s="5" t="s">
        <v>113</v>
      </c>
      <c r="R1193" s="5" t="n">
        <v>0</v>
      </c>
      <c r="S1193" s="5" t="n">
        <v>45</v>
      </c>
      <c r="T1193" s="12" t="n">
        <f aca="false">(O1193-M1193)/M1193</f>
        <v>-0.00339999999999992</v>
      </c>
      <c r="U1193" s="8" t="n">
        <f aca="false">IF(AND(K1193&lt;=I1193,R1193=0),1,0)</f>
        <v>0</v>
      </c>
      <c r="V1193" s="10" t="n">
        <f aca="false">IF(Q1193="No",P1193,0)</f>
        <v>0</v>
      </c>
    </row>
    <row r="1194" customFormat="false" ht="15" hidden="false" customHeight="false" outlineLevel="0" collapsed="false">
      <c r="A1194" s="5" t="s">
        <v>1328</v>
      </c>
      <c r="B1194" s="5" t="s">
        <v>66</v>
      </c>
      <c r="C1194" s="7" t="n">
        <v>46099</v>
      </c>
      <c r="D1194" s="8" t="str">
        <f aca="false">INDEX(Dim_Supplier!$C$2:$C$21,MATCH(B1194,Dim_Supplier!$A$2:$A$21,0))</f>
        <v>Packaging</v>
      </c>
      <c r="E1194" s="8" t="str">
        <f aca="false">INDEX(Dim_Supplier!$B$2:$B$21,MATCH(B1194,Dim_Supplier!$A$2:$A$21,0))</f>
        <v>EverGreen Wrap Industries</v>
      </c>
      <c r="F1194" s="5" t="s">
        <v>119</v>
      </c>
      <c r="G1194" s="5" t="s">
        <v>129</v>
      </c>
      <c r="H1194" s="8" t="n">
        <f aca="false">INDEX(Lookup_Tables!$B$2:$B$5,MATCH(D1194,Lookup_Tables!$A$2:$A$5,0))</f>
        <v>14</v>
      </c>
      <c r="I1194" s="9" t="n">
        <f aca="false">C1194+H1194</f>
        <v>46113</v>
      </c>
      <c r="J1194" s="5" t="n">
        <v>-3</v>
      </c>
      <c r="K1194" s="9" t="n">
        <f aca="false">I1194+J1194</f>
        <v>46110</v>
      </c>
      <c r="L1194" s="5" t="n">
        <v>3352</v>
      </c>
      <c r="M1194" s="10" t="n">
        <f aca="false">INDEX(Dim_Supplier!$F$2:$F$21,MATCH(B1194,Dim_Supplier!$A$2:$A$21,0))</f>
        <v>6.8</v>
      </c>
      <c r="N1194" s="11" t="n">
        <v>0.0524</v>
      </c>
      <c r="O1194" s="10" t="n">
        <f aca="false">M1194*(1+N1194)</f>
        <v>7.15632</v>
      </c>
      <c r="P1194" s="10" t="n">
        <f aca="false">O1194*L1194</f>
        <v>23987.98464</v>
      </c>
      <c r="Q1194" s="5" t="s">
        <v>113</v>
      </c>
      <c r="R1194" s="5" t="n">
        <v>0</v>
      </c>
      <c r="S1194" s="5" t="n">
        <v>60</v>
      </c>
      <c r="T1194" s="12" t="n">
        <f aca="false">(O1194-M1194)/M1194</f>
        <v>0.0524</v>
      </c>
      <c r="U1194" s="8" t="n">
        <f aca="false">IF(AND(K1194&lt;=I1194,R1194=0),1,0)</f>
        <v>1</v>
      </c>
      <c r="V1194" s="10" t="n">
        <f aca="false">IF(Q1194="No",P1194,0)</f>
        <v>0</v>
      </c>
    </row>
    <row r="1195" customFormat="false" ht="15" hidden="false" customHeight="false" outlineLevel="0" collapsed="false">
      <c r="A1195" s="5" t="s">
        <v>1329</v>
      </c>
      <c r="B1195" s="5" t="s">
        <v>79</v>
      </c>
      <c r="C1195" s="7" t="n">
        <v>45646</v>
      </c>
      <c r="D1195" s="8" t="str">
        <f aca="false">INDEX(Dim_Supplier!$C$2:$C$21,MATCH(B1195,Dim_Supplier!$A$2:$A$21,0))</f>
        <v>Logistics</v>
      </c>
      <c r="E1195" s="8" t="str">
        <f aca="false">INDEX(Dim_Supplier!$B$2:$B$21,MATCH(B1195,Dim_Supplier!$A$2:$A$21,0))</f>
        <v>Niagara Freight Solutions</v>
      </c>
      <c r="F1195" s="5" t="s">
        <v>237</v>
      </c>
      <c r="G1195" s="5" t="s">
        <v>112</v>
      </c>
      <c r="H1195" s="8" t="n">
        <f aca="false">INDEX(Lookup_Tables!$B$2:$B$5,MATCH(D1195,Lookup_Tables!$A$2:$A$5,0))</f>
        <v>5</v>
      </c>
      <c r="I1195" s="9" t="n">
        <f aca="false">C1195+H1195</f>
        <v>45651</v>
      </c>
      <c r="J1195" s="5" t="n">
        <v>-4</v>
      </c>
      <c r="K1195" s="9" t="n">
        <f aca="false">I1195+J1195</f>
        <v>45647</v>
      </c>
      <c r="L1195" s="5" t="n">
        <v>13</v>
      </c>
      <c r="M1195" s="10" t="n">
        <f aca="false">INDEX(Dim_Supplier!$F$2:$F$21,MATCH(B1195,Dim_Supplier!$A$2:$A$21,0))</f>
        <v>340</v>
      </c>
      <c r="N1195" s="11" t="n">
        <v>-0.0174</v>
      </c>
      <c r="O1195" s="10" t="n">
        <f aca="false">M1195*(1+N1195)</f>
        <v>334.084</v>
      </c>
      <c r="P1195" s="10" t="n">
        <f aca="false">O1195*L1195</f>
        <v>4343.092</v>
      </c>
      <c r="Q1195" s="5" t="s">
        <v>113</v>
      </c>
      <c r="R1195" s="5" t="n">
        <v>0</v>
      </c>
      <c r="S1195" s="5" t="n">
        <v>45</v>
      </c>
      <c r="T1195" s="12" t="n">
        <f aca="false">(O1195-M1195)/M1195</f>
        <v>-0.0174</v>
      </c>
      <c r="U1195" s="8" t="n">
        <f aca="false">IF(AND(K1195&lt;=I1195,R1195=0),1,0)</f>
        <v>1</v>
      </c>
      <c r="V1195" s="10" t="n">
        <f aca="false">IF(Q1195="No",P1195,0)</f>
        <v>0</v>
      </c>
    </row>
    <row r="1196" customFormat="false" ht="15" hidden="false" customHeight="false" outlineLevel="0" collapsed="false">
      <c r="A1196" s="5" t="s">
        <v>1330</v>
      </c>
      <c r="B1196" s="5" t="s">
        <v>41</v>
      </c>
      <c r="C1196" s="7" t="n">
        <v>45744</v>
      </c>
      <c r="D1196" s="8" t="str">
        <f aca="false">INDEX(Dim_Supplier!$C$2:$C$21,MATCH(B1196,Dim_Supplier!$A$2:$A$21,0))</f>
        <v>Raw Materials</v>
      </c>
      <c r="E1196" s="8" t="str">
        <f aca="false">INDEX(Dim_Supplier!$B$2:$B$21,MATCH(B1196,Dim_Supplier!$A$2:$A$21,0))</f>
        <v>Ontario Steel Partners</v>
      </c>
      <c r="F1196" s="5" t="s">
        <v>139</v>
      </c>
      <c r="G1196" s="5" t="s">
        <v>112</v>
      </c>
      <c r="H1196" s="8" t="n">
        <f aca="false">INDEX(Lookup_Tables!$B$2:$B$5,MATCH(D1196,Lookup_Tables!$A$2:$A$5,0))</f>
        <v>21</v>
      </c>
      <c r="I1196" s="9" t="n">
        <f aca="false">C1196+H1196</f>
        <v>45765</v>
      </c>
      <c r="J1196" s="5" t="n">
        <v>-1</v>
      </c>
      <c r="K1196" s="9" t="n">
        <f aca="false">I1196+J1196</f>
        <v>45764</v>
      </c>
      <c r="L1196" s="5" t="n">
        <v>292</v>
      </c>
      <c r="M1196" s="10" t="n">
        <f aca="false">INDEX(Dim_Supplier!$F$2:$F$21,MATCH(B1196,Dim_Supplier!$A$2:$A$21,0))</f>
        <v>58</v>
      </c>
      <c r="N1196" s="11" t="n">
        <v>0.0106</v>
      </c>
      <c r="O1196" s="10" t="n">
        <f aca="false">M1196*(1+N1196)</f>
        <v>58.6148</v>
      </c>
      <c r="P1196" s="10" t="n">
        <f aca="false">O1196*L1196</f>
        <v>17115.5216</v>
      </c>
      <c r="Q1196" s="5" t="s">
        <v>113</v>
      </c>
      <c r="R1196" s="5" t="n">
        <v>0</v>
      </c>
      <c r="S1196" s="5" t="n">
        <v>45</v>
      </c>
      <c r="T1196" s="12" t="n">
        <f aca="false">(O1196-M1196)/M1196</f>
        <v>0.0105999999999999</v>
      </c>
      <c r="U1196" s="8" t="n">
        <f aca="false">IF(AND(K1196&lt;=I1196,R1196=0),1,0)</f>
        <v>1</v>
      </c>
      <c r="V1196" s="10" t="n">
        <f aca="false">IF(Q1196="No",P1196,0)</f>
        <v>0</v>
      </c>
    </row>
    <row r="1197" customFormat="false" ht="15" hidden="false" customHeight="false" outlineLevel="0" collapsed="false">
      <c r="A1197" s="5" t="s">
        <v>1331</v>
      </c>
      <c r="B1197" s="5" t="s">
        <v>41</v>
      </c>
      <c r="C1197" s="7" t="n">
        <v>45571</v>
      </c>
      <c r="D1197" s="8" t="str">
        <f aca="false">INDEX(Dim_Supplier!$C$2:$C$21,MATCH(B1197,Dim_Supplier!$A$2:$A$21,0))</f>
        <v>Raw Materials</v>
      </c>
      <c r="E1197" s="8" t="str">
        <f aca="false">INDEX(Dim_Supplier!$B$2:$B$21,MATCH(B1197,Dim_Supplier!$A$2:$A$21,0))</f>
        <v>Ontario Steel Partners</v>
      </c>
      <c r="F1197" s="5" t="s">
        <v>148</v>
      </c>
      <c r="G1197" s="5" t="s">
        <v>120</v>
      </c>
      <c r="H1197" s="8" t="n">
        <f aca="false">INDEX(Lookup_Tables!$B$2:$B$5,MATCH(D1197,Lookup_Tables!$A$2:$A$5,0))</f>
        <v>21</v>
      </c>
      <c r="I1197" s="9" t="n">
        <f aca="false">C1197+H1197</f>
        <v>45592</v>
      </c>
      <c r="J1197" s="5" t="n">
        <v>-4</v>
      </c>
      <c r="K1197" s="9" t="n">
        <f aca="false">I1197+J1197</f>
        <v>45588</v>
      </c>
      <c r="L1197" s="5" t="n">
        <v>1524</v>
      </c>
      <c r="M1197" s="10" t="n">
        <f aca="false">INDEX(Dim_Supplier!$F$2:$F$21,MATCH(B1197,Dim_Supplier!$A$2:$A$21,0))</f>
        <v>58</v>
      </c>
      <c r="N1197" s="11" t="n">
        <v>-0.0057</v>
      </c>
      <c r="O1197" s="10" t="n">
        <f aca="false">M1197*(1+N1197)</f>
        <v>57.6694</v>
      </c>
      <c r="P1197" s="10" t="n">
        <f aca="false">O1197*L1197</f>
        <v>87888.1656</v>
      </c>
      <c r="Q1197" s="5" t="s">
        <v>113</v>
      </c>
      <c r="R1197" s="5" t="n">
        <v>0</v>
      </c>
      <c r="S1197" s="5" t="n">
        <v>30</v>
      </c>
      <c r="T1197" s="12" t="n">
        <f aca="false">(O1197-M1197)/M1197</f>
        <v>-0.00570000000000007</v>
      </c>
      <c r="U1197" s="8" t="n">
        <f aca="false">IF(AND(K1197&lt;=I1197,R1197=0),1,0)</f>
        <v>1</v>
      </c>
      <c r="V1197" s="10" t="n">
        <f aca="false">IF(Q1197="No",P1197,0)</f>
        <v>0</v>
      </c>
    </row>
    <row r="1198" customFormat="false" ht="15" hidden="false" customHeight="false" outlineLevel="0" collapsed="false">
      <c r="A1198" s="5" t="s">
        <v>1332</v>
      </c>
      <c r="B1198" s="5" t="s">
        <v>68</v>
      </c>
      <c r="C1198" s="7" t="n">
        <v>45323</v>
      </c>
      <c r="D1198" s="8" t="str">
        <f aca="false">INDEX(Dim_Supplier!$C$2:$C$21,MATCH(B1198,Dim_Supplier!$A$2:$A$21,0))</f>
        <v>MRO</v>
      </c>
      <c r="E1198" s="8" t="str">
        <f aca="false">INDEX(Dim_Supplier!$B$2:$B$21,MATCH(B1198,Dim_Supplier!$A$2:$A$21,0))</f>
        <v>Precision Tool &amp; Supply</v>
      </c>
      <c r="F1198" s="5" t="s">
        <v>179</v>
      </c>
      <c r="G1198" s="5" t="s">
        <v>125</v>
      </c>
      <c r="H1198" s="8" t="n">
        <f aca="false">INDEX(Lookup_Tables!$B$2:$B$5,MATCH(D1198,Lookup_Tables!$A$2:$A$5,0))</f>
        <v>10</v>
      </c>
      <c r="I1198" s="9" t="n">
        <f aca="false">C1198+H1198</f>
        <v>45333</v>
      </c>
      <c r="J1198" s="5" t="n">
        <v>-4</v>
      </c>
      <c r="K1198" s="9" t="n">
        <f aca="false">I1198+J1198</f>
        <v>45329</v>
      </c>
      <c r="L1198" s="5" t="n">
        <v>170</v>
      </c>
      <c r="M1198" s="10" t="n">
        <f aca="false">INDEX(Dim_Supplier!$F$2:$F$21,MATCH(B1198,Dim_Supplier!$A$2:$A$21,0))</f>
        <v>22.4</v>
      </c>
      <c r="N1198" s="11" t="n">
        <v>0.0114</v>
      </c>
      <c r="O1198" s="10" t="n">
        <f aca="false">M1198*(1+N1198)</f>
        <v>22.65536</v>
      </c>
      <c r="P1198" s="10" t="n">
        <f aca="false">O1198*L1198</f>
        <v>3851.4112</v>
      </c>
      <c r="Q1198" s="5" t="s">
        <v>113</v>
      </c>
      <c r="R1198" s="5" t="n">
        <v>0</v>
      </c>
      <c r="S1198" s="5" t="n">
        <v>30</v>
      </c>
      <c r="T1198" s="12" t="n">
        <f aca="false">(O1198-M1198)/M1198</f>
        <v>0.0114000000000001</v>
      </c>
      <c r="U1198" s="8" t="n">
        <f aca="false">IF(AND(K1198&lt;=I1198,R1198=0),1,0)</f>
        <v>1</v>
      </c>
      <c r="V1198" s="10" t="n">
        <f aca="false">IF(Q1198="No",P1198,0)</f>
        <v>0</v>
      </c>
    </row>
    <row r="1199" customFormat="false" ht="15" hidden="false" customHeight="false" outlineLevel="0" collapsed="false">
      <c r="A1199" s="5" t="s">
        <v>1333</v>
      </c>
      <c r="B1199" s="5" t="s">
        <v>41</v>
      </c>
      <c r="C1199" s="7" t="n">
        <v>46022</v>
      </c>
      <c r="D1199" s="8" t="str">
        <f aca="false">INDEX(Dim_Supplier!$C$2:$C$21,MATCH(B1199,Dim_Supplier!$A$2:$A$21,0))</f>
        <v>Raw Materials</v>
      </c>
      <c r="E1199" s="8" t="str">
        <f aca="false">INDEX(Dim_Supplier!$B$2:$B$21,MATCH(B1199,Dim_Supplier!$A$2:$A$21,0))</f>
        <v>Ontario Steel Partners</v>
      </c>
      <c r="F1199" s="5" t="s">
        <v>115</v>
      </c>
      <c r="G1199" s="5" t="s">
        <v>112</v>
      </c>
      <c r="H1199" s="8" t="n">
        <f aca="false">INDEX(Lookup_Tables!$B$2:$B$5,MATCH(D1199,Lookup_Tables!$A$2:$A$5,0))</f>
        <v>21</v>
      </c>
      <c r="I1199" s="9" t="n">
        <f aca="false">C1199+H1199</f>
        <v>46043</v>
      </c>
      <c r="J1199" s="5" t="n">
        <v>-2</v>
      </c>
      <c r="K1199" s="9" t="n">
        <f aca="false">I1199+J1199</f>
        <v>46041</v>
      </c>
      <c r="L1199" s="5" t="n">
        <v>959</v>
      </c>
      <c r="M1199" s="10" t="n">
        <f aca="false">INDEX(Dim_Supplier!$F$2:$F$21,MATCH(B1199,Dim_Supplier!$A$2:$A$21,0))</f>
        <v>58</v>
      </c>
      <c r="N1199" s="11" t="n">
        <v>0.0023</v>
      </c>
      <c r="O1199" s="10" t="n">
        <f aca="false">M1199*(1+N1199)</f>
        <v>58.1334</v>
      </c>
      <c r="P1199" s="10" t="n">
        <f aca="false">O1199*L1199</f>
        <v>55749.9306</v>
      </c>
      <c r="Q1199" s="5" t="s">
        <v>113</v>
      </c>
      <c r="R1199" s="5" t="n">
        <v>0</v>
      </c>
      <c r="S1199" s="5" t="n">
        <v>30</v>
      </c>
      <c r="T1199" s="12" t="n">
        <f aca="false">(O1199-M1199)/M1199</f>
        <v>0.00229999999999991</v>
      </c>
      <c r="U1199" s="8" t="n">
        <f aca="false">IF(AND(K1199&lt;=I1199,R1199=0),1,0)</f>
        <v>1</v>
      </c>
      <c r="V1199" s="10" t="n">
        <f aca="false">IF(Q1199="No",P1199,0)</f>
        <v>0</v>
      </c>
    </row>
    <row r="1200" customFormat="false" ht="15" hidden="false" customHeight="false" outlineLevel="0" collapsed="false">
      <c r="A1200" s="5" t="s">
        <v>1334</v>
      </c>
      <c r="B1200" s="5" t="s">
        <v>75</v>
      </c>
      <c r="C1200" s="7" t="n">
        <v>45613</v>
      </c>
      <c r="D1200" s="8" t="str">
        <f aca="false">INDEX(Dim_Supplier!$C$2:$C$21,MATCH(B1200,Dim_Supplier!$A$2:$A$21,0))</f>
        <v>MRO</v>
      </c>
      <c r="E1200" s="8" t="str">
        <f aca="false">INDEX(Dim_Supplier!$B$2:$B$21,MATCH(B1200,Dim_Supplier!$A$2:$A$21,0))</f>
        <v>Sterling Lubricants Inc.</v>
      </c>
      <c r="F1200" s="5" t="s">
        <v>127</v>
      </c>
      <c r="G1200" s="5" t="s">
        <v>120</v>
      </c>
      <c r="H1200" s="8" t="n">
        <f aca="false">INDEX(Lookup_Tables!$B$2:$B$5,MATCH(D1200,Lookup_Tables!$A$2:$A$5,0))</f>
        <v>10</v>
      </c>
      <c r="I1200" s="9" t="n">
        <f aca="false">C1200+H1200</f>
        <v>45623</v>
      </c>
      <c r="J1200" s="5" t="n">
        <v>-2</v>
      </c>
      <c r="K1200" s="9" t="n">
        <f aca="false">I1200+J1200</f>
        <v>45621</v>
      </c>
      <c r="L1200" s="5" t="n">
        <v>162</v>
      </c>
      <c r="M1200" s="10" t="n">
        <f aca="false">INDEX(Dim_Supplier!$F$2:$F$21,MATCH(B1200,Dim_Supplier!$A$2:$A$21,0))</f>
        <v>27.1</v>
      </c>
      <c r="N1200" s="11" t="n">
        <v>0.0186</v>
      </c>
      <c r="O1200" s="10" t="n">
        <f aca="false">M1200*(1+N1200)</f>
        <v>27.60406</v>
      </c>
      <c r="P1200" s="10" t="n">
        <f aca="false">O1200*L1200</f>
        <v>4471.85772</v>
      </c>
      <c r="Q1200" s="5" t="s">
        <v>113</v>
      </c>
      <c r="R1200" s="5" t="n">
        <v>0</v>
      </c>
      <c r="S1200" s="5" t="n">
        <v>45</v>
      </c>
      <c r="T1200" s="12" t="n">
        <f aca="false">(O1200-M1200)/M1200</f>
        <v>0.0186</v>
      </c>
      <c r="U1200" s="8" t="n">
        <f aca="false">IF(AND(K1200&lt;=I1200,R1200=0),1,0)</f>
        <v>1</v>
      </c>
      <c r="V1200" s="10" t="n">
        <f aca="false">IF(Q1200="No",P1200,0)</f>
        <v>0</v>
      </c>
    </row>
    <row r="1201" customFormat="false" ht="15" hidden="false" customHeight="false" outlineLevel="0" collapsed="false">
      <c r="A1201" s="5" t="s">
        <v>1335</v>
      </c>
      <c r="B1201" s="5" t="s">
        <v>86</v>
      </c>
      <c r="C1201" s="7" t="n">
        <v>46018</v>
      </c>
      <c r="D1201" s="8" t="str">
        <f aca="false">INDEX(Dim_Supplier!$C$2:$C$21,MATCH(B1201,Dim_Supplier!$A$2:$A$21,0))</f>
        <v>Logistics</v>
      </c>
      <c r="E1201" s="8" t="str">
        <f aca="false">INDEX(Dim_Supplier!$B$2:$B$21,MATCH(B1201,Dim_Supplier!$A$2:$A$21,0))</f>
        <v>Blue Water Customs Brokerage</v>
      </c>
      <c r="F1201" s="5" t="s">
        <v>154</v>
      </c>
      <c r="G1201" s="5" t="s">
        <v>120</v>
      </c>
      <c r="H1201" s="8" t="n">
        <f aca="false">INDEX(Lookup_Tables!$B$2:$B$5,MATCH(D1201,Lookup_Tables!$A$2:$A$5,0))</f>
        <v>5</v>
      </c>
      <c r="I1201" s="9" t="n">
        <f aca="false">C1201+H1201</f>
        <v>46023</v>
      </c>
      <c r="J1201" s="5" t="n">
        <v>-4</v>
      </c>
      <c r="K1201" s="9" t="n">
        <f aca="false">I1201+J1201</f>
        <v>46019</v>
      </c>
      <c r="L1201" s="5" t="n">
        <v>26</v>
      </c>
      <c r="M1201" s="10" t="n">
        <f aca="false">INDEX(Dim_Supplier!$F$2:$F$21,MATCH(B1201,Dim_Supplier!$A$2:$A$21,0))</f>
        <v>175</v>
      </c>
      <c r="N1201" s="11" t="n">
        <v>0.0051</v>
      </c>
      <c r="O1201" s="10" t="n">
        <f aca="false">M1201*(1+N1201)</f>
        <v>175.8925</v>
      </c>
      <c r="P1201" s="10" t="n">
        <f aca="false">O1201*L1201</f>
        <v>4573.205</v>
      </c>
      <c r="Q1201" s="5" t="s">
        <v>113</v>
      </c>
      <c r="R1201" s="5" t="n">
        <v>0</v>
      </c>
      <c r="S1201" s="5" t="n">
        <v>30</v>
      </c>
      <c r="T1201" s="12" t="n">
        <f aca="false">(O1201-M1201)/M1201</f>
        <v>0.00510000000000007</v>
      </c>
      <c r="U1201" s="8" t="n">
        <f aca="false">IF(AND(K1201&lt;=I1201,R1201=0),1,0)</f>
        <v>1</v>
      </c>
      <c r="V1201" s="10" t="n">
        <f aca="false">IF(Q1201="No",P1201,0)</f>
        <v>0</v>
      </c>
    </row>
    <row r="1202" customFormat="false" ht="15" hidden="false" customHeight="false" outlineLevel="0" collapsed="false">
      <c r="A1202" s="5" t="s">
        <v>1336</v>
      </c>
      <c r="B1202" s="5" t="s">
        <v>52</v>
      </c>
      <c r="C1202" s="7" t="n">
        <v>46071</v>
      </c>
      <c r="D1202" s="8" t="str">
        <f aca="false">INDEX(Dim_Supplier!$C$2:$C$21,MATCH(B1202,Dim_Supplier!$A$2:$A$21,0))</f>
        <v>Raw Materials</v>
      </c>
      <c r="E1202" s="8" t="str">
        <f aca="false">INDEX(Dim_Supplier!$B$2:$B$21,MATCH(B1202,Dim_Supplier!$A$2:$A$21,0))</f>
        <v>Laurentian Metals Inc.</v>
      </c>
      <c r="F1202" s="5" t="s">
        <v>144</v>
      </c>
      <c r="G1202" s="5" t="s">
        <v>112</v>
      </c>
      <c r="H1202" s="8" t="n">
        <f aca="false">INDEX(Lookup_Tables!$B$2:$B$5,MATCH(D1202,Lookup_Tables!$A$2:$A$5,0))</f>
        <v>21</v>
      </c>
      <c r="I1202" s="9" t="n">
        <f aca="false">C1202+H1202</f>
        <v>46092</v>
      </c>
      <c r="J1202" s="5" t="n">
        <v>-3</v>
      </c>
      <c r="K1202" s="9" t="n">
        <f aca="false">I1202+J1202</f>
        <v>46089</v>
      </c>
      <c r="L1202" s="5" t="n">
        <v>1008</v>
      </c>
      <c r="M1202" s="10" t="n">
        <f aca="false">INDEX(Dim_Supplier!$F$2:$F$21,MATCH(B1202,Dim_Supplier!$A$2:$A$21,0))</f>
        <v>61.2</v>
      </c>
      <c r="N1202" s="11" t="n">
        <v>0.0117</v>
      </c>
      <c r="O1202" s="10" t="n">
        <f aca="false">M1202*(1+N1202)</f>
        <v>61.91604</v>
      </c>
      <c r="P1202" s="10" t="n">
        <f aca="false">O1202*L1202</f>
        <v>62411.36832</v>
      </c>
      <c r="Q1202" s="5" t="s">
        <v>113</v>
      </c>
      <c r="R1202" s="5" t="n">
        <v>0</v>
      </c>
      <c r="S1202" s="5" t="n">
        <v>45</v>
      </c>
      <c r="T1202" s="12" t="n">
        <f aca="false">(O1202-M1202)/M1202</f>
        <v>0.0117</v>
      </c>
      <c r="U1202" s="8" t="n">
        <f aca="false">IF(AND(K1202&lt;=I1202,R1202=0),1,0)</f>
        <v>1</v>
      </c>
      <c r="V1202" s="10" t="n">
        <f aca="false">IF(Q1202="No",P1202,0)</f>
        <v>0</v>
      </c>
    </row>
    <row r="1203" customFormat="false" ht="15" hidden="false" customHeight="false" outlineLevel="0" collapsed="false">
      <c r="A1203" s="5" t="s">
        <v>1337</v>
      </c>
      <c r="B1203" s="5" t="s">
        <v>60</v>
      </c>
      <c r="C1203" s="7" t="n">
        <v>45942</v>
      </c>
      <c r="D1203" s="8" t="str">
        <f aca="false">INDEX(Dim_Supplier!$C$2:$C$21,MATCH(B1203,Dim_Supplier!$A$2:$A$21,0))</f>
        <v>Packaging</v>
      </c>
      <c r="E1203" s="8" t="str">
        <f aca="false">INDEX(Dim_Supplier!$B$2:$B$21,MATCH(B1203,Dim_Supplier!$A$2:$A$21,0))</f>
        <v>Maple Leaf Box &amp; Crate</v>
      </c>
      <c r="F1203" s="5" t="s">
        <v>117</v>
      </c>
      <c r="G1203" s="5" t="s">
        <v>120</v>
      </c>
      <c r="H1203" s="8" t="n">
        <f aca="false">INDEX(Lookup_Tables!$B$2:$B$5,MATCH(D1203,Lookup_Tables!$A$2:$A$5,0))</f>
        <v>14</v>
      </c>
      <c r="I1203" s="9" t="n">
        <f aca="false">C1203+H1203</f>
        <v>45956</v>
      </c>
      <c r="J1203" s="5" t="n">
        <v>-1</v>
      </c>
      <c r="K1203" s="9" t="n">
        <f aca="false">I1203+J1203</f>
        <v>45955</v>
      </c>
      <c r="L1203" s="5" t="n">
        <v>3297</v>
      </c>
      <c r="M1203" s="10" t="n">
        <f aca="false">INDEX(Dim_Supplier!$F$2:$F$21,MATCH(B1203,Dim_Supplier!$A$2:$A$21,0))</f>
        <v>3.1</v>
      </c>
      <c r="N1203" s="11" t="n">
        <v>0.0584</v>
      </c>
      <c r="O1203" s="10" t="n">
        <f aca="false">M1203*(1+N1203)</f>
        <v>3.28104</v>
      </c>
      <c r="P1203" s="10" t="n">
        <f aca="false">O1203*L1203</f>
        <v>10817.58888</v>
      </c>
      <c r="Q1203" s="5" t="s">
        <v>113</v>
      </c>
      <c r="R1203" s="5" t="n">
        <v>0</v>
      </c>
      <c r="S1203" s="5" t="n">
        <v>30</v>
      </c>
      <c r="T1203" s="12" t="n">
        <f aca="false">(O1203-M1203)/M1203</f>
        <v>0.0584</v>
      </c>
      <c r="U1203" s="8" t="n">
        <f aca="false">IF(AND(K1203&lt;=I1203,R1203=0),1,0)</f>
        <v>1</v>
      </c>
      <c r="V1203" s="10" t="n">
        <f aca="false">IF(Q1203="No",P1203,0)</f>
        <v>0</v>
      </c>
    </row>
    <row r="1204" customFormat="false" ht="15" hidden="false" customHeight="false" outlineLevel="0" collapsed="false">
      <c r="A1204" s="5" t="s">
        <v>1338</v>
      </c>
      <c r="B1204" s="5" t="s">
        <v>86</v>
      </c>
      <c r="C1204" s="7" t="n">
        <v>45382</v>
      </c>
      <c r="D1204" s="8" t="str">
        <f aca="false">INDEX(Dim_Supplier!$C$2:$C$21,MATCH(B1204,Dim_Supplier!$A$2:$A$21,0))</f>
        <v>Logistics</v>
      </c>
      <c r="E1204" s="8" t="str">
        <f aca="false">INDEX(Dim_Supplier!$B$2:$B$21,MATCH(B1204,Dim_Supplier!$A$2:$A$21,0))</f>
        <v>Blue Water Customs Brokerage</v>
      </c>
      <c r="F1204" s="5" t="s">
        <v>124</v>
      </c>
      <c r="G1204" s="5" t="s">
        <v>129</v>
      </c>
      <c r="H1204" s="8" t="n">
        <f aca="false">INDEX(Lookup_Tables!$B$2:$B$5,MATCH(D1204,Lookup_Tables!$A$2:$A$5,0))</f>
        <v>5</v>
      </c>
      <c r="I1204" s="9" t="n">
        <f aca="false">C1204+H1204</f>
        <v>45387</v>
      </c>
      <c r="J1204" s="5" t="n">
        <v>-2</v>
      </c>
      <c r="K1204" s="9" t="n">
        <f aca="false">I1204+J1204</f>
        <v>45385</v>
      </c>
      <c r="L1204" s="5" t="n">
        <v>21</v>
      </c>
      <c r="M1204" s="10" t="n">
        <f aca="false">INDEX(Dim_Supplier!$F$2:$F$21,MATCH(B1204,Dim_Supplier!$A$2:$A$21,0))</f>
        <v>175</v>
      </c>
      <c r="N1204" s="11" t="n">
        <v>0.0177</v>
      </c>
      <c r="O1204" s="10" t="n">
        <f aca="false">M1204*(1+N1204)</f>
        <v>178.0975</v>
      </c>
      <c r="P1204" s="10" t="n">
        <f aca="false">O1204*L1204</f>
        <v>3740.0475</v>
      </c>
      <c r="Q1204" s="5" t="s">
        <v>113</v>
      </c>
      <c r="R1204" s="5" t="n">
        <v>0</v>
      </c>
      <c r="S1204" s="5" t="n">
        <v>45</v>
      </c>
      <c r="T1204" s="12" t="n">
        <f aca="false">(O1204-M1204)/M1204</f>
        <v>0.0177</v>
      </c>
      <c r="U1204" s="8" t="n">
        <f aca="false">IF(AND(K1204&lt;=I1204,R1204=0),1,0)</f>
        <v>1</v>
      </c>
      <c r="V1204" s="10" t="n">
        <f aca="false">IF(Q1204="No",P1204,0)</f>
        <v>0</v>
      </c>
    </row>
    <row r="1205" customFormat="false" ht="15" hidden="false" customHeight="false" outlineLevel="0" collapsed="false">
      <c r="A1205" s="5" t="s">
        <v>1339</v>
      </c>
      <c r="B1205" s="5" t="s">
        <v>79</v>
      </c>
      <c r="C1205" s="7" t="n">
        <v>45514</v>
      </c>
      <c r="D1205" s="8" t="str">
        <f aca="false">INDEX(Dim_Supplier!$C$2:$C$21,MATCH(B1205,Dim_Supplier!$A$2:$A$21,0))</f>
        <v>Logistics</v>
      </c>
      <c r="E1205" s="8" t="str">
        <f aca="false">INDEX(Dim_Supplier!$B$2:$B$21,MATCH(B1205,Dim_Supplier!$A$2:$A$21,0))</f>
        <v>Niagara Freight Solutions</v>
      </c>
      <c r="F1205" s="5" t="s">
        <v>146</v>
      </c>
      <c r="G1205" s="5" t="s">
        <v>125</v>
      </c>
      <c r="H1205" s="8" t="n">
        <f aca="false">INDEX(Lookup_Tables!$B$2:$B$5,MATCH(D1205,Lookup_Tables!$A$2:$A$5,0))</f>
        <v>5</v>
      </c>
      <c r="I1205" s="9" t="n">
        <f aca="false">C1205+H1205</f>
        <v>45519</v>
      </c>
      <c r="J1205" s="5" t="n">
        <v>1</v>
      </c>
      <c r="K1205" s="9" t="n">
        <f aca="false">I1205+J1205</f>
        <v>45520</v>
      </c>
      <c r="L1205" s="5" t="n">
        <v>16</v>
      </c>
      <c r="M1205" s="10" t="n">
        <f aca="false">INDEX(Dim_Supplier!$F$2:$F$21,MATCH(B1205,Dim_Supplier!$A$2:$A$21,0))</f>
        <v>340</v>
      </c>
      <c r="N1205" s="11" t="n">
        <v>0.0257</v>
      </c>
      <c r="O1205" s="10" t="n">
        <f aca="false">M1205*(1+N1205)</f>
        <v>348.738</v>
      </c>
      <c r="P1205" s="10" t="n">
        <f aca="false">O1205*L1205</f>
        <v>5579.808</v>
      </c>
      <c r="Q1205" s="5" t="s">
        <v>113</v>
      </c>
      <c r="R1205" s="5" t="n">
        <v>0</v>
      </c>
      <c r="S1205" s="5" t="n">
        <v>60</v>
      </c>
      <c r="T1205" s="12" t="n">
        <f aca="false">(O1205-M1205)/M1205</f>
        <v>0.0257</v>
      </c>
      <c r="U1205" s="8" t="n">
        <f aca="false">IF(AND(K1205&lt;=I1205,R1205=0),1,0)</f>
        <v>0</v>
      </c>
      <c r="V1205" s="10" t="n">
        <f aca="false">IF(Q1205="No",P1205,0)</f>
        <v>0</v>
      </c>
    </row>
    <row r="1206" customFormat="false" ht="15" hidden="false" customHeight="false" outlineLevel="0" collapsed="false">
      <c r="A1206" s="5" t="s">
        <v>1340</v>
      </c>
      <c r="B1206" s="5" t="s">
        <v>82</v>
      </c>
      <c r="C1206" s="7" t="n">
        <v>46057</v>
      </c>
      <c r="D1206" s="8" t="str">
        <f aca="false">INDEX(Dim_Supplier!$C$2:$C$21,MATCH(B1206,Dim_Supplier!$A$2:$A$21,0))</f>
        <v>Logistics</v>
      </c>
      <c r="E1206" s="8" t="str">
        <f aca="false">INDEX(Dim_Supplier!$B$2:$B$21,MATCH(B1206,Dim_Supplier!$A$2:$A$21,0))</f>
        <v>Maple Route Logistics</v>
      </c>
      <c r="F1206" s="5" t="s">
        <v>154</v>
      </c>
      <c r="G1206" s="5" t="s">
        <v>120</v>
      </c>
      <c r="H1206" s="8" t="n">
        <f aca="false">INDEX(Lookup_Tables!$B$2:$B$5,MATCH(D1206,Lookup_Tables!$A$2:$A$5,0))</f>
        <v>5</v>
      </c>
      <c r="I1206" s="9" t="n">
        <f aca="false">C1206+H1206</f>
        <v>46062</v>
      </c>
      <c r="J1206" s="5" t="n">
        <v>2</v>
      </c>
      <c r="K1206" s="9" t="n">
        <f aca="false">I1206+J1206</f>
        <v>46064</v>
      </c>
      <c r="L1206" s="5" t="n">
        <v>12</v>
      </c>
      <c r="M1206" s="10" t="n">
        <f aca="false">INDEX(Dim_Supplier!$F$2:$F$21,MATCH(B1206,Dim_Supplier!$A$2:$A$21,0))</f>
        <v>285</v>
      </c>
      <c r="N1206" s="11" t="n">
        <v>0.0403</v>
      </c>
      <c r="O1206" s="10" t="n">
        <f aca="false">M1206*(1+N1206)</f>
        <v>296.4855</v>
      </c>
      <c r="P1206" s="10" t="n">
        <f aca="false">O1206*L1206</f>
        <v>3557.826</v>
      </c>
      <c r="Q1206" s="5" t="s">
        <v>113</v>
      </c>
      <c r="R1206" s="5" t="n">
        <v>0</v>
      </c>
      <c r="S1206" s="5" t="n">
        <v>30</v>
      </c>
      <c r="T1206" s="12" t="n">
        <f aca="false">(O1206-M1206)/M1206</f>
        <v>0.0403</v>
      </c>
      <c r="U1206" s="8" t="n">
        <f aca="false">IF(AND(K1206&lt;=I1206,R1206=0),1,0)</f>
        <v>0</v>
      </c>
      <c r="V1206" s="10" t="n">
        <f aca="false">IF(Q1206="No",P1206,0)</f>
        <v>0</v>
      </c>
    </row>
    <row r="1207" customFormat="false" ht="15" hidden="false" customHeight="false" outlineLevel="0" collapsed="false">
      <c r="A1207" s="5" t="s">
        <v>1341</v>
      </c>
      <c r="B1207" s="5" t="s">
        <v>82</v>
      </c>
      <c r="C1207" s="7" t="n">
        <v>45571</v>
      </c>
      <c r="D1207" s="8" t="str">
        <f aca="false">INDEX(Dim_Supplier!$C$2:$C$21,MATCH(B1207,Dim_Supplier!$A$2:$A$21,0))</f>
        <v>Logistics</v>
      </c>
      <c r="E1207" s="8" t="str">
        <f aca="false">INDEX(Dim_Supplier!$B$2:$B$21,MATCH(B1207,Dim_Supplier!$A$2:$A$21,0))</f>
        <v>Maple Route Logistics</v>
      </c>
      <c r="F1207" s="5" t="s">
        <v>154</v>
      </c>
      <c r="G1207" s="5" t="s">
        <v>112</v>
      </c>
      <c r="H1207" s="8" t="n">
        <f aca="false">INDEX(Lookup_Tables!$B$2:$B$5,MATCH(D1207,Lookup_Tables!$A$2:$A$5,0))</f>
        <v>5</v>
      </c>
      <c r="I1207" s="9" t="n">
        <f aca="false">C1207+H1207</f>
        <v>45576</v>
      </c>
      <c r="J1207" s="5" t="n">
        <v>1</v>
      </c>
      <c r="K1207" s="9" t="n">
        <f aca="false">I1207+J1207</f>
        <v>45577</v>
      </c>
      <c r="L1207" s="5" t="n">
        <v>29</v>
      </c>
      <c r="M1207" s="10" t="n">
        <f aca="false">INDEX(Dim_Supplier!$F$2:$F$21,MATCH(B1207,Dim_Supplier!$A$2:$A$21,0))</f>
        <v>285</v>
      </c>
      <c r="N1207" s="11" t="n">
        <v>0.028</v>
      </c>
      <c r="O1207" s="10" t="n">
        <f aca="false">M1207*(1+N1207)</f>
        <v>292.98</v>
      </c>
      <c r="P1207" s="10" t="n">
        <f aca="false">O1207*L1207</f>
        <v>8496.42</v>
      </c>
      <c r="Q1207" s="5" t="s">
        <v>113</v>
      </c>
      <c r="R1207" s="5" t="n">
        <v>0</v>
      </c>
      <c r="S1207" s="5" t="n">
        <v>45</v>
      </c>
      <c r="T1207" s="12" t="n">
        <f aca="false">(O1207-M1207)/M1207</f>
        <v>0.0280000000000001</v>
      </c>
      <c r="U1207" s="8" t="n">
        <f aca="false">IF(AND(K1207&lt;=I1207,R1207=0),1,0)</f>
        <v>0</v>
      </c>
      <c r="V1207" s="10" t="n">
        <f aca="false">IF(Q1207="No",P1207,0)</f>
        <v>0</v>
      </c>
    </row>
    <row r="1208" customFormat="false" ht="15" hidden="false" customHeight="false" outlineLevel="0" collapsed="false">
      <c r="A1208" s="5" t="s">
        <v>1342</v>
      </c>
      <c r="B1208" s="5" t="s">
        <v>57</v>
      </c>
      <c r="C1208" s="7" t="n">
        <v>45949</v>
      </c>
      <c r="D1208" s="8" t="str">
        <f aca="false">INDEX(Dim_Supplier!$C$2:$C$21,MATCH(B1208,Dim_Supplier!$A$2:$A$21,0))</f>
        <v>Packaging</v>
      </c>
      <c r="E1208" s="8" t="str">
        <f aca="false">INDEX(Dim_Supplier!$B$2:$B$21,MATCH(B1208,Dim_Supplier!$A$2:$A$21,0))</f>
        <v>Great Lakes Packaging Co.</v>
      </c>
      <c r="F1208" s="5" t="s">
        <v>122</v>
      </c>
      <c r="G1208" s="5" t="s">
        <v>125</v>
      </c>
      <c r="H1208" s="8" t="n">
        <f aca="false">INDEX(Lookup_Tables!$B$2:$B$5,MATCH(D1208,Lookup_Tables!$A$2:$A$5,0))</f>
        <v>14</v>
      </c>
      <c r="I1208" s="9" t="n">
        <f aca="false">C1208+H1208</f>
        <v>45963</v>
      </c>
      <c r="J1208" s="5" t="n">
        <v>-2</v>
      </c>
      <c r="K1208" s="9" t="n">
        <f aca="false">I1208+J1208</f>
        <v>45961</v>
      </c>
      <c r="L1208" s="5" t="n">
        <v>1896</v>
      </c>
      <c r="M1208" s="10" t="n">
        <f aca="false">INDEX(Dim_Supplier!$F$2:$F$21,MATCH(B1208,Dim_Supplier!$A$2:$A$21,0))</f>
        <v>4.35</v>
      </c>
      <c r="N1208" s="11" t="n">
        <v>-0.0168</v>
      </c>
      <c r="O1208" s="10" t="n">
        <f aca="false">M1208*(1+N1208)</f>
        <v>4.27692</v>
      </c>
      <c r="P1208" s="10" t="n">
        <f aca="false">O1208*L1208</f>
        <v>8109.04032</v>
      </c>
      <c r="Q1208" s="5" t="s">
        <v>113</v>
      </c>
      <c r="R1208" s="5" t="n">
        <v>0</v>
      </c>
      <c r="S1208" s="5" t="n">
        <v>30</v>
      </c>
      <c r="T1208" s="12" t="n">
        <f aca="false">(O1208-M1208)/M1208</f>
        <v>-0.0168</v>
      </c>
      <c r="U1208" s="8" t="n">
        <f aca="false">IF(AND(K1208&lt;=I1208,R1208=0),1,0)</f>
        <v>1</v>
      </c>
      <c r="V1208" s="10" t="n">
        <f aca="false">IF(Q1208="No",P1208,0)</f>
        <v>0</v>
      </c>
    </row>
    <row r="1209" customFormat="false" ht="15" hidden="false" customHeight="false" outlineLevel="0" collapsed="false">
      <c r="A1209" s="5" t="s">
        <v>1343</v>
      </c>
      <c r="B1209" s="5" t="s">
        <v>68</v>
      </c>
      <c r="C1209" s="7" t="n">
        <v>45507</v>
      </c>
      <c r="D1209" s="8" t="str">
        <f aca="false">INDEX(Dim_Supplier!$C$2:$C$21,MATCH(B1209,Dim_Supplier!$A$2:$A$21,0))</f>
        <v>MRO</v>
      </c>
      <c r="E1209" s="8" t="str">
        <f aca="false">INDEX(Dim_Supplier!$B$2:$B$21,MATCH(B1209,Dim_Supplier!$A$2:$A$21,0))</f>
        <v>Precision Tool &amp; Supply</v>
      </c>
      <c r="F1209" s="5" t="s">
        <v>179</v>
      </c>
      <c r="G1209" s="5" t="s">
        <v>120</v>
      </c>
      <c r="H1209" s="8" t="n">
        <f aca="false">INDEX(Lookup_Tables!$B$2:$B$5,MATCH(D1209,Lookup_Tables!$A$2:$A$5,0))</f>
        <v>10</v>
      </c>
      <c r="I1209" s="9" t="n">
        <f aca="false">C1209+H1209</f>
        <v>45517</v>
      </c>
      <c r="J1209" s="5" t="n">
        <v>-4</v>
      </c>
      <c r="K1209" s="9" t="n">
        <f aca="false">I1209+J1209</f>
        <v>45513</v>
      </c>
      <c r="L1209" s="5" t="n">
        <v>78</v>
      </c>
      <c r="M1209" s="10" t="n">
        <f aca="false">INDEX(Dim_Supplier!$F$2:$F$21,MATCH(B1209,Dim_Supplier!$A$2:$A$21,0))</f>
        <v>22.4</v>
      </c>
      <c r="N1209" s="11" t="n">
        <v>-0.014</v>
      </c>
      <c r="O1209" s="10" t="n">
        <f aca="false">M1209*(1+N1209)</f>
        <v>22.0864</v>
      </c>
      <c r="P1209" s="10" t="n">
        <f aca="false">O1209*L1209</f>
        <v>1722.7392</v>
      </c>
      <c r="Q1209" s="5" t="s">
        <v>113</v>
      </c>
      <c r="R1209" s="5" t="n">
        <v>0</v>
      </c>
      <c r="S1209" s="5" t="n">
        <v>45</v>
      </c>
      <c r="T1209" s="12" t="n">
        <f aca="false">(O1209-M1209)/M1209</f>
        <v>-0.014</v>
      </c>
      <c r="U1209" s="8" t="n">
        <f aca="false">IF(AND(K1209&lt;=I1209,R1209=0),1,0)</f>
        <v>1</v>
      </c>
      <c r="V1209" s="10" t="n">
        <f aca="false">IF(Q1209="No",P1209,0)</f>
        <v>0</v>
      </c>
    </row>
    <row r="1210" customFormat="false" ht="15" hidden="false" customHeight="false" outlineLevel="0" collapsed="false">
      <c r="A1210" s="5" t="s">
        <v>1344</v>
      </c>
      <c r="B1210" s="5" t="s">
        <v>82</v>
      </c>
      <c r="C1210" s="7" t="n">
        <v>46105</v>
      </c>
      <c r="D1210" s="8" t="str">
        <f aca="false">INDEX(Dim_Supplier!$C$2:$C$21,MATCH(B1210,Dim_Supplier!$A$2:$A$21,0))</f>
        <v>Logistics</v>
      </c>
      <c r="E1210" s="8" t="str">
        <f aca="false">INDEX(Dim_Supplier!$B$2:$B$21,MATCH(B1210,Dim_Supplier!$A$2:$A$21,0))</f>
        <v>Maple Route Logistics</v>
      </c>
      <c r="F1210" s="5" t="s">
        <v>146</v>
      </c>
      <c r="G1210" s="5" t="s">
        <v>129</v>
      </c>
      <c r="H1210" s="8" t="n">
        <f aca="false">INDEX(Lookup_Tables!$B$2:$B$5,MATCH(D1210,Lookup_Tables!$A$2:$A$5,0))</f>
        <v>5</v>
      </c>
      <c r="I1210" s="9" t="n">
        <f aca="false">C1210+H1210</f>
        <v>46110</v>
      </c>
      <c r="J1210" s="5" t="n">
        <v>-2</v>
      </c>
      <c r="K1210" s="9" t="n">
        <f aca="false">I1210+J1210</f>
        <v>46108</v>
      </c>
      <c r="L1210" s="5" t="n">
        <v>14</v>
      </c>
      <c r="M1210" s="10" t="n">
        <f aca="false">INDEX(Dim_Supplier!$F$2:$F$21,MATCH(B1210,Dim_Supplier!$A$2:$A$21,0))</f>
        <v>285</v>
      </c>
      <c r="N1210" s="11" t="n">
        <v>0.0289</v>
      </c>
      <c r="O1210" s="10" t="n">
        <f aca="false">M1210*(1+N1210)</f>
        <v>293.2365</v>
      </c>
      <c r="P1210" s="10" t="n">
        <f aca="false">O1210*L1210</f>
        <v>4105.311</v>
      </c>
      <c r="Q1210" s="5" t="s">
        <v>113</v>
      </c>
      <c r="R1210" s="5" t="n">
        <v>0</v>
      </c>
      <c r="S1210" s="5" t="n">
        <v>30</v>
      </c>
      <c r="T1210" s="12" t="n">
        <f aca="false">(O1210-M1210)/M1210</f>
        <v>0.0288999999999999</v>
      </c>
      <c r="U1210" s="8" t="n">
        <f aca="false">IF(AND(K1210&lt;=I1210,R1210=0),1,0)</f>
        <v>1</v>
      </c>
      <c r="V1210" s="10" t="n">
        <f aca="false">IF(Q1210="No",P1210,0)</f>
        <v>0</v>
      </c>
    </row>
    <row r="1211" customFormat="false" ht="15" hidden="false" customHeight="false" outlineLevel="0" collapsed="false">
      <c r="A1211" s="5" t="s">
        <v>1345</v>
      </c>
      <c r="B1211" s="5" t="s">
        <v>75</v>
      </c>
      <c r="C1211" s="7" t="n">
        <v>45482</v>
      </c>
      <c r="D1211" s="8" t="str">
        <f aca="false">INDEX(Dim_Supplier!$C$2:$C$21,MATCH(B1211,Dim_Supplier!$A$2:$A$21,0))</f>
        <v>MRO</v>
      </c>
      <c r="E1211" s="8" t="str">
        <f aca="false">INDEX(Dim_Supplier!$B$2:$B$21,MATCH(B1211,Dim_Supplier!$A$2:$A$21,0))</f>
        <v>Sterling Lubricants Inc.</v>
      </c>
      <c r="F1211" s="5" t="s">
        <v>179</v>
      </c>
      <c r="G1211" s="5" t="s">
        <v>112</v>
      </c>
      <c r="H1211" s="8" t="n">
        <f aca="false">INDEX(Lookup_Tables!$B$2:$B$5,MATCH(D1211,Lookup_Tables!$A$2:$A$5,0))</f>
        <v>10</v>
      </c>
      <c r="I1211" s="9" t="n">
        <f aca="false">C1211+H1211</f>
        <v>45492</v>
      </c>
      <c r="J1211" s="5" t="n">
        <v>-4</v>
      </c>
      <c r="K1211" s="9" t="n">
        <f aca="false">I1211+J1211</f>
        <v>45488</v>
      </c>
      <c r="L1211" s="5" t="n">
        <v>149</v>
      </c>
      <c r="M1211" s="10" t="n">
        <f aca="false">INDEX(Dim_Supplier!$F$2:$F$21,MATCH(B1211,Dim_Supplier!$A$2:$A$21,0))</f>
        <v>27.1</v>
      </c>
      <c r="N1211" s="11" t="n">
        <v>0.0236</v>
      </c>
      <c r="O1211" s="10" t="n">
        <f aca="false">M1211*(1+N1211)</f>
        <v>27.73956</v>
      </c>
      <c r="P1211" s="10" t="n">
        <f aca="false">O1211*L1211</f>
        <v>4133.19444</v>
      </c>
      <c r="Q1211" s="5" t="s">
        <v>113</v>
      </c>
      <c r="R1211" s="5" t="n">
        <v>0</v>
      </c>
      <c r="S1211" s="5" t="n">
        <v>30</v>
      </c>
      <c r="T1211" s="12" t="n">
        <f aca="false">(O1211-M1211)/M1211</f>
        <v>0.0236000000000001</v>
      </c>
      <c r="U1211" s="8" t="n">
        <f aca="false">IF(AND(K1211&lt;=I1211,R1211=0),1,0)</f>
        <v>1</v>
      </c>
      <c r="V1211" s="10" t="n">
        <f aca="false">IF(Q1211="No",P1211,0)</f>
        <v>0</v>
      </c>
    </row>
    <row r="1212" customFormat="false" ht="15" hidden="false" customHeight="false" outlineLevel="0" collapsed="false">
      <c r="A1212" s="5" t="s">
        <v>1346</v>
      </c>
      <c r="B1212" s="5" t="s">
        <v>75</v>
      </c>
      <c r="C1212" s="7" t="n">
        <v>45936</v>
      </c>
      <c r="D1212" s="8" t="str">
        <f aca="false">INDEX(Dim_Supplier!$C$2:$C$21,MATCH(B1212,Dim_Supplier!$A$2:$A$21,0))</f>
        <v>MRO</v>
      </c>
      <c r="E1212" s="8" t="str">
        <f aca="false">INDEX(Dim_Supplier!$B$2:$B$21,MATCH(B1212,Dim_Supplier!$A$2:$A$21,0))</f>
        <v>Sterling Lubricants Inc.</v>
      </c>
      <c r="F1212" s="5" t="s">
        <v>111</v>
      </c>
      <c r="G1212" s="5" t="s">
        <v>129</v>
      </c>
      <c r="H1212" s="8" t="n">
        <f aca="false">INDEX(Lookup_Tables!$B$2:$B$5,MATCH(D1212,Lookup_Tables!$A$2:$A$5,0))</f>
        <v>10</v>
      </c>
      <c r="I1212" s="9" t="n">
        <f aca="false">C1212+H1212</f>
        <v>45946</v>
      </c>
      <c r="J1212" s="5" t="n">
        <v>-2</v>
      </c>
      <c r="K1212" s="9" t="n">
        <f aca="false">I1212+J1212</f>
        <v>45944</v>
      </c>
      <c r="L1212" s="5" t="n">
        <v>91</v>
      </c>
      <c r="M1212" s="10" t="n">
        <f aca="false">INDEX(Dim_Supplier!$F$2:$F$21,MATCH(B1212,Dim_Supplier!$A$2:$A$21,0))</f>
        <v>27.1</v>
      </c>
      <c r="N1212" s="11" t="n">
        <v>0.0391</v>
      </c>
      <c r="O1212" s="10" t="n">
        <f aca="false">M1212*(1+N1212)</f>
        <v>28.15961</v>
      </c>
      <c r="P1212" s="10" t="n">
        <f aca="false">O1212*L1212</f>
        <v>2562.52451</v>
      </c>
      <c r="Q1212" s="5" t="s">
        <v>113</v>
      </c>
      <c r="R1212" s="5" t="n">
        <v>0</v>
      </c>
      <c r="S1212" s="5" t="n">
        <v>60</v>
      </c>
      <c r="T1212" s="12" t="n">
        <f aca="false">(O1212-M1212)/M1212</f>
        <v>0.0391</v>
      </c>
      <c r="U1212" s="8" t="n">
        <f aca="false">IF(AND(K1212&lt;=I1212,R1212=0),1,0)</f>
        <v>1</v>
      </c>
      <c r="V1212" s="10" t="n">
        <f aca="false">IF(Q1212="No",P1212,0)</f>
        <v>0</v>
      </c>
    </row>
    <row r="1213" customFormat="false" ht="15" hidden="false" customHeight="false" outlineLevel="0" collapsed="false">
      <c r="A1213" s="5" t="s">
        <v>1347</v>
      </c>
      <c r="B1213" s="5" t="s">
        <v>57</v>
      </c>
      <c r="C1213" s="7" t="n">
        <v>45770</v>
      </c>
      <c r="D1213" s="8" t="str">
        <f aca="false">INDEX(Dim_Supplier!$C$2:$C$21,MATCH(B1213,Dim_Supplier!$A$2:$A$21,0))</f>
        <v>Packaging</v>
      </c>
      <c r="E1213" s="8" t="str">
        <f aca="false">INDEX(Dim_Supplier!$B$2:$B$21,MATCH(B1213,Dim_Supplier!$A$2:$A$21,0))</f>
        <v>Great Lakes Packaging Co.</v>
      </c>
      <c r="F1213" s="5" t="s">
        <v>122</v>
      </c>
      <c r="G1213" s="5" t="s">
        <v>112</v>
      </c>
      <c r="H1213" s="8" t="n">
        <f aca="false">INDEX(Lookup_Tables!$B$2:$B$5,MATCH(D1213,Lookup_Tables!$A$2:$A$5,0))</f>
        <v>14</v>
      </c>
      <c r="I1213" s="9" t="n">
        <f aca="false">C1213+H1213</f>
        <v>45784</v>
      </c>
      <c r="J1213" s="5" t="n">
        <v>-3</v>
      </c>
      <c r="K1213" s="9" t="n">
        <f aca="false">I1213+J1213</f>
        <v>45781</v>
      </c>
      <c r="L1213" s="5" t="n">
        <v>4239</v>
      </c>
      <c r="M1213" s="10" t="n">
        <f aca="false">INDEX(Dim_Supplier!$F$2:$F$21,MATCH(B1213,Dim_Supplier!$A$2:$A$21,0))</f>
        <v>4.35</v>
      </c>
      <c r="N1213" s="11" t="n">
        <v>-0.0115</v>
      </c>
      <c r="O1213" s="10" t="n">
        <f aca="false">M1213*(1+N1213)</f>
        <v>4.299975</v>
      </c>
      <c r="P1213" s="10" t="n">
        <f aca="false">O1213*L1213</f>
        <v>18227.594025</v>
      </c>
      <c r="Q1213" s="5" t="s">
        <v>113</v>
      </c>
      <c r="R1213" s="5" t="n">
        <v>0</v>
      </c>
      <c r="S1213" s="5" t="n">
        <v>45</v>
      </c>
      <c r="T1213" s="12" t="n">
        <f aca="false">(O1213-M1213)/M1213</f>
        <v>-0.0114999999999999</v>
      </c>
      <c r="U1213" s="8" t="n">
        <f aca="false">IF(AND(K1213&lt;=I1213,R1213=0),1,0)</f>
        <v>1</v>
      </c>
      <c r="V1213" s="10" t="n">
        <f aca="false">IF(Q1213="No",P1213,0)</f>
        <v>0</v>
      </c>
    </row>
    <row r="1214" customFormat="false" ht="15" hidden="false" customHeight="false" outlineLevel="0" collapsed="false">
      <c r="A1214" s="5" t="s">
        <v>1348</v>
      </c>
      <c r="B1214" s="5" t="s">
        <v>64</v>
      </c>
      <c r="C1214" s="7" t="n">
        <v>45541</v>
      </c>
      <c r="D1214" s="8" t="str">
        <f aca="false">INDEX(Dim_Supplier!$C$2:$C$21,MATCH(B1214,Dim_Supplier!$A$2:$A$21,0))</f>
        <v>Packaging</v>
      </c>
      <c r="E1214" s="8" t="str">
        <f aca="false">INDEX(Dim_Supplier!$B$2:$B$21,MATCH(B1214,Dim_Supplier!$A$2:$A$21,0))</f>
        <v>Huron Pallet Works</v>
      </c>
      <c r="F1214" s="5" t="s">
        <v>119</v>
      </c>
      <c r="G1214" s="5" t="s">
        <v>120</v>
      </c>
      <c r="H1214" s="8" t="n">
        <f aca="false">INDEX(Lookup_Tables!$B$2:$B$5,MATCH(D1214,Lookup_Tables!$A$2:$A$5,0))</f>
        <v>14</v>
      </c>
      <c r="I1214" s="9" t="n">
        <f aca="false">C1214+H1214</f>
        <v>45555</v>
      </c>
      <c r="J1214" s="5" t="n">
        <v>3</v>
      </c>
      <c r="K1214" s="9" t="n">
        <f aca="false">I1214+J1214</f>
        <v>45558</v>
      </c>
      <c r="L1214" s="5" t="n">
        <v>3786</v>
      </c>
      <c r="M1214" s="10" t="n">
        <f aca="false">INDEX(Dim_Supplier!$F$2:$F$21,MATCH(B1214,Dim_Supplier!$A$2:$A$21,0))</f>
        <v>2.25</v>
      </c>
      <c r="N1214" s="11" t="n">
        <v>0.1264</v>
      </c>
      <c r="O1214" s="10" t="n">
        <f aca="false">M1214*(1+N1214)</f>
        <v>2.5344</v>
      </c>
      <c r="P1214" s="10" t="n">
        <f aca="false">O1214*L1214</f>
        <v>9595.2384</v>
      </c>
      <c r="Q1214" s="5" t="s">
        <v>113</v>
      </c>
      <c r="R1214" s="5" t="n">
        <v>0</v>
      </c>
      <c r="S1214" s="5" t="n">
        <v>60</v>
      </c>
      <c r="T1214" s="12" t="n">
        <f aca="false">(O1214-M1214)/M1214</f>
        <v>0.1264</v>
      </c>
      <c r="U1214" s="8" t="n">
        <f aca="false">IF(AND(K1214&lt;=I1214,R1214=0),1,0)</f>
        <v>0</v>
      </c>
      <c r="V1214" s="10" t="n">
        <f aca="false">IF(Q1214="No",P1214,0)</f>
        <v>0</v>
      </c>
    </row>
    <row r="1215" customFormat="false" ht="15" hidden="false" customHeight="false" outlineLevel="0" collapsed="false">
      <c r="A1215" s="5" t="s">
        <v>1349</v>
      </c>
      <c r="B1215" s="5" t="s">
        <v>79</v>
      </c>
      <c r="C1215" s="7" t="n">
        <v>45811</v>
      </c>
      <c r="D1215" s="8" t="str">
        <f aca="false">INDEX(Dim_Supplier!$C$2:$C$21,MATCH(B1215,Dim_Supplier!$A$2:$A$21,0))</f>
        <v>Logistics</v>
      </c>
      <c r="E1215" s="8" t="str">
        <f aca="false">INDEX(Dim_Supplier!$B$2:$B$21,MATCH(B1215,Dim_Supplier!$A$2:$A$21,0))</f>
        <v>Niagara Freight Solutions</v>
      </c>
      <c r="F1215" s="5" t="s">
        <v>124</v>
      </c>
      <c r="G1215" s="5" t="s">
        <v>125</v>
      </c>
      <c r="H1215" s="8" t="n">
        <f aca="false">INDEX(Lookup_Tables!$B$2:$B$5,MATCH(D1215,Lookup_Tables!$A$2:$A$5,0))</f>
        <v>5</v>
      </c>
      <c r="I1215" s="9" t="n">
        <f aca="false">C1215+H1215</f>
        <v>45816</v>
      </c>
      <c r="J1215" s="5" t="n">
        <v>-3</v>
      </c>
      <c r="K1215" s="9" t="n">
        <f aca="false">I1215+J1215</f>
        <v>45813</v>
      </c>
      <c r="L1215" s="5" t="n">
        <v>37</v>
      </c>
      <c r="M1215" s="10" t="n">
        <f aca="false">INDEX(Dim_Supplier!$F$2:$F$21,MATCH(B1215,Dim_Supplier!$A$2:$A$21,0))</f>
        <v>340</v>
      </c>
      <c r="N1215" s="11" t="n">
        <v>0.0171</v>
      </c>
      <c r="O1215" s="10" t="n">
        <f aca="false">M1215*(1+N1215)</f>
        <v>345.814</v>
      </c>
      <c r="P1215" s="10" t="n">
        <f aca="false">O1215*L1215</f>
        <v>12795.118</v>
      </c>
      <c r="Q1215" s="5" t="s">
        <v>113</v>
      </c>
      <c r="R1215" s="5" t="n">
        <v>0</v>
      </c>
      <c r="S1215" s="5" t="n">
        <v>45</v>
      </c>
      <c r="T1215" s="12" t="n">
        <f aca="false">(O1215-M1215)/M1215</f>
        <v>0.0170999999999999</v>
      </c>
      <c r="U1215" s="8" t="n">
        <f aca="false">IF(AND(K1215&lt;=I1215,R1215=0),1,0)</f>
        <v>1</v>
      </c>
      <c r="V1215" s="10" t="n">
        <f aca="false">IF(Q1215="No",P1215,0)</f>
        <v>0</v>
      </c>
    </row>
    <row r="1216" customFormat="false" ht="15" hidden="false" customHeight="false" outlineLevel="0" collapsed="false">
      <c r="A1216" s="5" t="s">
        <v>1350</v>
      </c>
      <c r="B1216" s="5" t="s">
        <v>86</v>
      </c>
      <c r="C1216" s="7" t="n">
        <v>46199</v>
      </c>
      <c r="D1216" s="8" t="str">
        <f aca="false">INDEX(Dim_Supplier!$C$2:$C$21,MATCH(B1216,Dim_Supplier!$A$2:$A$21,0))</f>
        <v>Logistics</v>
      </c>
      <c r="E1216" s="8" t="str">
        <f aca="false">INDEX(Dim_Supplier!$B$2:$B$21,MATCH(B1216,Dim_Supplier!$A$2:$A$21,0))</f>
        <v>Blue Water Customs Brokerage</v>
      </c>
      <c r="F1216" s="5" t="s">
        <v>185</v>
      </c>
      <c r="G1216" s="5" t="s">
        <v>112</v>
      </c>
      <c r="H1216" s="8" t="n">
        <f aca="false">INDEX(Lookup_Tables!$B$2:$B$5,MATCH(D1216,Lookup_Tables!$A$2:$A$5,0))</f>
        <v>5</v>
      </c>
      <c r="I1216" s="9" t="n">
        <f aca="false">C1216+H1216</f>
        <v>46204</v>
      </c>
      <c r="J1216" s="5" t="n">
        <v>0</v>
      </c>
      <c r="K1216" s="9" t="n">
        <f aca="false">I1216+J1216</f>
        <v>46204</v>
      </c>
      <c r="L1216" s="5" t="n">
        <v>9</v>
      </c>
      <c r="M1216" s="10" t="n">
        <f aca="false">INDEX(Dim_Supplier!$F$2:$F$21,MATCH(B1216,Dim_Supplier!$A$2:$A$21,0))</f>
        <v>175</v>
      </c>
      <c r="N1216" s="11" t="n">
        <v>0.0022</v>
      </c>
      <c r="O1216" s="10" t="n">
        <f aca="false">M1216*(1+N1216)</f>
        <v>175.385</v>
      </c>
      <c r="P1216" s="10" t="n">
        <f aca="false">O1216*L1216</f>
        <v>1578.465</v>
      </c>
      <c r="Q1216" s="5" t="s">
        <v>113</v>
      </c>
      <c r="R1216" s="5" t="n">
        <v>0</v>
      </c>
      <c r="S1216" s="5" t="n">
        <v>60</v>
      </c>
      <c r="T1216" s="12" t="n">
        <f aca="false">(O1216-M1216)/M1216</f>
        <v>0.00219999999999995</v>
      </c>
      <c r="U1216" s="8" t="n">
        <f aca="false">IF(AND(K1216&lt;=I1216,R1216=0),1,0)</f>
        <v>1</v>
      </c>
      <c r="V1216" s="10" t="n">
        <f aca="false">IF(Q1216="No",P1216,0)</f>
        <v>0</v>
      </c>
    </row>
    <row r="1217" customFormat="false" ht="15" hidden="false" customHeight="false" outlineLevel="0" collapsed="false">
      <c r="A1217" s="5" t="s">
        <v>1351</v>
      </c>
      <c r="B1217" s="5" t="s">
        <v>88</v>
      </c>
      <c r="C1217" s="7" t="n">
        <v>45608</v>
      </c>
      <c r="D1217" s="8" t="str">
        <f aca="false">INDEX(Dim_Supplier!$C$2:$C$21,MATCH(B1217,Dim_Supplier!$A$2:$A$21,0))</f>
        <v>Logistics</v>
      </c>
      <c r="E1217" s="8" t="str">
        <f aca="false">INDEX(Dim_Supplier!$B$2:$B$21,MATCH(B1217,Dim_Supplier!$A$2:$A$21,0))</f>
        <v>Summit Last-Mile Delivery</v>
      </c>
      <c r="F1217" s="5" t="s">
        <v>154</v>
      </c>
      <c r="G1217" s="5" t="s">
        <v>120</v>
      </c>
      <c r="H1217" s="8" t="n">
        <f aca="false">INDEX(Lookup_Tables!$B$2:$B$5,MATCH(D1217,Lookup_Tables!$A$2:$A$5,0))</f>
        <v>5</v>
      </c>
      <c r="I1217" s="9" t="n">
        <f aca="false">C1217+H1217</f>
        <v>45613</v>
      </c>
      <c r="J1217" s="5" t="n">
        <v>-2</v>
      </c>
      <c r="K1217" s="9" t="n">
        <f aca="false">I1217+J1217</f>
        <v>45611</v>
      </c>
      <c r="L1217" s="5" t="n">
        <v>1</v>
      </c>
      <c r="M1217" s="10" t="n">
        <f aca="false">INDEX(Dim_Supplier!$F$2:$F$21,MATCH(B1217,Dim_Supplier!$A$2:$A$21,0))</f>
        <v>95</v>
      </c>
      <c r="N1217" s="11" t="n">
        <v>0.0431</v>
      </c>
      <c r="O1217" s="10" t="n">
        <f aca="false">M1217*(1+N1217)</f>
        <v>99.0945</v>
      </c>
      <c r="P1217" s="10" t="n">
        <f aca="false">O1217*L1217</f>
        <v>99.0945</v>
      </c>
      <c r="Q1217" s="5" t="s">
        <v>113</v>
      </c>
      <c r="R1217" s="5" t="n">
        <v>0</v>
      </c>
      <c r="S1217" s="5" t="n">
        <v>30</v>
      </c>
      <c r="T1217" s="12" t="n">
        <f aca="false">(O1217-M1217)/M1217</f>
        <v>0.0431</v>
      </c>
      <c r="U1217" s="8" t="n">
        <f aca="false">IF(AND(K1217&lt;=I1217,R1217=0),1,0)</f>
        <v>1</v>
      </c>
      <c r="V1217" s="10" t="n">
        <f aca="false">IF(Q1217="No",P1217,0)</f>
        <v>0</v>
      </c>
    </row>
    <row r="1218" customFormat="false" ht="15" hidden="false" customHeight="false" outlineLevel="0" collapsed="false">
      <c r="A1218" s="5" t="s">
        <v>1352</v>
      </c>
      <c r="B1218" s="5" t="s">
        <v>57</v>
      </c>
      <c r="C1218" s="7" t="n">
        <v>45481</v>
      </c>
      <c r="D1218" s="8" t="str">
        <f aca="false">INDEX(Dim_Supplier!$C$2:$C$21,MATCH(B1218,Dim_Supplier!$A$2:$A$21,0))</f>
        <v>Packaging</v>
      </c>
      <c r="E1218" s="8" t="str">
        <f aca="false">INDEX(Dim_Supplier!$B$2:$B$21,MATCH(B1218,Dim_Supplier!$A$2:$A$21,0))</f>
        <v>Great Lakes Packaging Co.</v>
      </c>
      <c r="F1218" s="5" t="s">
        <v>158</v>
      </c>
      <c r="G1218" s="5" t="s">
        <v>112</v>
      </c>
      <c r="H1218" s="8" t="n">
        <f aca="false">INDEX(Lookup_Tables!$B$2:$B$5,MATCH(D1218,Lookup_Tables!$A$2:$A$5,0))</f>
        <v>14</v>
      </c>
      <c r="I1218" s="9" t="n">
        <f aca="false">C1218+H1218</f>
        <v>45495</v>
      </c>
      <c r="J1218" s="5" t="n">
        <v>-4</v>
      </c>
      <c r="K1218" s="9" t="n">
        <f aca="false">I1218+J1218</f>
        <v>45491</v>
      </c>
      <c r="L1218" s="5" t="n">
        <v>1762</v>
      </c>
      <c r="M1218" s="10" t="n">
        <f aca="false">INDEX(Dim_Supplier!$F$2:$F$21,MATCH(B1218,Dim_Supplier!$A$2:$A$21,0))</f>
        <v>4.35</v>
      </c>
      <c r="N1218" s="11" t="n">
        <v>0.0225</v>
      </c>
      <c r="O1218" s="10" t="n">
        <f aca="false">M1218*(1+N1218)</f>
        <v>4.447875</v>
      </c>
      <c r="P1218" s="10" t="n">
        <f aca="false">O1218*L1218</f>
        <v>7837.15575</v>
      </c>
      <c r="Q1218" s="5" t="s">
        <v>113</v>
      </c>
      <c r="R1218" s="5" t="n">
        <v>0</v>
      </c>
      <c r="S1218" s="5" t="n">
        <v>30</v>
      </c>
      <c r="T1218" s="12" t="n">
        <f aca="false">(O1218-M1218)/M1218</f>
        <v>0.0225</v>
      </c>
      <c r="U1218" s="8" t="n">
        <f aca="false">IF(AND(K1218&lt;=I1218,R1218=0),1,0)</f>
        <v>1</v>
      </c>
      <c r="V1218" s="10" t="n">
        <f aca="false">IF(Q1218="No",P1218,0)</f>
        <v>0</v>
      </c>
    </row>
    <row r="1219" customFormat="false" ht="15" hidden="false" customHeight="false" outlineLevel="0" collapsed="false">
      <c r="A1219" s="5" t="s">
        <v>1353</v>
      </c>
      <c r="B1219" s="5" t="s">
        <v>64</v>
      </c>
      <c r="C1219" s="7" t="n">
        <v>45644</v>
      </c>
      <c r="D1219" s="8" t="str">
        <f aca="false">INDEX(Dim_Supplier!$C$2:$C$21,MATCH(B1219,Dim_Supplier!$A$2:$A$21,0))</f>
        <v>Packaging</v>
      </c>
      <c r="E1219" s="8" t="str">
        <f aca="false">INDEX(Dim_Supplier!$B$2:$B$21,MATCH(B1219,Dim_Supplier!$A$2:$A$21,0))</f>
        <v>Huron Pallet Works</v>
      </c>
      <c r="F1219" s="5" t="s">
        <v>117</v>
      </c>
      <c r="G1219" s="5" t="s">
        <v>125</v>
      </c>
      <c r="H1219" s="8" t="n">
        <f aca="false">INDEX(Lookup_Tables!$B$2:$B$5,MATCH(D1219,Lookup_Tables!$A$2:$A$5,0))</f>
        <v>14</v>
      </c>
      <c r="I1219" s="9" t="n">
        <f aca="false">C1219+H1219</f>
        <v>45658</v>
      </c>
      <c r="J1219" s="5" t="n">
        <v>3</v>
      </c>
      <c r="K1219" s="9" t="n">
        <f aca="false">I1219+J1219</f>
        <v>45661</v>
      </c>
      <c r="L1219" s="5" t="n">
        <v>2240</v>
      </c>
      <c r="M1219" s="10" t="n">
        <f aca="false">INDEX(Dim_Supplier!$F$2:$F$21,MATCH(B1219,Dim_Supplier!$A$2:$A$21,0))</f>
        <v>2.25</v>
      </c>
      <c r="N1219" s="11" t="n">
        <v>0.1338</v>
      </c>
      <c r="O1219" s="10" t="n">
        <f aca="false">M1219*(1+N1219)</f>
        <v>2.55105</v>
      </c>
      <c r="P1219" s="10" t="n">
        <f aca="false">O1219*L1219</f>
        <v>5714.352</v>
      </c>
      <c r="Q1219" s="5" t="s">
        <v>133</v>
      </c>
      <c r="R1219" s="5" t="n">
        <v>0</v>
      </c>
      <c r="S1219" s="5" t="n">
        <v>60</v>
      </c>
      <c r="T1219" s="12" t="n">
        <f aca="false">(O1219-M1219)/M1219</f>
        <v>0.1338</v>
      </c>
      <c r="U1219" s="8" t="n">
        <f aca="false">IF(AND(K1219&lt;=I1219,R1219=0),1,0)</f>
        <v>0</v>
      </c>
      <c r="V1219" s="10" t="n">
        <f aca="false">IF(Q1219="No",P1219,0)</f>
        <v>5714.352</v>
      </c>
    </row>
    <row r="1220" customFormat="false" ht="15" hidden="false" customHeight="false" outlineLevel="0" collapsed="false">
      <c r="A1220" s="5" t="s">
        <v>1354</v>
      </c>
      <c r="B1220" s="5" t="s">
        <v>75</v>
      </c>
      <c r="C1220" s="7" t="n">
        <v>46073</v>
      </c>
      <c r="D1220" s="8" t="str">
        <f aca="false">INDEX(Dim_Supplier!$C$2:$C$21,MATCH(B1220,Dim_Supplier!$A$2:$A$21,0))</f>
        <v>MRO</v>
      </c>
      <c r="E1220" s="8" t="str">
        <f aca="false">INDEX(Dim_Supplier!$B$2:$B$21,MATCH(B1220,Dim_Supplier!$A$2:$A$21,0))</f>
        <v>Sterling Lubricants Inc.</v>
      </c>
      <c r="F1220" s="5" t="s">
        <v>127</v>
      </c>
      <c r="G1220" s="5" t="s">
        <v>125</v>
      </c>
      <c r="H1220" s="8" t="n">
        <f aca="false">INDEX(Lookup_Tables!$B$2:$B$5,MATCH(D1220,Lookup_Tables!$A$2:$A$5,0))</f>
        <v>10</v>
      </c>
      <c r="I1220" s="9" t="n">
        <f aca="false">C1220+H1220</f>
        <v>46083</v>
      </c>
      <c r="J1220" s="5" t="n">
        <v>-1</v>
      </c>
      <c r="K1220" s="9" t="n">
        <f aca="false">I1220+J1220</f>
        <v>46082</v>
      </c>
      <c r="L1220" s="5" t="n">
        <v>39</v>
      </c>
      <c r="M1220" s="10" t="n">
        <f aca="false">INDEX(Dim_Supplier!$F$2:$F$21,MATCH(B1220,Dim_Supplier!$A$2:$A$21,0))</f>
        <v>27.1</v>
      </c>
      <c r="N1220" s="11" t="n">
        <v>0.0445</v>
      </c>
      <c r="O1220" s="10" t="n">
        <f aca="false">M1220*(1+N1220)</f>
        <v>28.30595</v>
      </c>
      <c r="P1220" s="10" t="n">
        <f aca="false">O1220*L1220</f>
        <v>1103.93205</v>
      </c>
      <c r="Q1220" s="5" t="s">
        <v>113</v>
      </c>
      <c r="R1220" s="5" t="n">
        <v>0</v>
      </c>
      <c r="S1220" s="5" t="n">
        <v>30</v>
      </c>
      <c r="T1220" s="12" t="n">
        <f aca="false">(O1220-M1220)/M1220</f>
        <v>0.0444999999999999</v>
      </c>
      <c r="U1220" s="8" t="n">
        <f aca="false">IF(AND(K1220&lt;=I1220,R1220=0),1,0)</f>
        <v>1</v>
      </c>
      <c r="V1220" s="10" t="n">
        <f aca="false">IF(Q1220="No",P1220,0)</f>
        <v>0</v>
      </c>
    </row>
    <row r="1221" customFormat="false" ht="15" hidden="false" customHeight="false" outlineLevel="0" collapsed="false">
      <c r="A1221" s="5" t="s">
        <v>1355</v>
      </c>
      <c r="B1221" s="5" t="s">
        <v>75</v>
      </c>
      <c r="C1221" s="7" t="n">
        <v>46185</v>
      </c>
      <c r="D1221" s="8" t="str">
        <f aca="false">INDEX(Dim_Supplier!$C$2:$C$21,MATCH(B1221,Dim_Supplier!$A$2:$A$21,0))</f>
        <v>MRO</v>
      </c>
      <c r="E1221" s="8" t="str">
        <f aca="false">INDEX(Dim_Supplier!$B$2:$B$21,MATCH(B1221,Dim_Supplier!$A$2:$A$21,0))</f>
        <v>Sterling Lubricants Inc.</v>
      </c>
      <c r="F1221" s="5" t="s">
        <v>179</v>
      </c>
      <c r="G1221" s="5" t="s">
        <v>125</v>
      </c>
      <c r="H1221" s="8" t="n">
        <f aca="false">INDEX(Lookup_Tables!$B$2:$B$5,MATCH(D1221,Lookup_Tables!$A$2:$A$5,0))</f>
        <v>10</v>
      </c>
      <c r="I1221" s="9" t="n">
        <f aca="false">C1221+H1221</f>
        <v>46195</v>
      </c>
      <c r="J1221" s="5" t="n">
        <v>-4</v>
      </c>
      <c r="K1221" s="9" t="n">
        <f aca="false">I1221+J1221</f>
        <v>46191</v>
      </c>
      <c r="L1221" s="5" t="n">
        <v>176</v>
      </c>
      <c r="M1221" s="10" t="n">
        <f aca="false">INDEX(Dim_Supplier!$F$2:$F$21,MATCH(B1221,Dim_Supplier!$A$2:$A$21,0))</f>
        <v>27.1</v>
      </c>
      <c r="N1221" s="11" t="n">
        <v>0.0161</v>
      </c>
      <c r="O1221" s="10" t="n">
        <f aca="false">M1221*(1+N1221)</f>
        <v>27.53631</v>
      </c>
      <c r="P1221" s="10" t="n">
        <f aca="false">O1221*L1221</f>
        <v>4846.39056</v>
      </c>
      <c r="Q1221" s="5" t="s">
        <v>113</v>
      </c>
      <c r="R1221" s="5" t="n">
        <v>0</v>
      </c>
      <c r="S1221" s="5" t="n">
        <v>30</v>
      </c>
      <c r="T1221" s="12" t="n">
        <f aca="false">(O1221-M1221)/M1221</f>
        <v>0.0161</v>
      </c>
      <c r="U1221" s="8" t="n">
        <f aca="false">IF(AND(K1221&lt;=I1221,R1221=0),1,0)</f>
        <v>1</v>
      </c>
      <c r="V1221" s="10" t="n">
        <f aca="false">IF(Q1221="No",P1221,0)</f>
        <v>0</v>
      </c>
    </row>
    <row r="1222" customFormat="false" ht="15" hidden="false" customHeight="false" outlineLevel="0" collapsed="false">
      <c r="A1222" s="5" t="s">
        <v>1356</v>
      </c>
      <c r="B1222" s="5" t="s">
        <v>71</v>
      </c>
      <c r="C1222" s="7" t="n">
        <v>46078</v>
      </c>
      <c r="D1222" s="8" t="str">
        <f aca="false">INDEX(Dim_Supplier!$C$2:$C$21,MATCH(B1222,Dim_Supplier!$A$2:$A$21,0))</f>
        <v>MRO</v>
      </c>
      <c r="E1222" s="8" t="str">
        <f aca="false">INDEX(Dim_Supplier!$B$2:$B$21,MATCH(B1222,Dim_Supplier!$A$2:$A$21,0))</f>
        <v>CanSafe Equipment Ltd.</v>
      </c>
      <c r="F1222" s="5" t="s">
        <v>164</v>
      </c>
      <c r="G1222" s="5" t="s">
        <v>120</v>
      </c>
      <c r="H1222" s="8" t="n">
        <f aca="false">INDEX(Lookup_Tables!$B$2:$B$5,MATCH(D1222,Lookup_Tables!$A$2:$A$5,0))</f>
        <v>10</v>
      </c>
      <c r="I1222" s="9" t="n">
        <f aca="false">C1222+H1222</f>
        <v>46088</v>
      </c>
      <c r="J1222" s="5" t="n">
        <v>-3</v>
      </c>
      <c r="K1222" s="9" t="n">
        <f aca="false">I1222+J1222</f>
        <v>46085</v>
      </c>
      <c r="L1222" s="5" t="n">
        <v>5</v>
      </c>
      <c r="M1222" s="10" t="n">
        <f aca="false">INDEX(Dim_Supplier!$F$2:$F$21,MATCH(B1222,Dim_Supplier!$A$2:$A$21,0))</f>
        <v>18.75</v>
      </c>
      <c r="N1222" s="11" t="n">
        <v>0.048</v>
      </c>
      <c r="O1222" s="10" t="n">
        <f aca="false">M1222*(1+N1222)</f>
        <v>19.65</v>
      </c>
      <c r="P1222" s="10" t="n">
        <f aca="false">O1222*L1222</f>
        <v>98.25</v>
      </c>
      <c r="Q1222" s="5" t="s">
        <v>113</v>
      </c>
      <c r="R1222" s="5" t="n">
        <v>0</v>
      </c>
      <c r="S1222" s="5" t="n">
        <v>60</v>
      </c>
      <c r="T1222" s="12" t="n">
        <f aca="false">(O1222-M1222)/M1222</f>
        <v>0.0480000000000001</v>
      </c>
      <c r="U1222" s="8" t="n">
        <f aca="false">IF(AND(K1222&lt;=I1222,R1222=0),1,0)</f>
        <v>1</v>
      </c>
      <c r="V1222" s="10" t="n">
        <f aca="false">IF(Q1222="No",P1222,0)</f>
        <v>0</v>
      </c>
    </row>
    <row r="1223" customFormat="false" ht="15" hidden="false" customHeight="false" outlineLevel="0" collapsed="false">
      <c r="A1223" s="5" t="s">
        <v>1357</v>
      </c>
      <c r="B1223" s="5" t="s">
        <v>73</v>
      </c>
      <c r="C1223" s="7" t="n">
        <v>45433</v>
      </c>
      <c r="D1223" s="8" t="str">
        <f aca="false">INDEX(Dim_Supplier!$C$2:$C$21,MATCH(B1223,Dim_Supplier!$A$2:$A$21,0))</f>
        <v>MRO</v>
      </c>
      <c r="E1223" s="8" t="str">
        <f aca="false">INDEX(Dim_Supplier!$B$2:$B$21,MATCH(B1223,Dim_Supplier!$A$2:$A$21,0))</f>
        <v>Frontier MRO Solutions</v>
      </c>
      <c r="F1223" s="5" t="s">
        <v>179</v>
      </c>
      <c r="G1223" s="5" t="s">
        <v>112</v>
      </c>
      <c r="H1223" s="8" t="n">
        <f aca="false">INDEX(Lookup_Tables!$B$2:$B$5,MATCH(D1223,Lookup_Tables!$A$2:$A$5,0))</f>
        <v>10</v>
      </c>
      <c r="I1223" s="9" t="n">
        <f aca="false">C1223+H1223</f>
        <v>45443</v>
      </c>
      <c r="J1223" s="5" t="n">
        <v>7</v>
      </c>
      <c r="K1223" s="9" t="n">
        <f aca="false">I1223+J1223</f>
        <v>45450</v>
      </c>
      <c r="L1223" s="5" t="n">
        <v>28</v>
      </c>
      <c r="M1223" s="10" t="n">
        <f aca="false">INDEX(Dim_Supplier!$F$2:$F$21,MATCH(B1223,Dim_Supplier!$A$2:$A$21,0))</f>
        <v>15.9</v>
      </c>
      <c r="N1223" s="11" t="n">
        <v>0.1547</v>
      </c>
      <c r="O1223" s="10" t="n">
        <f aca="false">M1223*(1+N1223)</f>
        <v>18.35973</v>
      </c>
      <c r="P1223" s="10" t="n">
        <f aca="false">O1223*L1223</f>
        <v>514.07244</v>
      </c>
      <c r="Q1223" s="5" t="s">
        <v>113</v>
      </c>
      <c r="R1223" s="5" t="n">
        <v>0</v>
      </c>
      <c r="S1223" s="5" t="n">
        <v>30</v>
      </c>
      <c r="T1223" s="12" t="n">
        <f aca="false">(O1223-M1223)/M1223</f>
        <v>0.1547</v>
      </c>
      <c r="U1223" s="8" t="n">
        <f aca="false">IF(AND(K1223&lt;=I1223,R1223=0),1,0)</f>
        <v>0</v>
      </c>
      <c r="V1223" s="10" t="n">
        <f aca="false">IF(Q1223="No",P1223,0)</f>
        <v>0</v>
      </c>
    </row>
    <row r="1224" customFormat="false" ht="15" hidden="false" customHeight="false" outlineLevel="0" collapsed="false">
      <c r="A1224" s="5" t="s">
        <v>1358</v>
      </c>
      <c r="B1224" s="5" t="s">
        <v>54</v>
      </c>
      <c r="C1224" s="7" t="n">
        <v>45688</v>
      </c>
      <c r="D1224" s="8" t="str">
        <f aca="false">INDEX(Dim_Supplier!$C$2:$C$21,MATCH(B1224,Dim_Supplier!$A$2:$A$21,0))</f>
        <v>Raw Materials</v>
      </c>
      <c r="E1224" s="8" t="str">
        <f aca="false">INDEX(Dim_Supplier!$B$2:$B$21,MATCH(B1224,Dim_Supplier!$A$2:$A$21,0))</f>
        <v>Northern Resin Solutions</v>
      </c>
      <c r="F1224" s="5" t="s">
        <v>142</v>
      </c>
      <c r="G1224" s="5" t="s">
        <v>129</v>
      </c>
      <c r="H1224" s="8" t="n">
        <f aca="false">INDEX(Lookup_Tables!$B$2:$B$5,MATCH(D1224,Lookup_Tables!$A$2:$A$5,0))</f>
        <v>21</v>
      </c>
      <c r="I1224" s="9" t="n">
        <f aca="false">C1224+H1224</f>
        <v>45709</v>
      </c>
      <c r="J1224" s="5" t="n">
        <v>-1</v>
      </c>
      <c r="K1224" s="9" t="n">
        <f aca="false">I1224+J1224</f>
        <v>45708</v>
      </c>
      <c r="L1224" s="5" t="n">
        <v>467</v>
      </c>
      <c r="M1224" s="10" t="n">
        <f aca="false">INDEX(Dim_Supplier!$F$2:$F$21,MATCH(B1224,Dim_Supplier!$A$2:$A$21,0))</f>
        <v>38.9</v>
      </c>
      <c r="N1224" s="11" t="n">
        <v>0.0997</v>
      </c>
      <c r="O1224" s="10" t="n">
        <f aca="false">M1224*(1+N1224)</f>
        <v>42.77833</v>
      </c>
      <c r="P1224" s="10" t="n">
        <f aca="false">O1224*L1224</f>
        <v>19977.48011</v>
      </c>
      <c r="Q1224" s="5" t="s">
        <v>113</v>
      </c>
      <c r="R1224" s="5" t="n">
        <v>0</v>
      </c>
      <c r="S1224" s="5" t="n">
        <v>60</v>
      </c>
      <c r="T1224" s="12" t="n">
        <f aca="false">(O1224-M1224)/M1224</f>
        <v>0.0997</v>
      </c>
      <c r="U1224" s="8" t="n">
        <f aca="false">IF(AND(K1224&lt;=I1224,R1224=0),1,0)</f>
        <v>1</v>
      </c>
      <c r="V1224" s="10" t="n">
        <f aca="false">IF(Q1224="No",P1224,0)</f>
        <v>0</v>
      </c>
    </row>
    <row r="1225" customFormat="false" ht="15" hidden="false" customHeight="false" outlineLevel="0" collapsed="false">
      <c r="A1225" s="5" t="s">
        <v>1359</v>
      </c>
      <c r="B1225" s="5" t="s">
        <v>62</v>
      </c>
      <c r="C1225" s="7" t="n">
        <v>45376</v>
      </c>
      <c r="D1225" s="8" t="str">
        <f aca="false">INDEX(Dim_Supplier!$C$2:$C$21,MATCH(B1225,Dim_Supplier!$A$2:$A$21,0))</f>
        <v>Packaging</v>
      </c>
      <c r="E1225" s="8" t="str">
        <f aca="false">INDEX(Dim_Supplier!$B$2:$B$21,MATCH(B1225,Dim_Supplier!$A$2:$A$21,0))</f>
        <v>Trillium Packaging Solutions</v>
      </c>
      <c r="F1225" s="5" t="s">
        <v>119</v>
      </c>
      <c r="G1225" s="5" t="s">
        <v>129</v>
      </c>
      <c r="H1225" s="8" t="n">
        <f aca="false">INDEX(Lookup_Tables!$B$2:$B$5,MATCH(D1225,Lookup_Tables!$A$2:$A$5,0))</f>
        <v>14</v>
      </c>
      <c r="I1225" s="9" t="n">
        <f aca="false">C1225+H1225</f>
        <v>45390</v>
      </c>
      <c r="J1225" s="5" t="n">
        <v>-4</v>
      </c>
      <c r="K1225" s="9" t="n">
        <f aca="false">I1225+J1225</f>
        <v>45386</v>
      </c>
      <c r="L1225" s="5" t="n">
        <v>600</v>
      </c>
      <c r="M1225" s="10" t="n">
        <f aca="false">INDEX(Dim_Supplier!$F$2:$F$21,MATCH(B1225,Dim_Supplier!$A$2:$A$21,0))</f>
        <v>5.6</v>
      </c>
      <c r="N1225" s="11" t="n">
        <v>0.0031</v>
      </c>
      <c r="O1225" s="10" t="n">
        <f aca="false">M1225*(1+N1225)</f>
        <v>5.61736</v>
      </c>
      <c r="P1225" s="10" t="n">
        <f aca="false">O1225*L1225</f>
        <v>3370.416</v>
      </c>
      <c r="Q1225" s="5" t="s">
        <v>113</v>
      </c>
      <c r="R1225" s="5" t="n">
        <v>0</v>
      </c>
      <c r="S1225" s="5" t="n">
        <v>45</v>
      </c>
      <c r="T1225" s="12" t="n">
        <f aca="false">(O1225-M1225)/M1225</f>
        <v>0.00310000000000017</v>
      </c>
      <c r="U1225" s="8" t="n">
        <f aca="false">IF(AND(K1225&lt;=I1225,R1225=0),1,0)</f>
        <v>1</v>
      </c>
      <c r="V1225" s="10" t="n">
        <f aca="false">IF(Q1225="No",P1225,0)</f>
        <v>0</v>
      </c>
    </row>
    <row r="1226" customFormat="false" ht="15" hidden="false" customHeight="false" outlineLevel="0" collapsed="false">
      <c r="A1226" s="5" t="s">
        <v>1360</v>
      </c>
      <c r="B1226" s="5" t="s">
        <v>75</v>
      </c>
      <c r="C1226" s="7" t="n">
        <v>45303</v>
      </c>
      <c r="D1226" s="8" t="str">
        <f aca="false">INDEX(Dim_Supplier!$C$2:$C$21,MATCH(B1226,Dim_Supplier!$A$2:$A$21,0))</f>
        <v>MRO</v>
      </c>
      <c r="E1226" s="8" t="str">
        <f aca="false">INDEX(Dim_Supplier!$B$2:$B$21,MATCH(B1226,Dim_Supplier!$A$2:$A$21,0))</f>
        <v>Sterling Lubricants Inc.</v>
      </c>
      <c r="F1226" s="5" t="s">
        <v>179</v>
      </c>
      <c r="G1226" s="5" t="s">
        <v>125</v>
      </c>
      <c r="H1226" s="8" t="n">
        <f aca="false">INDEX(Lookup_Tables!$B$2:$B$5,MATCH(D1226,Lookup_Tables!$A$2:$A$5,0))</f>
        <v>10</v>
      </c>
      <c r="I1226" s="9" t="n">
        <f aca="false">C1226+H1226</f>
        <v>45313</v>
      </c>
      <c r="J1226" s="5" t="n">
        <v>-4</v>
      </c>
      <c r="K1226" s="9" t="n">
        <f aca="false">I1226+J1226</f>
        <v>45309</v>
      </c>
      <c r="L1226" s="5" t="n">
        <v>113</v>
      </c>
      <c r="M1226" s="10" t="n">
        <f aca="false">INDEX(Dim_Supplier!$F$2:$F$21,MATCH(B1226,Dim_Supplier!$A$2:$A$21,0))</f>
        <v>27.1</v>
      </c>
      <c r="N1226" s="11" t="n">
        <v>0.0231</v>
      </c>
      <c r="O1226" s="10" t="n">
        <f aca="false">M1226*(1+N1226)</f>
        <v>27.72601</v>
      </c>
      <c r="P1226" s="10" t="n">
        <f aca="false">O1226*L1226</f>
        <v>3133.03913</v>
      </c>
      <c r="Q1226" s="5" t="s">
        <v>113</v>
      </c>
      <c r="R1226" s="5" t="n">
        <v>0</v>
      </c>
      <c r="S1226" s="5" t="n">
        <v>45</v>
      </c>
      <c r="T1226" s="12" t="n">
        <f aca="false">(O1226-M1226)/M1226</f>
        <v>0.0230999999999999</v>
      </c>
      <c r="U1226" s="8" t="n">
        <f aca="false">IF(AND(K1226&lt;=I1226,R1226=0),1,0)</f>
        <v>1</v>
      </c>
      <c r="V1226" s="10" t="n">
        <f aca="false">IF(Q1226="No",P1226,0)</f>
        <v>0</v>
      </c>
    </row>
    <row r="1227" customFormat="false" ht="15" hidden="false" customHeight="false" outlineLevel="0" collapsed="false">
      <c r="A1227" s="5" t="s">
        <v>1361</v>
      </c>
      <c r="B1227" s="5" t="s">
        <v>79</v>
      </c>
      <c r="C1227" s="7" t="n">
        <v>45753</v>
      </c>
      <c r="D1227" s="8" t="str">
        <f aca="false">INDEX(Dim_Supplier!$C$2:$C$21,MATCH(B1227,Dim_Supplier!$A$2:$A$21,0))</f>
        <v>Logistics</v>
      </c>
      <c r="E1227" s="8" t="str">
        <f aca="false">INDEX(Dim_Supplier!$B$2:$B$21,MATCH(B1227,Dim_Supplier!$A$2:$A$21,0))</f>
        <v>Niagara Freight Solutions</v>
      </c>
      <c r="F1227" s="5" t="s">
        <v>185</v>
      </c>
      <c r="G1227" s="5" t="s">
        <v>120</v>
      </c>
      <c r="H1227" s="8" t="n">
        <f aca="false">INDEX(Lookup_Tables!$B$2:$B$5,MATCH(D1227,Lookup_Tables!$A$2:$A$5,0))</f>
        <v>5</v>
      </c>
      <c r="I1227" s="9" t="n">
        <f aca="false">C1227+H1227</f>
        <v>45758</v>
      </c>
      <c r="J1227" s="5" t="n">
        <v>-1</v>
      </c>
      <c r="K1227" s="9" t="n">
        <f aca="false">I1227+J1227</f>
        <v>45757</v>
      </c>
      <c r="L1227" s="5" t="n">
        <v>35</v>
      </c>
      <c r="M1227" s="10" t="n">
        <f aca="false">INDEX(Dim_Supplier!$F$2:$F$21,MATCH(B1227,Dim_Supplier!$A$2:$A$21,0))</f>
        <v>340</v>
      </c>
      <c r="N1227" s="11" t="n">
        <v>-0.021</v>
      </c>
      <c r="O1227" s="10" t="n">
        <f aca="false">M1227*(1+N1227)</f>
        <v>332.86</v>
      </c>
      <c r="P1227" s="10" t="n">
        <f aca="false">O1227*L1227</f>
        <v>11650.1</v>
      </c>
      <c r="Q1227" s="5" t="s">
        <v>133</v>
      </c>
      <c r="R1227" s="5" t="n">
        <v>0</v>
      </c>
      <c r="S1227" s="5" t="n">
        <v>30</v>
      </c>
      <c r="T1227" s="12" t="n">
        <f aca="false">(O1227-M1227)/M1227</f>
        <v>-0.021</v>
      </c>
      <c r="U1227" s="8" t="n">
        <f aca="false">IF(AND(K1227&lt;=I1227,R1227=0),1,0)</f>
        <v>1</v>
      </c>
      <c r="V1227" s="10" t="n">
        <f aca="false">IF(Q1227="No",P1227,0)</f>
        <v>11650.1</v>
      </c>
    </row>
    <row r="1228" customFormat="false" ht="15" hidden="false" customHeight="false" outlineLevel="0" collapsed="false">
      <c r="A1228" s="5" t="s">
        <v>1362</v>
      </c>
      <c r="B1228" s="5" t="s">
        <v>62</v>
      </c>
      <c r="C1228" s="7" t="n">
        <v>46069</v>
      </c>
      <c r="D1228" s="8" t="str">
        <f aca="false">INDEX(Dim_Supplier!$C$2:$C$21,MATCH(B1228,Dim_Supplier!$A$2:$A$21,0))</f>
        <v>Packaging</v>
      </c>
      <c r="E1228" s="8" t="str">
        <f aca="false">INDEX(Dim_Supplier!$B$2:$B$21,MATCH(B1228,Dim_Supplier!$A$2:$A$21,0))</f>
        <v>Trillium Packaging Solutions</v>
      </c>
      <c r="F1228" s="5" t="s">
        <v>137</v>
      </c>
      <c r="G1228" s="5" t="s">
        <v>129</v>
      </c>
      <c r="H1228" s="8" t="n">
        <f aca="false">INDEX(Lookup_Tables!$B$2:$B$5,MATCH(D1228,Lookup_Tables!$A$2:$A$5,0))</f>
        <v>14</v>
      </c>
      <c r="I1228" s="9" t="n">
        <f aca="false">C1228+H1228</f>
        <v>46083</v>
      </c>
      <c r="J1228" s="5" t="n">
        <v>-2</v>
      </c>
      <c r="K1228" s="9" t="n">
        <f aca="false">I1228+J1228</f>
        <v>46081</v>
      </c>
      <c r="L1228" s="5" t="n">
        <v>2612</v>
      </c>
      <c r="M1228" s="10" t="n">
        <f aca="false">INDEX(Dim_Supplier!$F$2:$F$21,MATCH(B1228,Dim_Supplier!$A$2:$A$21,0))</f>
        <v>5.6</v>
      </c>
      <c r="N1228" s="11" t="n">
        <v>0.0347</v>
      </c>
      <c r="O1228" s="10" t="n">
        <f aca="false">M1228*(1+N1228)</f>
        <v>5.79432</v>
      </c>
      <c r="P1228" s="10" t="n">
        <f aca="false">O1228*L1228</f>
        <v>15134.76384</v>
      </c>
      <c r="Q1228" s="5" t="s">
        <v>113</v>
      </c>
      <c r="R1228" s="5" t="n">
        <v>0</v>
      </c>
      <c r="S1228" s="5" t="n">
        <v>45</v>
      </c>
      <c r="T1228" s="12" t="n">
        <f aca="false">(O1228-M1228)/M1228</f>
        <v>0.0346999999999999</v>
      </c>
      <c r="U1228" s="8" t="n">
        <f aca="false">IF(AND(K1228&lt;=I1228,R1228=0),1,0)</f>
        <v>1</v>
      </c>
      <c r="V1228" s="10" t="n">
        <f aca="false">IF(Q1228="No",P1228,0)</f>
        <v>0</v>
      </c>
    </row>
    <row r="1229" customFormat="false" ht="15" hidden="false" customHeight="false" outlineLevel="0" collapsed="false">
      <c r="A1229" s="5" t="s">
        <v>1363</v>
      </c>
      <c r="B1229" s="5" t="s">
        <v>62</v>
      </c>
      <c r="C1229" s="7" t="n">
        <v>45341</v>
      </c>
      <c r="D1229" s="8" t="str">
        <f aca="false">INDEX(Dim_Supplier!$C$2:$C$21,MATCH(B1229,Dim_Supplier!$A$2:$A$21,0))</f>
        <v>Packaging</v>
      </c>
      <c r="E1229" s="8" t="str">
        <f aca="false">INDEX(Dim_Supplier!$B$2:$B$21,MATCH(B1229,Dim_Supplier!$A$2:$A$21,0))</f>
        <v>Trillium Packaging Solutions</v>
      </c>
      <c r="F1229" s="5" t="s">
        <v>137</v>
      </c>
      <c r="G1229" s="5" t="s">
        <v>120</v>
      </c>
      <c r="H1229" s="8" t="n">
        <f aca="false">INDEX(Lookup_Tables!$B$2:$B$5,MATCH(D1229,Lookup_Tables!$A$2:$A$5,0))</f>
        <v>14</v>
      </c>
      <c r="I1229" s="9" t="n">
        <f aca="false">C1229+H1229</f>
        <v>45355</v>
      </c>
      <c r="J1229" s="5" t="n">
        <v>1</v>
      </c>
      <c r="K1229" s="9" t="n">
        <f aca="false">I1229+J1229</f>
        <v>45356</v>
      </c>
      <c r="L1229" s="5" t="n">
        <v>4270</v>
      </c>
      <c r="M1229" s="10" t="n">
        <f aca="false">INDEX(Dim_Supplier!$F$2:$F$21,MATCH(B1229,Dim_Supplier!$A$2:$A$21,0))</f>
        <v>5.6</v>
      </c>
      <c r="N1229" s="11" t="n">
        <v>0.03</v>
      </c>
      <c r="O1229" s="10" t="n">
        <f aca="false">M1229*(1+N1229)</f>
        <v>5.768</v>
      </c>
      <c r="P1229" s="10" t="n">
        <f aca="false">O1229*L1229</f>
        <v>24629.36</v>
      </c>
      <c r="Q1229" s="5" t="s">
        <v>113</v>
      </c>
      <c r="R1229" s="5" t="n">
        <v>0</v>
      </c>
      <c r="S1229" s="5" t="n">
        <v>45</v>
      </c>
      <c r="T1229" s="12" t="n">
        <f aca="false">(O1229-M1229)/M1229</f>
        <v>0.03</v>
      </c>
      <c r="U1229" s="8" t="n">
        <f aca="false">IF(AND(K1229&lt;=I1229,R1229=0),1,0)</f>
        <v>0</v>
      </c>
      <c r="V1229" s="10" t="n">
        <f aca="false">IF(Q1229="No",P1229,0)</f>
        <v>0</v>
      </c>
    </row>
    <row r="1230" customFormat="false" ht="15" hidden="false" customHeight="false" outlineLevel="0" collapsed="false">
      <c r="A1230" s="5" t="s">
        <v>1364</v>
      </c>
      <c r="B1230" s="5" t="s">
        <v>52</v>
      </c>
      <c r="C1230" s="7" t="n">
        <v>45637</v>
      </c>
      <c r="D1230" s="8" t="str">
        <f aca="false">INDEX(Dim_Supplier!$C$2:$C$21,MATCH(B1230,Dim_Supplier!$A$2:$A$21,0))</f>
        <v>Raw Materials</v>
      </c>
      <c r="E1230" s="8" t="str">
        <f aca="false">INDEX(Dim_Supplier!$B$2:$B$21,MATCH(B1230,Dim_Supplier!$A$2:$A$21,0))</f>
        <v>Laurentian Metals Inc.</v>
      </c>
      <c r="F1230" s="5" t="s">
        <v>139</v>
      </c>
      <c r="G1230" s="5" t="s">
        <v>129</v>
      </c>
      <c r="H1230" s="8" t="n">
        <f aca="false">INDEX(Lookup_Tables!$B$2:$B$5,MATCH(D1230,Lookup_Tables!$A$2:$A$5,0))</f>
        <v>21</v>
      </c>
      <c r="I1230" s="9" t="n">
        <f aca="false">C1230+H1230</f>
        <v>45658</v>
      </c>
      <c r="J1230" s="5" t="n">
        <v>-4</v>
      </c>
      <c r="K1230" s="9" t="n">
        <f aca="false">I1230+J1230</f>
        <v>45654</v>
      </c>
      <c r="L1230" s="5" t="n">
        <v>830</v>
      </c>
      <c r="M1230" s="10" t="n">
        <f aca="false">INDEX(Dim_Supplier!$F$2:$F$21,MATCH(B1230,Dim_Supplier!$A$2:$A$21,0))</f>
        <v>61.2</v>
      </c>
      <c r="N1230" s="11" t="n">
        <v>0.0167</v>
      </c>
      <c r="O1230" s="10" t="n">
        <f aca="false">M1230*(1+N1230)</f>
        <v>62.22204</v>
      </c>
      <c r="P1230" s="10" t="n">
        <f aca="false">O1230*L1230</f>
        <v>51644.2932</v>
      </c>
      <c r="Q1230" s="5" t="s">
        <v>113</v>
      </c>
      <c r="R1230" s="5" t="n">
        <v>0</v>
      </c>
      <c r="S1230" s="5" t="n">
        <v>30</v>
      </c>
      <c r="T1230" s="12" t="n">
        <f aca="false">(O1230-M1230)/M1230</f>
        <v>0.0167</v>
      </c>
      <c r="U1230" s="8" t="n">
        <f aca="false">IF(AND(K1230&lt;=I1230,R1230=0),1,0)</f>
        <v>1</v>
      </c>
      <c r="V1230" s="10" t="n">
        <f aca="false">IF(Q1230="No",P1230,0)</f>
        <v>0</v>
      </c>
    </row>
    <row r="1231" customFormat="false" ht="15" hidden="false" customHeight="false" outlineLevel="0" collapsed="false">
      <c r="A1231" s="5" t="s">
        <v>1365</v>
      </c>
      <c r="B1231" s="5" t="s">
        <v>41</v>
      </c>
      <c r="C1231" s="7" t="n">
        <v>45406</v>
      </c>
      <c r="D1231" s="8" t="str">
        <f aca="false">INDEX(Dim_Supplier!$C$2:$C$21,MATCH(B1231,Dim_Supplier!$A$2:$A$21,0))</f>
        <v>Raw Materials</v>
      </c>
      <c r="E1231" s="8" t="str">
        <f aca="false">INDEX(Dim_Supplier!$B$2:$B$21,MATCH(B1231,Dim_Supplier!$A$2:$A$21,0))</f>
        <v>Ontario Steel Partners</v>
      </c>
      <c r="F1231" s="5" t="s">
        <v>139</v>
      </c>
      <c r="G1231" s="5" t="s">
        <v>129</v>
      </c>
      <c r="H1231" s="8" t="n">
        <f aca="false">INDEX(Lookup_Tables!$B$2:$B$5,MATCH(D1231,Lookup_Tables!$A$2:$A$5,0))</f>
        <v>21</v>
      </c>
      <c r="I1231" s="9" t="n">
        <f aca="false">C1231+H1231</f>
        <v>45427</v>
      </c>
      <c r="J1231" s="5" t="n">
        <v>-4</v>
      </c>
      <c r="K1231" s="9" t="n">
        <f aca="false">I1231+J1231</f>
        <v>45423</v>
      </c>
      <c r="L1231" s="5" t="n">
        <v>458</v>
      </c>
      <c r="M1231" s="10" t="n">
        <f aca="false">INDEX(Dim_Supplier!$F$2:$F$21,MATCH(B1231,Dim_Supplier!$A$2:$A$21,0))</f>
        <v>58</v>
      </c>
      <c r="N1231" s="11" t="n">
        <v>0.0061</v>
      </c>
      <c r="O1231" s="10" t="n">
        <f aca="false">M1231*(1+N1231)</f>
        <v>58.3538</v>
      </c>
      <c r="P1231" s="10" t="n">
        <f aca="false">O1231*L1231</f>
        <v>26726.0404</v>
      </c>
      <c r="Q1231" s="5" t="s">
        <v>113</v>
      </c>
      <c r="R1231" s="5" t="n">
        <v>0</v>
      </c>
      <c r="S1231" s="5" t="n">
        <v>45</v>
      </c>
      <c r="T1231" s="12" t="n">
        <f aca="false">(O1231-M1231)/M1231</f>
        <v>0.00609999999999999</v>
      </c>
      <c r="U1231" s="8" t="n">
        <f aca="false">IF(AND(K1231&lt;=I1231,R1231=0),1,0)</f>
        <v>1</v>
      </c>
      <c r="V1231" s="10" t="n">
        <f aca="false">IF(Q1231="No",P1231,0)</f>
        <v>0</v>
      </c>
    </row>
    <row r="1232" customFormat="false" ht="15" hidden="false" customHeight="false" outlineLevel="0" collapsed="false">
      <c r="A1232" s="5" t="s">
        <v>1366</v>
      </c>
      <c r="B1232" s="5" t="s">
        <v>71</v>
      </c>
      <c r="C1232" s="7" t="n">
        <v>45733</v>
      </c>
      <c r="D1232" s="8" t="str">
        <f aca="false">INDEX(Dim_Supplier!$C$2:$C$21,MATCH(B1232,Dim_Supplier!$A$2:$A$21,0))</f>
        <v>MRO</v>
      </c>
      <c r="E1232" s="8" t="str">
        <f aca="false">INDEX(Dim_Supplier!$B$2:$B$21,MATCH(B1232,Dim_Supplier!$A$2:$A$21,0))</f>
        <v>CanSafe Equipment Ltd.</v>
      </c>
      <c r="F1232" s="5" t="s">
        <v>111</v>
      </c>
      <c r="G1232" s="5" t="s">
        <v>120</v>
      </c>
      <c r="H1232" s="8" t="n">
        <f aca="false">INDEX(Lookup_Tables!$B$2:$B$5,MATCH(D1232,Lookup_Tables!$A$2:$A$5,0))</f>
        <v>10</v>
      </c>
      <c r="I1232" s="9" t="n">
        <f aca="false">C1232+H1232</f>
        <v>45743</v>
      </c>
      <c r="J1232" s="5" t="n">
        <v>2</v>
      </c>
      <c r="K1232" s="9" t="n">
        <f aca="false">I1232+J1232</f>
        <v>45745</v>
      </c>
      <c r="L1232" s="5" t="n">
        <v>67</v>
      </c>
      <c r="M1232" s="10" t="n">
        <f aca="false">INDEX(Dim_Supplier!$F$2:$F$21,MATCH(B1232,Dim_Supplier!$A$2:$A$21,0))</f>
        <v>18.75</v>
      </c>
      <c r="N1232" s="11" t="n">
        <v>0.0246</v>
      </c>
      <c r="O1232" s="10" t="n">
        <f aca="false">M1232*(1+N1232)</f>
        <v>19.21125</v>
      </c>
      <c r="P1232" s="10" t="n">
        <f aca="false">O1232*L1232</f>
        <v>1287.15375</v>
      </c>
      <c r="Q1232" s="5" t="s">
        <v>133</v>
      </c>
      <c r="R1232" s="5" t="n">
        <v>0</v>
      </c>
      <c r="S1232" s="5" t="n">
        <v>60</v>
      </c>
      <c r="T1232" s="12" t="n">
        <f aca="false">(O1232-M1232)/M1232</f>
        <v>0.0246</v>
      </c>
      <c r="U1232" s="8" t="n">
        <f aca="false">IF(AND(K1232&lt;=I1232,R1232=0),1,0)</f>
        <v>0</v>
      </c>
      <c r="V1232" s="10" t="n">
        <f aca="false">IF(Q1232="No",P1232,0)</f>
        <v>1287.15375</v>
      </c>
    </row>
    <row r="1233" customFormat="false" ht="15" hidden="false" customHeight="false" outlineLevel="0" collapsed="false">
      <c r="A1233" s="5" t="s">
        <v>1367</v>
      </c>
      <c r="B1233" s="5" t="s">
        <v>79</v>
      </c>
      <c r="C1233" s="7" t="n">
        <v>45874</v>
      </c>
      <c r="D1233" s="8" t="str">
        <f aca="false">INDEX(Dim_Supplier!$C$2:$C$21,MATCH(B1233,Dim_Supplier!$A$2:$A$21,0))</f>
        <v>Logistics</v>
      </c>
      <c r="E1233" s="8" t="str">
        <f aca="false">INDEX(Dim_Supplier!$B$2:$B$21,MATCH(B1233,Dim_Supplier!$A$2:$A$21,0))</f>
        <v>Niagara Freight Solutions</v>
      </c>
      <c r="F1233" s="5" t="s">
        <v>237</v>
      </c>
      <c r="G1233" s="5" t="s">
        <v>129</v>
      </c>
      <c r="H1233" s="8" t="n">
        <f aca="false">INDEX(Lookup_Tables!$B$2:$B$5,MATCH(D1233,Lookup_Tables!$A$2:$A$5,0))</f>
        <v>5</v>
      </c>
      <c r="I1233" s="9" t="n">
        <f aca="false">C1233+H1233</f>
        <v>45879</v>
      </c>
      <c r="J1233" s="5" t="n">
        <v>0</v>
      </c>
      <c r="K1233" s="9" t="n">
        <f aca="false">I1233+J1233</f>
        <v>45879</v>
      </c>
      <c r="L1233" s="5" t="n">
        <v>10</v>
      </c>
      <c r="M1233" s="10" t="n">
        <f aca="false">INDEX(Dim_Supplier!$F$2:$F$21,MATCH(B1233,Dim_Supplier!$A$2:$A$21,0))</f>
        <v>340</v>
      </c>
      <c r="N1233" s="11" t="n">
        <v>0.0189</v>
      </c>
      <c r="O1233" s="10" t="n">
        <f aca="false">M1233*(1+N1233)</f>
        <v>346.426</v>
      </c>
      <c r="P1233" s="10" t="n">
        <f aca="false">O1233*L1233</f>
        <v>3464.26</v>
      </c>
      <c r="Q1233" s="5" t="s">
        <v>113</v>
      </c>
      <c r="R1233" s="5" t="n">
        <v>0</v>
      </c>
      <c r="S1233" s="5" t="n">
        <v>60</v>
      </c>
      <c r="T1233" s="12" t="n">
        <f aca="false">(O1233-M1233)/M1233</f>
        <v>0.0189</v>
      </c>
      <c r="U1233" s="8" t="n">
        <f aca="false">IF(AND(K1233&lt;=I1233,R1233=0),1,0)</f>
        <v>1</v>
      </c>
      <c r="V1233" s="10" t="n">
        <f aca="false">IF(Q1233="No",P1233,0)</f>
        <v>0</v>
      </c>
    </row>
    <row r="1234" customFormat="false" ht="15" hidden="false" customHeight="false" outlineLevel="0" collapsed="false">
      <c r="A1234" s="5" t="s">
        <v>1368</v>
      </c>
      <c r="B1234" s="5" t="s">
        <v>46</v>
      </c>
      <c r="C1234" s="7" t="n">
        <v>45816</v>
      </c>
      <c r="D1234" s="8" t="str">
        <f aca="false">INDEX(Dim_Supplier!$C$2:$C$21,MATCH(B1234,Dim_Supplier!$A$2:$A$21,0))</f>
        <v>Raw Materials</v>
      </c>
      <c r="E1234" s="8" t="str">
        <f aca="false">INDEX(Dim_Supplier!$B$2:$B$21,MATCH(B1234,Dim_Supplier!$A$2:$A$21,0))</f>
        <v>Niagara Alloy Supply</v>
      </c>
      <c r="F1234" s="5" t="s">
        <v>148</v>
      </c>
      <c r="G1234" s="5" t="s">
        <v>120</v>
      </c>
      <c r="H1234" s="8" t="n">
        <f aca="false">INDEX(Lookup_Tables!$B$2:$B$5,MATCH(D1234,Lookup_Tables!$A$2:$A$5,0))</f>
        <v>21</v>
      </c>
      <c r="I1234" s="9" t="n">
        <f aca="false">C1234+H1234</f>
        <v>45837</v>
      </c>
      <c r="J1234" s="5" t="n">
        <v>2</v>
      </c>
      <c r="K1234" s="9" t="n">
        <f aca="false">I1234+J1234</f>
        <v>45839</v>
      </c>
      <c r="L1234" s="5" t="n">
        <v>965</v>
      </c>
      <c r="M1234" s="10" t="n">
        <f aca="false">INDEX(Dim_Supplier!$F$2:$F$21,MATCH(B1234,Dim_Supplier!$A$2:$A$21,0))</f>
        <v>46.5</v>
      </c>
      <c r="N1234" s="11" t="n">
        <v>0.0154</v>
      </c>
      <c r="O1234" s="10" t="n">
        <f aca="false">M1234*(1+N1234)</f>
        <v>47.2161</v>
      </c>
      <c r="P1234" s="10" t="n">
        <f aca="false">O1234*L1234</f>
        <v>45563.5365</v>
      </c>
      <c r="Q1234" s="5" t="s">
        <v>113</v>
      </c>
      <c r="R1234" s="5" t="n">
        <v>0</v>
      </c>
      <c r="S1234" s="5" t="n">
        <v>45</v>
      </c>
      <c r="T1234" s="12" t="n">
        <f aca="false">(O1234-M1234)/M1234</f>
        <v>0.0154000000000001</v>
      </c>
      <c r="U1234" s="8" t="n">
        <f aca="false">IF(AND(K1234&lt;=I1234,R1234=0),1,0)</f>
        <v>0</v>
      </c>
      <c r="V1234" s="10" t="n">
        <f aca="false">IF(Q1234="No",P1234,0)</f>
        <v>0</v>
      </c>
    </row>
    <row r="1235" customFormat="false" ht="15" hidden="false" customHeight="false" outlineLevel="0" collapsed="false">
      <c r="A1235" s="5" t="s">
        <v>1369</v>
      </c>
      <c r="B1235" s="5" t="s">
        <v>77</v>
      </c>
      <c r="C1235" s="7" t="n">
        <v>46052</v>
      </c>
      <c r="D1235" s="8" t="str">
        <f aca="false">INDEX(Dim_Supplier!$C$2:$C$21,MATCH(B1235,Dim_Supplier!$A$2:$A$21,0))</f>
        <v>MRO</v>
      </c>
      <c r="E1235" s="8" t="str">
        <f aca="false">INDEX(Dim_Supplier!$B$2:$B$21,MATCH(B1235,Dim_Supplier!$A$2:$A$21,0))</f>
        <v>Apex Industrial Supply</v>
      </c>
      <c r="F1235" s="5" t="s">
        <v>127</v>
      </c>
      <c r="G1235" s="5" t="s">
        <v>125</v>
      </c>
      <c r="H1235" s="8" t="n">
        <f aca="false">INDEX(Lookup_Tables!$B$2:$B$5,MATCH(D1235,Lookup_Tables!$A$2:$A$5,0))</f>
        <v>10</v>
      </c>
      <c r="I1235" s="9" t="n">
        <f aca="false">C1235+H1235</f>
        <v>46062</v>
      </c>
      <c r="J1235" s="5" t="n">
        <v>2</v>
      </c>
      <c r="K1235" s="9" t="n">
        <f aca="false">I1235+J1235</f>
        <v>46064</v>
      </c>
      <c r="L1235" s="5" t="n">
        <v>151</v>
      </c>
      <c r="M1235" s="10" t="n">
        <f aca="false">INDEX(Dim_Supplier!$F$2:$F$21,MATCH(B1235,Dim_Supplier!$A$2:$A$21,0))</f>
        <v>24.6</v>
      </c>
      <c r="N1235" s="11" t="n">
        <v>0.0423</v>
      </c>
      <c r="O1235" s="10" t="n">
        <f aca="false">M1235*(1+N1235)</f>
        <v>25.64058</v>
      </c>
      <c r="P1235" s="10" t="n">
        <f aca="false">O1235*L1235</f>
        <v>3871.72758</v>
      </c>
      <c r="Q1235" s="5" t="s">
        <v>113</v>
      </c>
      <c r="R1235" s="5" t="n">
        <v>0</v>
      </c>
      <c r="S1235" s="5" t="n">
        <v>45</v>
      </c>
      <c r="T1235" s="12" t="n">
        <f aca="false">(O1235-M1235)/M1235</f>
        <v>0.0422999999999999</v>
      </c>
      <c r="U1235" s="8" t="n">
        <f aca="false">IF(AND(K1235&lt;=I1235,R1235=0),1,0)</f>
        <v>0</v>
      </c>
      <c r="V1235" s="10" t="n">
        <f aca="false">IF(Q1235="No",P1235,0)</f>
        <v>0</v>
      </c>
    </row>
    <row r="1236" customFormat="false" ht="15" hidden="false" customHeight="false" outlineLevel="0" collapsed="false">
      <c r="A1236" s="5" t="s">
        <v>1370</v>
      </c>
      <c r="B1236" s="5" t="s">
        <v>82</v>
      </c>
      <c r="C1236" s="7" t="n">
        <v>45541</v>
      </c>
      <c r="D1236" s="8" t="str">
        <f aca="false">INDEX(Dim_Supplier!$C$2:$C$21,MATCH(B1236,Dim_Supplier!$A$2:$A$21,0))</f>
        <v>Logistics</v>
      </c>
      <c r="E1236" s="8" t="str">
        <f aca="false">INDEX(Dim_Supplier!$B$2:$B$21,MATCH(B1236,Dim_Supplier!$A$2:$A$21,0))</f>
        <v>Maple Route Logistics</v>
      </c>
      <c r="F1236" s="5" t="s">
        <v>124</v>
      </c>
      <c r="G1236" s="5" t="s">
        <v>120</v>
      </c>
      <c r="H1236" s="8" t="n">
        <f aca="false">INDEX(Lookup_Tables!$B$2:$B$5,MATCH(D1236,Lookup_Tables!$A$2:$A$5,0))</f>
        <v>5</v>
      </c>
      <c r="I1236" s="9" t="n">
        <f aca="false">C1236+H1236</f>
        <v>45546</v>
      </c>
      <c r="J1236" s="5" t="n">
        <v>-2</v>
      </c>
      <c r="K1236" s="9" t="n">
        <f aca="false">I1236+J1236</f>
        <v>45544</v>
      </c>
      <c r="L1236" s="5" t="n">
        <v>28</v>
      </c>
      <c r="M1236" s="10" t="n">
        <f aca="false">INDEX(Dim_Supplier!$F$2:$F$21,MATCH(B1236,Dim_Supplier!$A$2:$A$21,0))</f>
        <v>285</v>
      </c>
      <c r="N1236" s="11" t="n">
        <v>0.0238</v>
      </c>
      <c r="O1236" s="10" t="n">
        <f aca="false">M1236*(1+N1236)</f>
        <v>291.783</v>
      </c>
      <c r="P1236" s="10" t="n">
        <f aca="false">O1236*L1236</f>
        <v>8169.924</v>
      </c>
      <c r="Q1236" s="5" t="s">
        <v>113</v>
      </c>
      <c r="R1236" s="5" t="n">
        <v>0</v>
      </c>
      <c r="S1236" s="5" t="n">
        <v>30</v>
      </c>
      <c r="T1236" s="12" t="n">
        <f aca="false">(O1236-M1236)/M1236</f>
        <v>0.0238000000000001</v>
      </c>
      <c r="U1236" s="8" t="n">
        <f aca="false">IF(AND(K1236&lt;=I1236,R1236=0),1,0)</f>
        <v>1</v>
      </c>
      <c r="V1236" s="10" t="n">
        <f aca="false">IF(Q1236="No",P1236,0)</f>
        <v>0</v>
      </c>
    </row>
    <row r="1237" customFormat="false" ht="15" hidden="false" customHeight="false" outlineLevel="0" collapsed="false">
      <c r="A1237" s="5" t="s">
        <v>1371</v>
      </c>
      <c r="B1237" s="5" t="s">
        <v>66</v>
      </c>
      <c r="C1237" s="7" t="n">
        <v>45338</v>
      </c>
      <c r="D1237" s="8" t="str">
        <f aca="false">INDEX(Dim_Supplier!$C$2:$C$21,MATCH(B1237,Dim_Supplier!$A$2:$A$21,0))</f>
        <v>Packaging</v>
      </c>
      <c r="E1237" s="8" t="str">
        <f aca="false">INDEX(Dim_Supplier!$B$2:$B$21,MATCH(B1237,Dim_Supplier!$A$2:$A$21,0))</f>
        <v>EverGreen Wrap Industries</v>
      </c>
      <c r="F1237" s="5" t="s">
        <v>122</v>
      </c>
      <c r="G1237" s="5" t="s">
        <v>125</v>
      </c>
      <c r="H1237" s="8" t="n">
        <f aca="false">INDEX(Lookup_Tables!$B$2:$B$5,MATCH(D1237,Lookup_Tables!$A$2:$A$5,0))</f>
        <v>14</v>
      </c>
      <c r="I1237" s="9" t="n">
        <f aca="false">C1237+H1237</f>
        <v>45352</v>
      </c>
      <c r="J1237" s="5" t="n">
        <v>2</v>
      </c>
      <c r="K1237" s="9" t="n">
        <f aca="false">I1237+J1237</f>
        <v>45354</v>
      </c>
      <c r="L1237" s="5" t="n">
        <v>2733</v>
      </c>
      <c r="M1237" s="10" t="n">
        <f aca="false">INDEX(Dim_Supplier!$F$2:$F$21,MATCH(B1237,Dim_Supplier!$A$2:$A$21,0))</f>
        <v>6.8</v>
      </c>
      <c r="N1237" s="11" t="n">
        <v>0.0438</v>
      </c>
      <c r="O1237" s="10" t="n">
        <f aca="false">M1237*(1+N1237)</f>
        <v>7.09784</v>
      </c>
      <c r="P1237" s="10" t="n">
        <f aca="false">O1237*L1237</f>
        <v>19398.39672</v>
      </c>
      <c r="Q1237" s="5" t="s">
        <v>113</v>
      </c>
      <c r="R1237" s="5" t="n">
        <v>0</v>
      </c>
      <c r="S1237" s="5" t="n">
        <v>45</v>
      </c>
      <c r="T1237" s="12" t="n">
        <f aca="false">(O1237-M1237)/M1237</f>
        <v>0.0438000000000001</v>
      </c>
      <c r="U1237" s="8" t="n">
        <f aca="false">IF(AND(K1237&lt;=I1237,R1237=0),1,0)</f>
        <v>0</v>
      </c>
      <c r="V1237" s="10" t="n">
        <f aca="false">IF(Q1237="No",P1237,0)</f>
        <v>0</v>
      </c>
    </row>
    <row r="1238" customFormat="false" ht="15" hidden="false" customHeight="false" outlineLevel="0" collapsed="false">
      <c r="A1238" s="5" t="s">
        <v>1372</v>
      </c>
      <c r="B1238" s="5" t="s">
        <v>73</v>
      </c>
      <c r="C1238" s="7" t="n">
        <v>45573</v>
      </c>
      <c r="D1238" s="8" t="str">
        <f aca="false">INDEX(Dim_Supplier!$C$2:$C$21,MATCH(B1238,Dim_Supplier!$A$2:$A$21,0))</f>
        <v>MRO</v>
      </c>
      <c r="E1238" s="8" t="str">
        <f aca="false">INDEX(Dim_Supplier!$B$2:$B$21,MATCH(B1238,Dim_Supplier!$A$2:$A$21,0))</f>
        <v>Frontier MRO Solutions</v>
      </c>
      <c r="F1238" s="5" t="s">
        <v>111</v>
      </c>
      <c r="G1238" s="5" t="s">
        <v>125</v>
      </c>
      <c r="H1238" s="8" t="n">
        <f aca="false">INDEX(Lookup_Tables!$B$2:$B$5,MATCH(D1238,Lookup_Tables!$A$2:$A$5,0))</f>
        <v>10</v>
      </c>
      <c r="I1238" s="9" t="n">
        <f aca="false">C1238+H1238</f>
        <v>45583</v>
      </c>
      <c r="J1238" s="5" t="n">
        <v>1</v>
      </c>
      <c r="K1238" s="9" t="n">
        <f aca="false">I1238+J1238</f>
        <v>45584</v>
      </c>
      <c r="L1238" s="5" t="n">
        <v>86</v>
      </c>
      <c r="M1238" s="10" t="n">
        <f aca="false">INDEX(Dim_Supplier!$F$2:$F$21,MATCH(B1238,Dim_Supplier!$A$2:$A$21,0))</f>
        <v>15.9</v>
      </c>
      <c r="N1238" s="11" t="n">
        <v>0.1182</v>
      </c>
      <c r="O1238" s="10" t="n">
        <f aca="false">M1238*(1+N1238)</f>
        <v>17.77938</v>
      </c>
      <c r="P1238" s="10" t="n">
        <f aca="false">O1238*L1238</f>
        <v>1529.02668</v>
      </c>
      <c r="Q1238" s="5" t="s">
        <v>113</v>
      </c>
      <c r="R1238" s="5" t="n">
        <v>0</v>
      </c>
      <c r="S1238" s="5" t="n">
        <v>45</v>
      </c>
      <c r="T1238" s="12" t="n">
        <f aca="false">(O1238-M1238)/M1238</f>
        <v>0.1182</v>
      </c>
      <c r="U1238" s="8" t="n">
        <f aca="false">IF(AND(K1238&lt;=I1238,R1238=0),1,0)</f>
        <v>0</v>
      </c>
      <c r="V1238" s="10" t="n">
        <f aca="false">IF(Q1238="No",P1238,0)</f>
        <v>0</v>
      </c>
    </row>
    <row r="1239" customFormat="false" ht="15" hidden="false" customHeight="false" outlineLevel="0" collapsed="false">
      <c r="A1239" s="5" t="s">
        <v>1373</v>
      </c>
      <c r="B1239" s="5" t="s">
        <v>52</v>
      </c>
      <c r="C1239" s="7" t="n">
        <v>45918</v>
      </c>
      <c r="D1239" s="8" t="str">
        <f aca="false">INDEX(Dim_Supplier!$C$2:$C$21,MATCH(B1239,Dim_Supplier!$A$2:$A$21,0))</f>
        <v>Raw Materials</v>
      </c>
      <c r="E1239" s="8" t="str">
        <f aca="false">INDEX(Dim_Supplier!$B$2:$B$21,MATCH(B1239,Dim_Supplier!$A$2:$A$21,0))</f>
        <v>Laurentian Metals Inc.</v>
      </c>
      <c r="F1239" s="5" t="s">
        <v>139</v>
      </c>
      <c r="G1239" s="5" t="s">
        <v>125</v>
      </c>
      <c r="H1239" s="8" t="n">
        <f aca="false">INDEX(Lookup_Tables!$B$2:$B$5,MATCH(D1239,Lookup_Tables!$A$2:$A$5,0))</f>
        <v>21</v>
      </c>
      <c r="I1239" s="9" t="n">
        <f aca="false">C1239+H1239</f>
        <v>45939</v>
      </c>
      <c r="J1239" s="5" t="n">
        <v>-4</v>
      </c>
      <c r="K1239" s="9" t="n">
        <f aca="false">I1239+J1239</f>
        <v>45935</v>
      </c>
      <c r="L1239" s="5" t="n">
        <v>773</v>
      </c>
      <c r="M1239" s="10" t="n">
        <f aca="false">INDEX(Dim_Supplier!$F$2:$F$21,MATCH(B1239,Dim_Supplier!$A$2:$A$21,0))</f>
        <v>61.2</v>
      </c>
      <c r="N1239" s="11" t="n">
        <v>0.0051</v>
      </c>
      <c r="O1239" s="10" t="n">
        <f aca="false">M1239*(1+N1239)</f>
        <v>61.51212</v>
      </c>
      <c r="P1239" s="10" t="n">
        <f aca="false">O1239*L1239</f>
        <v>47548.86876</v>
      </c>
      <c r="Q1239" s="5" t="s">
        <v>113</v>
      </c>
      <c r="R1239" s="5" t="n">
        <v>0</v>
      </c>
      <c r="S1239" s="5" t="n">
        <v>45</v>
      </c>
      <c r="T1239" s="12" t="n">
        <f aca="false">(O1239-M1239)/M1239</f>
        <v>0.00510000000000012</v>
      </c>
      <c r="U1239" s="8" t="n">
        <f aca="false">IF(AND(K1239&lt;=I1239,R1239=0),1,0)</f>
        <v>1</v>
      </c>
      <c r="V1239" s="10" t="n">
        <f aca="false">IF(Q1239="No",P1239,0)</f>
        <v>0</v>
      </c>
    </row>
    <row r="1240" customFormat="false" ht="15" hidden="false" customHeight="false" outlineLevel="0" collapsed="false">
      <c r="A1240" s="5" t="s">
        <v>1374</v>
      </c>
      <c r="B1240" s="5" t="s">
        <v>57</v>
      </c>
      <c r="C1240" s="7" t="n">
        <v>45619</v>
      </c>
      <c r="D1240" s="8" t="str">
        <f aca="false">INDEX(Dim_Supplier!$C$2:$C$21,MATCH(B1240,Dim_Supplier!$A$2:$A$21,0))</f>
        <v>Packaging</v>
      </c>
      <c r="E1240" s="8" t="str">
        <f aca="false">INDEX(Dim_Supplier!$B$2:$B$21,MATCH(B1240,Dim_Supplier!$A$2:$A$21,0))</f>
        <v>Great Lakes Packaging Co.</v>
      </c>
      <c r="F1240" s="5" t="s">
        <v>119</v>
      </c>
      <c r="G1240" s="5" t="s">
        <v>125</v>
      </c>
      <c r="H1240" s="8" t="n">
        <f aca="false">INDEX(Lookup_Tables!$B$2:$B$5,MATCH(D1240,Lookup_Tables!$A$2:$A$5,0))</f>
        <v>14</v>
      </c>
      <c r="I1240" s="9" t="n">
        <f aca="false">C1240+H1240</f>
        <v>45633</v>
      </c>
      <c r="J1240" s="5" t="n">
        <v>-1</v>
      </c>
      <c r="K1240" s="9" t="n">
        <f aca="false">I1240+J1240</f>
        <v>45632</v>
      </c>
      <c r="L1240" s="5" t="n">
        <v>4587</v>
      </c>
      <c r="M1240" s="10" t="n">
        <f aca="false">INDEX(Dim_Supplier!$F$2:$F$21,MATCH(B1240,Dim_Supplier!$A$2:$A$21,0))</f>
        <v>4.35</v>
      </c>
      <c r="N1240" s="11" t="n">
        <v>0.042</v>
      </c>
      <c r="O1240" s="10" t="n">
        <f aca="false">M1240*(1+N1240)</f>
        <v>4.5327</v>
      </c>
      <c r="P1240" s="10" t="n">
        <f aca="false">O1240*L1240</f>
        <v>20791.4949</v>
      </c>
      <c r="Q1240" s="5" t="s">
        <v>113</v>
      </c>
      <c r="R1240" s="5" t="n">
        <v>0</v>
      </c>
      <c r="S1240" s="5" t="n">
        <v>45</v>
      </c>
      <c r="T1240" s="12" t="n">
        <f aca="false">(O1240-M1240)/M1240</f>
        <v>0.0420000000000001</v>
      </c>
      <c r="U1240" s="8" t="n">
        <f aca="false">IF(AND(K1240&lt;=I1240,R1240=0),1,0)</f>
        <v>1</v>
      </c>
      <c r="V1240" s="10" t="n">
        <f aca="false">IF(Q1240="No",P1240,0)</f>
        <v>0</v>
      </c>
    </row>
    <row r="1241" customFormat="false" ht="15" hidden="false" customHeight="false" outlineLevel="0" collapsed="false">
      <c r="A1241" s="5" t="s">
        <v>1375</v>
      </c>
      <c r="B1241" s="5" t="s">
        <v>52</v>
      </c>
      <c r="C1241" s="7" t="n">
        <v>45325</v>
      </c>
      <c r="D1241" s="8" t="str">
        <f aca="false">INDEX(Dim_Supplier!$C$2:$C$21,MATCH(B1241,Dim_Supplier!$A$2:$A$21,0))</f>
        <v>Raw Materials</v>
      </c>
      <c r="E1241" s="8" t="str">
        <f aca="false">INDEX(Dim_Supplier!$B$2:$B$21,MATCH(B1241,Dim_Supplier!$A$2:$A$21,0))</f>
        <v>Laurentian Metals Inc.</v>
      </c>
      <c r="F1241" s="5" t="s">
        <v>144</v>
      </c>
      <c r="G1241" s="5" t="s">
        <v>129</v>
      </c>
      <c r="H1241" s="8" t="n">
        <f aca="false">INDEX(Lookup_Tables!$B$2:$B$5,MATCH(D1241,Lookup_Tables!$A$2:$A$5,0))</f>
        <v>21</v>
      </c>
      <c r="I1241" s="9" t="n">
        <f aca="false">C1241+H1241</f>
        <v>45346</v>
      </c>
      <c r="J1241" s="5" t="n">
        <v>-4</v>
      </c>
      <c r="K1241" s="9" t="n">
        <f aca="false">I1241+J1241</f>
        <v>45342</v>
      </c>
      <c r="L1241" s="5" t="n">
        <v>807</v>
      </c>
      <c r="M1241" s="10" t="n">
        <f aca="false">INDEX(Dim_Supplier!$F$2:$F$21,MATCH(B1241,Dim_Supplier!$A$2:$A$21,0))</f>
        <v>61.2</v>
      </c>
      <c r="N1241" s="11" t="n">
        <v>0.0011</v>
      </c>
      <c r="O1241" s="10" t="n">
        <f aca="false">M1241*(1+N1241)</f>
        <v>61.26732</v>
      </c>
      <c r="P1241" s="10" t="n">
        <f aca="false">O1241*L1241</f>
        <v>49442.72724</v>
      </c>
      <c r="Q1241" s="5" t="s">
        <v>113</v>
      </c>
      <c r="R1241" s="5" t="n">
        <v>0</v>
      </c>
      <c r="S1241" s="5" t="n">
        <v>45</v>
      </c>
      <c r="T1241" s="12" t="n">
        <f aca="false">(O1241-M1241)/M1241</f>
        <v>0.00110000000000015</v>
      </c>
      <c r="U1241" s="8" t="n">
        <f aca="false">IF(AND(K1241&lt;=I1241,R1241=0),1,0)</f>
        <v>1</v>
      </c>
      <c r="V1241" s="10" t="n">
        <f aca="false">IF(Q1241="No",P1241,0)</f>
        <v>0</v>
      </c>
    </row>
    <row r="1242" customFormat="false" ht="15" hidden="false" customHeight="false" outlineLevel="0" collapsed="false">
      <c r="A1242" s="5" t="s">
        <v>1376</v>
      </c>
      <c r="B1242" s="5" t="s">
        <v>57</v>
      </c>
      <c r="C1242" s="7" t="n">
        <v>46060</v>
      </c>
      <c r="D1242" s="8" t="str">
        <f aca="false">INDEX(Dim_Supplier!$C$2:$C$21,MATCH(B1242,Dim_Supplier!$A$2:$A$21,0))</f>
        <v>Packaging</v>
      </c>
      <c r="E1242" s="8" t="str">
        <f aca="false">INDEX(Dim_Supplier!$B$2:$B$21,MATCH(B1242,Dim_Supplier!$A$2:$A$21,0))</f>
        <v>Great Lakes Packaging Co.</v>
      </c>
      <c r="F1242" s="5" t="s">
        <v>119</v>
      </c>
      <c r="G1242" s="5" t="s">
        <v>125</v>
      </c>
      <c r="H1242" s="8" t="n">
        <f aca="false">INDEX(Lookup_Tables!$B$2:$B$5,MATCH(D1242,Lookup_Tables!$A$2:$A$5,0))</f>
        <v>14</v>
      </c>
      <c r="I1242" s="9" t="n">
        <f aca="false">C1242+H1242</f>
        <v>46074</v>
      </c>
      <c r="J1242" s="5" t="n">
        <v>-3</v>
      </c>
      <c r="K1242" s="9" t="n">
        <f aca="false">I1242+J1242</f>
        <v>46071</v>
      </c>
      <c r="L1242" s="5" t="n">
        <v>1865</v>
      </c>
      <c r="M1242" s="10" t="n">
        <f aca="false">INDEX(Dim_Supplier!$F$2:$F$21,MATCH(B1242,Dim_Supplier!$A$2:$A$21,0))</f>
        <v>4.35</v>
      </c>
      <c r="N1242" s="11" t="n">
        <v>0.0056</v>
      </c>
      <c r="O1242" s="10" t="n">
        <f aca="false">M1242*(1+N1242)</f>
        <v>4.37436</v>
      </c>
      <c r="P1242" s="10" t="n">
        <f aca="false">O1242*L1242</f>
        <v>8158.1814</v>
      </c>
      <c r="Q1242" s="5" t="s">
        <v>113</v>
      </c>
      <c r="R1242" s="5" t="n">
        <v>0</v>
      </c>
      <c r="S1242" s="5" t="n">
        <v>30</v>
      </c>
      <c r="T1242" s="12" t="n">
        <f aca="false">(O1242-M1242)/M1242</f>
        <v>0.00560000000000014</v>
      </c>
      <c r="U1242" s="8" t="n">
        <f aca="false">IF(AND(K1242&lt;=I1242,R1242=0),1,0)</f>
        <v>1</v>
      </c>
      <c r="V1242" s="10" t="n">
        <f aca="false">IF(Q1242="No",P1242,0)</f>
        <v>0</v>
      </c>
    </row>
    <row r="1243" customFormat="false" ht="15" hidden="false" customHeight="false" outlineLevel="0" collapsed="false">
      <c r="A1243" s="5" t="s">
        <v>1377</v>
      </c>
      <c r="B1243" s="5" t="s">
        <v>79</v>
      </c>
      <c r="C1243" s="7" t="n">
        <v>46061</v>
      </c>
      <c r="D1243" s="8" t="str">
        <f aca="false">INDEX(Dim_Supplier!$C$2:$C$21,MATCH(B1243,Dim_Supplier!$A$2:$A$21,0))</f>
        <v>Logistics</v>
      </c>
      <c r="E1243" s="8" t="str">
        <f aca="false">INDEX(Dim_Supplier!$B$2:$B$21,MATCH(B1243,Dim_Supplier!$A$2:$A$21,0))</f>
        <v>Niagara Freight Solutions</v>
      </c>
      <c r="F1243" s="5" t="s">
        <v>146</v>
      </c>
      <c r="G1243" s="5" t="s">
        <v>125</v>
      </c>
      <c r="H1243" s="8" t="n">
        <f aca="false">INDEX(Lookup_Tables!$B$2:$B$5,MATCH(D1243,Lookup_Tables!$A$2:$A$5,0))</f>
        <v>5</v>
      </c>
      <c r="I1243" s="9" t="n">
        <f aca="false">C1243+H1243</f>
        <v>46066</v>
      </c>
      <c r="J1243" s="5" t="n">
        <v>0</v>
      </c>
      <c r="K1243" s="9" t="n">
        <f aca="false">I1243+J1243</f>
        <v>46066</v>
      </c>
      <c r="L1243" s="5" t="n">
        <v>35</v>
      </c>
      <c r="M1243" s="10" t="n">
        <f aca="false">INDEX(Dim_Supplier!$F$2:$F$21,MATCH(B1243,Dim_Supplier!$A$2:$A$21,0))</f>
        <v>340</v>
      </c>
      <c r="N1243" s="11" t="n">
        <v>0.0087</v>
      </c>
      <c r="O1243" s="10" t="n">
        <f aca="false">M1243*(1+N1243)</f>
        <v>342.958</v>
      </c>
      <c r="P1243" s="10" t="n">
        <f aca="false">O1243*L1243</f>
        <v>12003.53</v>
      </c>
      <c r="Q1243" s="5" t="s">
        <v>113</v>
      </c>
      <c r="R1243" s="5" t="n">
        <v>0</v>
      </c>
      <c r="S1243" s="5" t="n">
        <v>60</v>
      </c>
      <c r="T1243" s="12" t="n">
        <f aca="false">(O1243-M1243)/M1243</f>
        <v>0.00869999999999991</v>
      </c>
      <c r="U1243" s="8" t="n">
        <f aca="false">IF(AND(K1243&lt;=I1243,R1243=0),1,0)</f>
        <v>1</v>
      </c>
      <c r="V1243" s="10" t="n">
        <f aca="false">IF(Q1243="No",P1243,0)</f>
        <v>0</v>
      </c>
    </row>
    <row r="1244" customFormat="false" ht="15" hidden="false" customHeight="false" outlineLevel="0" collapsed="false">
      <c r="A1244" s="5" t="s">
        <v>1378</v>
      </c>
      <c r="B1244" s="5" t="s">
        <v>46</v>
      </c>
      <c r="C1244" s="7" t="n">
        <v>45515</v>
      </c>
      <c r="D1244" s="8" t="str">
        <f aca="false">INDEX(Dim_Supplier!$C$2:$C$21,MATCH(B1244,Dim_Supplier!$A$2:$A$21,0))</f>
        <v>Raw Materials</v>
      </c>
      <c r="E1244" s="8" t="str">
        <f aca="false">INDEX(Dim_Supplier!$B$2:$B$21,MATCH(B1244,Dim_Supplier!$A$2:$A$21,0))</f>
        <v>Niagara Alloy Supply</v>
      </c>
      <c r="F1244" s="5" t="s">
        <v>115</v>
      </c>
      <c r="G1244" s="5" t="s">
        <v>129</v>
      </c>
      <c r="H1244" s="8" t="n">
        <f aca="false">INDEX(Lookup_Tables!$B$2:$B$5,MATCH(D1244,Lookup_Tables!$A$2:$A$5,0))</f>
        <v>21</v>
      </c>
      <c r="I1244" s="9" t="n">
        <f aca="false">C1244+H1244</f>
        <v>45536</v>
      </c>
      <c r="J1244" s="5" t="n">
        <v>-2</v>
      </c>
      <c r="K1244" s="9" t="n">
        <f aca="false">I1244+J1244</f>
        <v>45534</v>
      </c>
      <c r="L1244" s="5" t="n">
        <v>425</v>
      </c>
      <c r="M1244" s="10" t="n">
        <f aca="false">INDEX(Dim_Supplier!$F$2:$F$21,MATCH(B1244,Dim_Supplier!$A$2:$A$21,0))</f>
        <v>46.5</v>
      </c>
      <c r="N1244" s="11" t="n">
        <v>0.0246</v>
      </c>
      <c r="O1244" s="10" t="n">
        <f aca="false">M1244*(1+N1244)</f>
        <v>47.6439</v>
      </c>
      <c r="P1244" s="10" t="n">
        <f aca="false">O1244*L1244</f>
        <v>20248.6575</v>
      </c>
      <c r="Q1244" s="5" t="s">
        <v>113</v>
      </c>
      <c r="R1244" s="5" t="n">
        <v>0</v>
      </c>
      <c r="S1244" s="5" t="n">
        <v>60</v>
      </c>
      <c r="T1244" s="12" t="n">
        <f aca="false">(O1244-M1244)/M1244</f>
        <v>0.0245999999999999</v>
      </c>
      <c r="U1244" s="8" t="n">
        <f aca="false">IF(AND(K1244&lt;=I1244,R1244=0),1,0)</f>
        <v>1</v>
      </c>
      <c r="V1244" s="10" t="n">
        <f aca="false">IF(Q1244="No",P1244,0)</f>
        <v>0</v>
      </c>
    </row>
    <row r="1245" customFormat="false" ht="15" hidden="false" customHeight="false" outlineLevel="0" collapsed="false">
      <c r="A1245" s="5" t="s">
        <v>1379</v>
      </c>
      <c r="B1245" s="5" t="s">
        <v>68</v>
      </c>
      <c r="C1245" s="7" t="n">
        <v>45652</v>
      </c>
      <c r="D1245" s="8" t="str">
        <f aca="false">INDEX(Dim_Supplier!$C$2:$C$21,MATCH(B1245,Dim_Supplier!$A$2:$A$21,0))</f>
        <v>MRO</v>
      </c>
      <c r="E1245" s="8" t="str">
        <f aca="false">INDEX(Dim_Supplier!$B$2:$B$21,MATCH(B1245,Dim_Supplier!$A$2:$A$21,0))</f>
        <v>Precision Tool &amp; Supply</v>
      </c>
      <c r="F1245" s="5" t="s">
        <v>164</v>
      </c>
      <c r="G1245" s="5" t="s">
        <v>125</v>
      </c>
      <c r="H1245" s="8" t="n">
        <f aca="false">INDEX(Lookup_Tables!$B$2:$B$5,MATCH(D1245,Lookup_Tables!$A$2:$A$5,0))</f>
        <v>10</v>
      </c>
      <c r="I1245" s="9" t="n">
        <f aca="false">C1245+H1245</f>
        <v>45662</v>
      </c>
      <c r="J1245" s="5" t="n">
        <v>-2</v>
      </c>
      <c r="K1245" s="9" t="n">
        <f aca="false">I1245+J1245</f>
        <v>45660</v>
      </c>
      <c r="L1245" s="5" t="n">
        <v>97</v>
      </c>
      <c r="M1245" s="10" t="n">
        <f aca="false">INDEX(Dim_Supplier!$F$2:$F$21,MATCH(B1245,Dim_Supplier!$A$2:$A$21,0))</f>
        <v>22.4</v>
      </c>
      <c r="N1245" s="11" t="n">
        <v>0.0005</v>
      </c>
      <c r="O1245" s="10" t="n">
        <f aca="false">M1245*(1+N1245)</f>
        <v>22.4112</v>
      </c>
      <c r="P1245" s="10" t="n">
        <f aca="false">O1245*L1245</f>
        <v>2173.8864</v>
      </c>
      <c r="Q1245" s="5" t="s">
        <v>113</v>
      </c>
      <c r="R1245" s="5" t="n">
        <v>0</v>
      </c>
      <c r="S1245" s="5" t="n">
        <v>45</v>
      </c>
      <c r="T1245" s="12" t="n">
        <f aca="false">(O1245-M1245)/M1245</f>
        <v>0.000499999999999945</v>
      </c>
      <c r="U1245" s="8" t="n">
        <f aca="false">IF(AND(K1245&lt;=I1245,R1245=0),1,0)</f>
        <v>1</v>
      </c>
      <c r="V1245" s="10" t="n">
        <f aca="false">IF(Q1245="No",P1245,0)</f>
        <v>0</v>
      </c>
    </row>
    <row r="1246" customFormat="false" ht="15" hidden="false" customHeight="false" outlineLevel="0" collapsed="false">
      <c r="A1246" s="5" t="s">
        <v>1380</v>
      </c>
      <c r="B1246" s="5" t="s">
        <v>71</v>
      </c>
      <c r="C1246" s="7" t="n">
        <v>45943</v>
      </c>
      <c r="D1246" s="8" t="str">
        <f aca="false">INDEX(Dim_Supplier!$C$2:$C$21,MATCH(B1246,Dim_Supplier!$A$2:$A$21,0))</f>
        <v>MRO</v>
      </c>
      <c r="E1246" s="8" t="str">
        <f aca="false">INDEX(Dim_Supplier!$B$2:$B$21,MATCH(B1246,Dim_Supplier!$A$2:$A$21,0))</f>
        <v>CanSafe Equipment Ltd.</v>
      </c>
      <c r="F1246" s="5" t="s">
        <v>111</v>
      </c>
      <c r="G1246" s="5" t="s">
        <v>125</v>
      </c>
      <c r="H1246" s="8" t="n">
        <f aca="false">INDEX(Lookup_Tables!$B$2:$B$5,MATCH(D1246,Lookup_Tables!$A$2:$A$5,0))</f>
        <v>10</v>
      </c>
      <c r="I1246" s="9" t="n">
        <f aca="false">C1246+H1246</f>
        <v>45953</v>
      </c>
      <c r="J1246" s="5" t="n">
        <v>-1</v>
      </c>
      <c r="K1246" s="9" t="n">
        <f aca="false">I1246+J1246</f>
        <v>45952</v>
      </c>
      <c r="L1246" s="5" t="n">
        <v>198</v>
      </c>
      <c r="M1246" s="10" t="n">
        <f aca="false">INDEX(Dim_Supplier!$F$2:$F$21,MATCH(B1246,Dim_Supplier!$A$2:$A$21,0))</f>
        <v>18.75</v>
      </c>
      <c r="N1246" s="11" t="n">
        <v>0.0501</v>
      </c>
      <c r="O1246" s="10" t="n">
        <f aca="false">M1246*(1+N1246)</f>
        <v>19.689375</v>
      </c>
      <c r="P1246" s="10" t="n">
        <f aca="false">O1246*L1246</f>
        <v>3898.49625</v>
      </c>
      <c r="Q1246" s="5" t="s">
        <v>113</v>
      </c>
      <c r="R1246" s="5" t="n">
        <v>0</v>
      </c>
      <c r="S1246" s="5" t="n">
        <v>30</v>
      </c>
      <c r="T1246" s="12" t="n">
        <f aca="false">(O1246-M1246)/M1246</f>
        <v>0.0501000000000001</v>
      </c>
      <c r="U1246" s="8" t="n">
        <f aca="false">IF(AND(K1246&lt;=I1246,R1246=0),1,0)</f>
        <v>1</v>
      </c>
      <c r="V1246" s="10" t="n">
        <f aca="false">IF(Q1246="No",P1246,0)</f>
        <v>0</v>
      </c>
    </row>
    <row r="1247" customFormat="false" ht="15" hidden="false" customHeight="false" outlineLevel="0" collapsed="false">
      <c r="A1247" s="5" t="s">
        <v>1381</v>
      </c>
      <c r="B1247" s="5" t="s">
        <v>86</v>
      </c>
      <c r="C1247" s="7" t="n">
        <v>45473</v>
      </c>
      <c r="D1247" s="8" t="str">
        <f aca="false">INDEX(Dim_Supplier!$C$2:$C$21,MATCH(B1247,Dim_Supplier!$A$2:$A$21,0))</f>
        <v>Logistics</v>
      </c>
      <c r="E1247" s="8" t="str">
        <f aca="false">INDEX(Dim_Supplier!$B$2:$B$21,MATCH(B1247,Dim_Supplier!$A$2:$A$21,0))</f>
        <v>Blue Water Customs Brokerage</v>
      </c>
      <c r="F1247" s="5" t="s">
        <v>237</v>
      </c>
      <c r="G1247" s="5" t="s">
        <v>120</v>
      </c>
      <c r="H1247" s="8" t="n">
        <f aca="false">INDEX(Lookup_Tables!$B$2:$B$5,MATCH(D1247,Lookup_Tables!$A$2:$A$5,0))</f>
        <v>5</v>
      </c>
      <c r="I1247" s="9" t="n">
        <f aca="false">C1247+H1247</f>
        <v>45478</v>
      </c>
      <c r="J1247" s="5" t="n">
        <v>2</v>
      </c>
      <c r="K1247" s="9" t="n">
        <f aca="false">I1247+J1247</f>
        <v>45480</v>
      </c>
      <c r="L1247" s="5" t="n">
        <v>49</v>
      </c>
      <c r="M1247" s="10" t="n">
        <f aca="false">INDEX(Dim_Supplier!$F$2:$F$21,MATCH(B1247,Dim_Supplier!$A$2:$A$21,0))</f>
        <v>175</v>
      </c>
      <c r="N1247" s="11" t="n">
        <v>0.0108</v>
      </c>
      <c r="O1247" s="10" t="n">
        <f aca="false">M1247*(1+N1247)</f>
        <v>176.89</v>
      </c>
      <c r="P1247" s="10" t="n">
        <f aca="false">O1247*L1247</f>
        <v>8667.61</v>
      </c>
      <c r="Q1247" s="5" t="s">
        <v>113</v>
      </c>
      <c r="R1247" s="5" t="n">
        <v>0</v>
      </c>
      <c r="S1247" s="5" t="n">
        <v>60</v>
      </c>
      <c r="T1247" s="12" t="n">
        <f aca="false">(O1247-M1247)/M1247</f>
        <v>0.0107999999999999</v>
      </c>
      <c r="U1247" s="8" t="n">
        <f aca="false">IF(AND(K1247&lt;=I1247,R1247=0),1,0)</f>
        <v>0</v>
      </c>
      <c r="V1247" s="10" t="n">
        <f aca="false">IF(Q1247="No",P1247,0)</f>
        <v>0</v>
      </c>
    </row>
    <row r="1248" customFormat="false" ht="15" hidden="false" customHeight="false" outlineLevel="0" collapsed="false">
      <c r="A1248" s="5" t="s">
        <v>1382</v>
      </c>
      <c r="B1248" s="5" t="s">
        <v>60</v>
      </c>
      <c r="C1248" s="7" t="n">
        <v>45960</v>
      </c>
      <c r="D1248" s="8" t="str">
        <f aca="false">INDEX(Dim_Supplier!$C$2:$C$21,MATCH(B1248,Dim_Supplier!$A$2:$A$21,0))</f>
        <v>Packaging</v>
      </c>
      <c r="E1248" s="8" t="str">
        <f aca="false">INDEX(Dim_Supplier!$B$2:$B$21,MATCH(B1248,Dim_Supplier!$A$2:$A$21,0))</f>
        <v>Maple Leaf Box &amp; Crate</v>
      </c>
      <c r="F1248" s="5" t="s">
        <v>137</v>
      </c>
      <c r="G1248" s="5" t="s">
        <v>125</v>
      </c>
      <c r="H1248" s="8" t="n">
        <f aca="false">INDEX(Lookup_Tables!$B$2:$B$5,MATCH(D1248,Lookup_Tables!$A$2:$A$5,0))</f>
        <v>14</v>
      </c>
      <c r="I1248" s="9" t="n">
        <f aca="false">C1248+H1248</f>
        <v>45974</v>
      </c>
      <c r="J1248" s="5" t="n">
        <v>-3</v>
      </c>
      <c r="K1248" s="9" t="n">
        <f aca="false">I1248+J1248</f>
        <v>45971</v>
      </c>
      <c r="L1248" s="5" t="n">
        <v>2336</v>
      </c>
      <c r="M1248" s="10" t="n">
        <f aca="false">INDEX(Dim_Supplier!$F$2:$F$21,MATCH(B1248,Dim_Supplier!$A$2:$A$21,0))</f>
        <v>3.1</v>
      </c>
      <c r="N1248" s="11" t="n">
        <v>0.0552</v>
      </c>
      <c r="O1248" s="10" t="n">
        <f aca="false">M1248*(1+N1248)</f>
        <v>3.27112</v>
      </c>
      <c r="P1248" s="10" t="n">
        <f aca="false">O1248*L1248</f>
        <v>7641.33632</v>
      </c>
      <c r="Q1248" s="5" t="s">
        <v>113</v>
      </c>
      <c r="R1248" s="5" t="n">
        <v>0</v>
      </c>
      <c r="S1248" s="5" t="n">
        <v>60</v>
      </c>
      <c r="T1248" s="12" t="n">
        <f aca="false">(O1248-M1248)/M1248</f>
        <v>0.0551999999999999</v>
      </c>
      <c r="U1248" s="8" t="n">
        <f aca="false">IF(AND(K1248&lt;=I1248,R1248=0),1,0)</f>
        <v>1</v>
      </c>
      <c r="V1248" s="10" t="n">
        <f aca="false">IF(Q1248="No",P1248,0)</f>
        <v>0</v>
      </c>
    </row>
    <row r="1249" customFormat="false" ht="15" hidden="false" customHeight="false" outlineLevel="0" collapsed="false">
      <c r="A1249" s="5" t="s">
        <v>1383</v>
      </c>
      <c r="B1249" s="5" t="s">
        <v>71</v>
      </c>
      <c r="C1249" s="7" t="n">
        <v>46041</v>
      </c>
      <c r="D1249" s="8" t="str">
        <f aca="false">INDEX(Dim_Supplier!$C$2:$C$21,MATCH(B1249,Dim_Supplier!$A$2:$A$21,0))</f>
        <v>MRO</v>
      </c>
      <c r="E1249" s="8" t="str">
        <f aca="false">INDEX(Dim_Supplier!$B$2:$B$21,MATCH(B1249,Dim_Supplier!$A$2:$A$21,0))</f>
        <v>CanSafe Equipment Ltd.</v>
      </c>
      <c r="F1249" s="5" t="s">
        <v>179</v>
      </c>
      <c r="G1249" s="5" t="s">
        <v>129</v>
      </c>
      <c r="H1249" s="8" t="n">
        <f aca="false">INDEX(Lookup_Tables!$B$2:$B$5,MATCH(D1249,Lookup_Tables!$A$2:$A$5,0))</f>
        <v>10</v>
      </c>
      <c r="I1249" s="9" t="n">
        <f aca="false">C1249+H1249</f>
        <v>46051</v>
      </c>
      <c r="J1249" s="5" t="n">
        <v>-2</v>
      </c>
      <c r="K1249" s="9" t="n">
        <f aca="false">I1249+J1249</f>
        <v>46049</v>
      </c>
      <c r="L1249" s="5" t="n">
        <v>150</v>
      </c>
      <c r="M1249" s="10" t="n">
        <f aca="false">INDEX(Dim_Supplier!$F$2:$F$21,MATCH(B1249,Dim_Supplier!$A$2:$A$21,0))</f>
        <v>18.75</v>
      </c>
      <c r="N1249" s="11" t="n">
        <v>0.0435</v>
      </c>
      <c r="O1249" s="10" t="n">
        <f aca="false">M1249*(1+N1249)</f>
        <v>19.565625</v>
      </c>
      <c r="P1249" s="10" t="n">
        <f aca="false">O1249*L1249</f>
        <v>2934.84375</v>
      </c>
      <c r="Q1249" s="5" t="s">
        <v>113</v>
      </c>
      <c r="R1249" s="5" t="n">
        <v>0</v>
      </c>
      <c r="S1249" s="5" t="n">
        <v>60</v>
      </c>
      <c r="T1249" s="12" t="n">
        <f aca="false">(O1249-M1249)/M1249</f>
        <v>0.0435</v>
      </c>
      <c r="U1249" s="8" t="n">
        <f aca="false">IF(AND(K1249&lt;=I1249,R1249=0),1,0)</f>
        <v>1</v>
      </c>
      <c r="V1249" s="10" t="n">
        <f aca="false">IF(Q1249="No",P1249,0)</f>
        <v>0</v>
      </c>
    </row>
    <row r="1250" customFormat="false" ht="15" hidden="false" customHeight="false" outlineLevel="0" collapsed="false">
      <c r="A1250" s="5" t="s">
        <v>1384</v>
      </c>
      <c r="B1250" s="5" t="s">
        <v>41</v>
      </c>
      <c r="C1250" s="7" t="n">
        <v>45907</v>
      </c>
      <c r="D1250" s="8" t="str">
        <f aca="false">INDEX(Dim_Supplier!$C$2:$C$21,MATCH(B1250,Dim_Supplier!$A$2:$A$21,0))</f>
        <v>Raw Materials</v>
      </c>
      <c r="E1250" s="8" t="str">
        <f aca="false">INDEX(Dim_Supplier!$B$2:$B$21,MATCH(B1250,Dim_Supplier!$A$2:$A$21,0))</f>
        <v>Ontario Steel Partners</v>
      </c>
      <c r="F1250" s="5" t="s">
        <v>142</v>
      </c>
      <c r="G1250" s="5" t="s">
        <v>112</v>
      </c>
      <c r="H1250" s="8" t="n">
        <f aca="false">INDEX(Lookup_Tables!$B$2:$B$5,MATCH(D1250,Lookup_Tables!$A$2:$A$5,0))</f>
        <v>21</v>
      </c>
      <c r="I1250" s="9" t="n">
        <f aca="false">C1250+H1250</f>
        <v>45928</v>
      </c>
      <c r="J1250" s="5" t="n">
        <v>-2</v>
      </c>
      <c r="K1250" s="9" t="n">
        <f aca="false">I1250+J1250</f>
        <v>45926</v>
      </c>
      <c r="L1250" s="5" t="n">
        <v>855</v>
      </c>
      <c r="M1250" s="10" t="n">
        <f aca="false">INDEX(Dim_Supplier!$F$2:$F$21,MATCH(B1250,Dim_Supplier!$A$2:$A$21,0))</f>
        <v>58</v>
      </c>
      <c r="N1250" s="11" t="n">
        <v>0.0004</v>
      </c>
      <c r="O1250" s="10" t="n">
        <f aca="false">M1250*(1+N1250)</f>
        <v>58.0232</v>
      </c>
      <c r="P1250" s="10" t="n">
        <f aca="false">O1250*L1250</f>
        <v>49609.836</v>
      </c>
      <c r="Q1250" s="5" t="s">
        <v>113</v>
      </c>
      <c r="R1250" s="5" t="n">
        <v>0</v>
      </c>
      <c r="S1250" s="5" t="n">
        <v>30</v>
      </c>
      <c r="T1250" s="12" t="n">
        <f aca="false">(O1250-M1250)/M1250</f>
        <v>0.000399999999999925</v>
      </c>
      <c r="U1250" s="8" t="n">
        <f aca="false">IF(AND(K1250&lt;=I1250,R1250=0),1,0)</f>
        <v>1</v>
      </c>
      <c r="V1250" s="10" t="n">
        <f aca="false">IF(Q1250="No",P1250,0)</f>
        <v>0</v>
      </c>
    </row>
    <row r="1251" customFormat="false" ht="15" hidden="false" customHeight="false" outlineLevel="0" collapsed="false">
      <c r="A1251" s="5" t="s">
        <v>1385</v>
      </c>
      <c r="B1251" s="5" t="s">
        <v>75</v>
      </c>
      <c r="C1251" s="7" t="n">
        <v>45496</v>
      </c>
      <c r="D1251" s="8" t="str">
        <f aca="false">INDEX(Dim_Supplier!$C$2:$C$21,MATCH(B1251,Dim_Supplier!$A$2:$A$21,0))</f>
        <v>MRO</v>
      </c>
      <c r="E1251" s="8" t="str">
        <f aca="false">INDEX(Dim_Supplier!$B$2:$B$21,MATCH(B1251,Dim_Supplier!$A$2:$A$21,0))</f>
        <v>Sterling Lubricants Inc.</v>
      </c>
      <c r="F1251" s="5" t="s">
        <v>111</v>
      </c>
      <c r="G1251" s="5" t="s">
        <v>112</v>
      </c>
      <c r="H1251" s="8" t="n">
        <f aca="false">INDEX(Lookup_Tables!$B$2:$B$5,MATCH(D1251,Lookup_Tables!$A$2:$A$5,0))</f>
        <v>10</v>
      </c>
      <c r="I1251" s="9" t="n">
        <f aca="false">C1251+H1251</f>
        <v>45506</v>
      </c>
      <c r="J1251" s="5" t="n">
        <v>-4</v>
      </c>
      <c r="K1251" s="9" t="n">
        <f aca="false">I1251+J1251</f>
        <v>45502</v>
      </c>
      <c r="L1251" s="5" t="n">
        <v>57</v>
      </c>
      <c r="M1251" s="10" t="n">
        <f aca="false">INDEX(Dim_Supplier!$F$2:$F$21,MATCH(B1251,Dim_Supplier!$A$2:$A$21,0))</f>
        <v>27.1</v>
      </c>
      <c r="N1251" s="11" t="n">
        <v>0.0609</v>
      </c>
      <c r="O1251" s="10" t="n">
        <f aca="false">M1251*(1+N1251)</f>
        <v>28.75039</v>
      </c>
      <c r="P1251" s="10" t="n">
        <f aca="false">O1251*L1251</f>
        <v>1638.77223</v>
      </c>
      <c r="Q1251" s="5" t="s">
        <v>113</v>
      </c>
      <c r="R1251" s="5" t="n">
        <v>0</v>
      </c>
      <c r="S1251" s="5" t="n">
        <v>45</v>
      </c>
      <c r="T1251" s="12" t="n">
        <f aca="false">(O1251-M1251)/M1251</f>
        <v>0.0608999999999999</v>
      </c>
      <c r="U1251" s="8" t="n">
        <f aca="false">IF(AND(K1251&lt;=I1251,R1251=0),1,0)</f>
        <v>1</v>
      </c>
      <c r="V1251" s="10" t="n">
        <f aca="false">IF(Q1251="No",P1251,0)</f>
        <v>0</v>
      </c>
    </row>
    <row r="1252" customFormat="false" ht="15" hidden="false" customHeight="false" outlineLevel="0" collapsed="false">
      <c r="A1252" s="5" t="s">
        <v>1386</v>
      </c>
      <c r="B1252" s="5" t="s">
        <v>62</v>
      </c>
      <c r="C1252" s="7" t="n">
        <v>45539</v>
      </c>
      <c r="D1252" s="8" t="str">
        <f aca="false">INDEX(Dim_Supplier!$C$2:$C$21,MATCH(B1252,Dim_Supplier!$A$2:$A$21,0))</f>
        <v>Packaging</v>
      </c>
      <c r="E1252" s="8" t="str">
        <f aca="false">INDEX(Dim_Supplier!$B$2:$B$21,MATCH(B1252,Dim_Supplier!$A$2:$A$21,0))</f>
        <v>Trillium Packaging Solutions</v>
      </c>
      <c r="F1252" s="5" t="s">
        <v>158</v>
      </c>
      <c r="G1252" s="5" t="s">
        <v>125</v>
      </c>
      <c r="H1252" s="8" t="n">
        <f aca="false">INDEX(Lookup_Tables!$B$2:$B$5,MATCH(D1252,Lookup_Tables!$A$2:$A$5,0))</f>
        <v>14</v>
      </c>
      <c r="I1252" s="9" t="n">
        <f aca="false">C1252+H1252</f>
        <v>45553</v>
      </c>
      <c r="J1252" s="5" t="n">
        <v>-4</v>
      </c>
      <c r="K1252" s="9" t="n">
        <f aca="false">I1252+J1252</f>
        <v>45549</v>
      </c>
      <c r="L1252" s="5" t="n">
        <v>3213</v>
      </c>
      <c r="M1252" s="10" t="n">
        <f aca="false">INDEX(Dim_Supplier!$F$2:$F$21,MATCH(B1252,Dim_Supplier!$A$2:$A$21,0))</f>
        <v>5.6</v>
      </c>
      <c r="N1252" s="11" t="n">
        <v>0.02</v>
      </c>
      <c r="O1252" s="10" t="n">
        <f aca="false">M1252*(1+N1252)</f>
        <v>5.712</v>
      </c>
      <c r="P1252" s="10" t="n">
        <f aca="false">O1252*L1252</f>
        <v>18352.656</v>
      </c>
      <c r="Q1252" s="5" t="s">
        <v>113</v>
      </c>
      <c r="R1252" s="5" t="n">
        <v>0</v>
      </c>
      <c r="S1252" s="5" t="n">
        <v>30</v>
      </c>
      <c r="T1252" s="12" t="n">
        <f aca="false">(O1252-M1252)/M1252</f>
        <v>0.02</v>
      </c>
      <c r="U1252" s="8" t="n">
        <f aca="false">IF(AND(K1252&lt;=I1252,R1252=0),1,0)</f>
        <v>1</v>
      </c>
      <c r="V1252" s="10" t="n">
        <f aca="false">IF(Q1252="No",P1252,0)</f>
        <v>0</v>
      </c>
    </row>
    <row r="1253" customFormat="false" ht="15" hidden="false" customHeight="false" outlineLevel="0" collapsed="false">
      <c r="A1253" s="5" t="s">
        <v>1387</v>
      </c>
      <c r="B1253" s="5" t="s">
        <v>77</v>
      </c>
      <c r="C1253" s="7" t="n">
        <v>45363</v>
      </c>
      <c r="D1253" s="8" t="str">
        <f aca="false">INDEX(Dim_Supplier!$C$2:$C$21,MATCH(B1253,Dim_Supplier!$A$2:$A$21,0))</f>
        <v>MRO</v>
      </c>
      <c r="E1253" s="8" t="str">
        <f aca="false">INDEX(Dim_Supplier!$B$2:$B$21,MATCH(B1253,Dim_Supplier!$A$2:$A$21,0))</f>
        <v>Apex Industrial Supply</v>
      </c>
      <c r="F1253" s="5" t="s">
        <v>127</v>
      </c>
      <c r="G1253" s="5" t="s">
        <v>129</v>
      </c>
      <c r="H1253" s="8" t="n">
        <f aca="false">INDEX(Lookup_Tables!$B$2:$B$5,MATCH(D1253,Lookup_Tables!$A$2:$A$5,0))</f>
        <v>10</v>
      </c>
      <c r="I1253" s="9" t="n">
        <f aca="false">C1253+H1253</f>
        <v>45373</v>
      </c>
      <c r="J1253" s="5" t="n">
        <v>-2</v>
      </c>
      <c r="K1253" s="9" t="n">
        <f aca="false">I1253+J1253</f>
        <v>45371</v>
      </c>
      <c r="L1253" s="5" t="n">
        <v>138</v>
      </c>
      <c r="M1253" s="10" t="n">
        <f aca="false">INDEX(Dim_Supplier!$F$2:$F$21,MATCH(B1253,Dim_Supplier!$A$2:$A$21,0))</f>
        <v>24.6</v>
      </c>
      <c r="N1253" s="11" t="n">
        <v>0.0314</v>
      </c>
      <c r="O1253" s="10" t="n">
        <f aca="false">M1253*(1+N1253)</f>
        <v>25.37244</v>
      </c>
      <c r="P1253" s="10" t="n">
        <f aca="false">O1253*L1253</f>
        <v>3501.39672</v>
      </c>
      <c r="Q1253" s="5" t="s">
        <v>133</v>
      </c>
      <c r="R1253" s="5" t="n">
        <v>0</v>
      </c>
      <c r="S1253" s="5" t="n">
        <v>30</v>
      </c>
      <c r="T1253" s="12" t="n">
        <f aca="false">(O1253-M1253)/M1253</f>
        <v>0.0314000000000001</v>
      </c>
      <c r="U1253" s="8" t="n">
        <f aca="false">IF(AND(K1253&lt;=I1253,R1253=0),1,0)</f>
        <v>1</v>
      </c>
      <c r="V1253" s="10" t="n">
        <f aca="false">IF(Q1253="No",P1253,0)</f>
        <v>3501.39672</v>
      </c>
    </row>
    <row r="1254" customFormat="false" ht="15" hidden="false" customHeight="false" outlineLevel="0" collapsed="false">
      <c r="A1254" s="5" t="s">
        <v>1388</v>
      </c>
      <c r="B1254" s="5" t="s">
        <v>62</v>
      </c>
      <c r="C1254" s="7" t="n">
        <v>45558</v>
      </c>
      <c r="D1254" s="8" t="str">
        <f aca="false">INDEX(Dim_Supplier!$C$2:$C$21,MATCH(B1254,Dim_Supplier!$A$2:$A$21,0))</f>
        <v>Packaging</v>
      </c>
      <c r="E1254" s="8" t="str">
        <f aca="false">INDEX(Dim_Supplier!$B$2:$B$21,MATCH(B1254,Dim_Supplier!$A$2:$A$21,0))</f>
        <v>Trillium Packaging Solutions</v>
      </c>
      <c r="F1254" s="5" t="s">
        <v>122</v>
      </c>
      <c r="G1254" s="5" t="s">
        <v>129</v>
      </c>
      <c r="H1254" s="8" t="n">
        <f aca="false">INDEX(Lookup_Tables!$B$2:$B$5,MATCH(D1254,Lookup_Tables!$A$2:$A$5,0))</f>
        <v>14</v>
      </c>
      <c r="I1254" s="9" t="n">
        <f aca="false">C1254+H1254</f>
        <v>45572</v>
      </c>
      <c r="J1254" s="5" t="n">
        <v>-4</v>
      </c>
      <c r="K1254" s="9" t="n">
        <f aca="false">I1254+J1254</f>
        <v>45568</v>
      </c>
      <c r="L1254" s="5" t="n">
        <v>4875</v>
      </c>
      <c r="M1254" s="10" t="n">
        <f aca="false">INDEX(Dim_Supplier!$F$2:$F$21,MATCH(B1254,Dim_Supplier!$A$2:$A$21,0))</f>
        <v>5.6</v>
      </c>
      <c r="N1254" s="11" t="n">
        <v>-0.0067</v>
      </c>
      <c r="O1254" s="10" t="n">
        <f aca="false">M1254*(1+N1254)</f>
        <v>5.56248</v>
      </c>
      <c r="P1254" s="10" t="n">
        <f aca="false">O1254*L1254</f>
        <v>27117.09</v>
      </c>
      <c r="Q1254" s="5" t="s">
        <v>113</v>
      </c>
      <c r="R1254" s="5" t="n">
        <v>0</v>
      </c>
      <c r="S1254" s="5" t="n">
        <v>60</v>
      </c>
      <c r="T1254" s="12" t="n">
        <f aca="false">(O1254-M1254)/M1254</f>
        <v>-0.00669999999999996</v>
      </c>
      <c r="U1254" s="8" t="n">
        <f aca="false">IF(AND(K1254&lt;=I1254,R1254=0),1,0)</f>
        <v>1</v>
      </c>
      <c r="V1254" s="10" t="n">
        <f aca="false">IF(Q1254="No",P1254,0)</f>
        <v>0</v>
      </c>
    </row>
    <row r="1255" customFormat="false" ht="15" hidden="false" customHeight="false" outlineLevel="0" collapsed="false">
      <c r="A1255" s="5" t="s">
        <v>1389</v>
      </c>
      <c r="B1255" s="5" t="s">
        <v>41</v>
      </c>
      <c r="C1255" s="7" t="n">
        <v>46123</v>
      </c>
      <c r="D1255" s="8" t="str">
        <f aca="false">INDEX(Dim_Supplier!$C$2:$C$21,MATCH(B1255,Dim_Supplier!$A$2:$A$21,0))</f>
        <v>Raw Materials</v>
      </c>
      <c r="E1255" s="8" t="str">
        <f aca="false">INDEX(Dim_Supplier!$B$2:$B$21,MATCH(B1255,Dim_Supplier!$A$2:$A$21,0))</f>
        <v>Ontario Steel Partners</v>
      </c>
      <c r="F1255" s="5" t="s">
        <v>142</v>
      </c>
      <c r="G1255" s="5" t="s">
        <v>129</v>
      </c>
      <c r="H1255" s="8" t="n">
        <f aca="false">INDEX(Lookup_Tables!$B$2:$B$5,MATCH(D1255,Lookup_Tables!$A$2:$A$5,0))</f>
        <v>21</v>
      </c>
      <c r="I1255" s="9" t="n">
        <f aca="false">C1255+H1255</f>
        <v>46144</v>
      </c>
      <c r="J1255" s="5" t="n">
        <v>-4</v>
      </c>
      <c r="K1255" s="9" t="n">
        <f aca="false">I1255+J1255</f>
        <v>46140</v>
      </c>
      <c r="L1255" s="5" t="n">
        <v>1147</v>
      </c>
      <c r="M1255" s="10" t="n">
        <f aca="false">INDEX(Dim_Supplier!$F$2:$F$21,MATCH(B1255,Dim_Supplier!$A$2:$A$21,0))</f>
        <v>58</v>
      </c>
      <c r="N1255" s="11" t="n">
        <v>0.034</v>
      </c>
      <c r="O1255" s="10" t="n">
        <f aca="false">M1255*(1+N1255)</f>
        <v>59.972</v>
      </c>
      <c r="P1255" s="10" t="n">
        <f aca="false">O1255*L1255</f>
        <v>68787.884</v>
      </c>
      <c r="Q1255" s="5" t="s">
        <v>113</v>
      </c>
      <c r="R1255" s="5" t="n">
        <v>0</v>
      </c>
      <c r="S1255" s="5" t="n">
        <v>45</v>
      </c>
      <c r="T1255" s="12" t="n">
        <f aca="false">(O1255-M1255)/M1255</f>
        <v>0.034</v>
      </c>
      <c r="U1255" s="8" t="n">
        <f aca="false">IF(AND(K1255&lt;=I1255,R1255=0),1,0)</f>
        <v>1</v>
      </c>
      <c r="V1255" s="10" t="n">
        <f aca="false">IF(Q1255="No",P1255,0)</f>
        <v>0</v>
      </c>
    </row>
    <row r="1256" customFormat="false" ht="15" hidden="false" customHeight="false" outlineLevel="0" collapsed="false">
      <c r="A1256" s="5" t="s">
        <v>1390</v>
      </c>
      <c r="B1256" s="5" t="s">
        <v>46</v>
      </c>
      <c r="C1256" s="7" t="n">
        <v>46159</v>
      </c>
      <c r="D1256" s="8" t="str">
        <f aca="false">INDEX(Dim_Supplier!$C$2:$C$21,MATCH(B1256,Dim_Supplier!$A$2:$A$21,0))</f>
        <v>Raw Materials</v>
      </c>
      <c r="E1256" s="8" t="str">
        <f aca="false">INDEX(Dim_Supplier!$B$2:$B$21,MATCH(B1256,Dim_Supplier!$A$2:$A$21,0))</f>
        <v>Niagara Alloy Supply</v>
      </c>
      <c r="F1256" s="5" t="s">
        <v>139</v>
      </c>
      <c r="G1256" s="5" t="s">
        <v>129</v>
      </c>
      <c r="H1256" s="8" t="n">
        <f aca="false">INDEX(Lookup_Tables!$B$2:$B$5,MATCH(D1256,Lookup_Tables!$A$2:$A$5,0))</f>
        <v>21</v>
      </c>
      <c r="I1256" s="9" t="n">
        <f aca="false">C1256+H1256</f>
        <v>46180</v>
      </c>
      <c r="J1256" s="5" t="n">
        <v>-1</v>
      </c>
      <c r="K1256" s="9" t="n">
        <f aca="false">I1256+J1256</f>
        <v>46179</v>
      </c>
      <c r="L1256" s="5" t="n">
        <v>1444</v>
      </c>
      <c r="M1256" s="10" t="n">
        <f aca="false">INDEX(Dim_Supplier!$F$2:$F$21,MATCH(B1256,Dim_Supplier!$A$2:$A$21,0))</f>
        <v>46.5</v>
      </c>
      <c r="N1256" s="11" t="n">
        <v>0.0112</v>
      </c>
      <c r="O1256" s="10" t="n">
        <f aca="false">M1256*(1+N1256)</f>
        <v>47.0208</v>
      </c>
      <c r="P1256" s="10" t="n">
        <f aca="false">O1256*L1256</f>
        <v>67898.0352</v>
      </c>
      <c r="Q1256" s="5" t="s">
        <v>113</v>
      </c>
      <c r="R1256" s="5" t="n">
        <v>0</v>
      </c>
      <c r="S1256" s="5" t="n">
        <v>45</v>
      </c>
      <c r="T1256" s="12" t="n">
        <f aca="false">(O1256-M1256)/M1256</f>
        <v>0.0112</v>
      </c>
      <c r="U1256" s="8" t="n">
        <f aca="false">IF(AND(K1256&lt;=I1256,R1256=0),1,0)</f>
        <v>1</v>
      </c>
      <c r="V1256" s="10" t="n">
        <f aca="false">IF(Q1256="No",P1256,0)</f>
        <v>0</v>
      </c>
    </row>
    <row r="1257" customFormat="false" ht="15" hidden="false" customHeight="false" outlineLevel="0" collapsed="false">
      <c r="A1257" s="5" t="s">
        <v>1391</v>
      </c>
      <c r="B1257" s="5" t="s">
        <v>52</v>
      </c>
      <c r="C1257" s="7" t="n">
        <v>45391</v>
      </c>
      <c r="D1257" s="8" t="str">
        <f aca="false">INDEX(Dim_Supplier!$C$2:$C$21,MATCH(B1257,Dim_Supplier!$A$2:$A$21,0))</f>
        <v>Raw Materials</v>
      </c>
      <c r="E1257" s="8" t="str">
        <f aca="false">INDEX(Dim_Supplier!$B$2:$B$21,MATCH(B1257,Dim_Supplier!$A$2:$A$21,0))</f>
        <v>Laurentian Metals Inc.</v>
      </c>
      <c r="F1257" s="5" t="s">
        <v>139</v>
      </c>
      <c r="G1257" s="5" t="s">
        <v>129</v>
      </c>
      <c r="H1257" s="8" t="n">
        <f aca="false">INDEX(Lookup_Tables!$B$2:$B$5,MATCH(D1257,Lookup_Tables!$A$2:$A$5,0))</f>
        <v>21</v>
      </c>
      <c r="I1257" s="9" t="n">
        <f aca="false">C1257+H1257</f>
        <v>45412</v>
      </c>
      <c r="J1257" s="5" t="n">
        <v>-4</v>
      </c>
      <c r="K1257" s="9" t="n">
        <f aca="false">I1257+J1257</f>
        <v>45408</v>
      </c>
      <c r="L1257" s="5" t="n">
        <v>1641</v>
      </c>
      <c r="M1257" s="10" t="n">
        <f aca="false">INDEX(Dim_Supplier!$F$2:$F$21,MATCH(B1257,Dim_Supplier!$A$2:$A$21,0))</f>
        <v>61.2</v>
      </c>
      <c r="N1257" s="11" t="n">
        <v>0.0282</v>
      </c>
      <c r="O1257" s="10" t="n">
        <f aca="false">M1257*(1+N1257)</f>
        <v>62.92584</v>
      </c>
      <c r="P1257" s="10" t="n">
        <f aca="false">O1257*L1257</f>
        <v>103261.30344</v>
      </c>
      <c r="Q1257" s="5" t="s">
        <v>113</v>
      </c>
      <c r="R1257" s="5" t="n">
        <v>0</v>
      </c>
      <c r="S1257" s="5" t="n">
        <v>30</v>
      </c>
      <c r="T1257" s="12" t="n">
        <f aca="false">(O1257-M1257)/M1257</f>
        <v>0.0282</v>
      </c>
      <c r="U1257" s="8" t="n">
        <f aca="false">IF(AND(K1257&lt;=I1257,R1257=0),1,0)</f>
        <v>1</v>
      </c>
      <c r="V1257" s="10" t="n">
        <f aca="false">IF(Q1257="No",P1257,0)</f>
        <v>0</v>
      </c>
    </row>
    <row r="1258" customFormat="false" ht="15" hidden="false" customHeight="false" outlineLevel="0" collapsed="false">
      <c r="A1258" s="5" t="s">
        <v>1392</v>
      </c>
      <c r="B1258" s="5" t="s">
        <v>62</v>
      </c>
      <c r="C1258" s="7" t="n">
        <v>46098</v>
      </c>
      <c r="D1258" s="8" t="str">
        <f aca="false">INDEX(Dim_Supplier!$C$2:$C$21,MATCH(B1258,Dim_Supplier!$A$2:$A$21,0))</f>
        <v>Packaging</v>
      </c>
      <c r="E1258" s="8" t="str">
        <f aca="false">INDEX(Dim_Supplier!$B$2:$B$21,MATCH(B1258,Dim_Supplier!$A$2:$A$21,0))</f>
        <v>Trillium Packaging Solutions</v>
      </c>
      <c r="F1258" s="5" t="s">
        <v>137</v>
      </c>
      <c r="G1258" s="5" t="s">
        <v>120</v>
      </c>
      <c r="H1258" s="8" t="n">
        <f aca="false">INDEX(Lookup_Tables!$B$2:$B$5,MATCH(D1258,Lookup_Tables!$A$2:$A$5,0))</f>
        <v>14</v>
      </c>
      <c r="I1258" s="9" t="n">
        <f aca="false">C1258+H1258</f>
        <v>46112</v>
      </c>
      <c r="J1258" s="5" t="n">
        <v>-4</v>
      </c>
      <c r="K1258" s="9" t="n">
        <f aca="false">I1258+J1258</f>
        <v>46108</v>
      </c>
      <c r="L1258" s="5" t="n">
        <v>1647</v>
      </c>
      <c r="M1258" s="10" t="n">
        <f aca="false">INDEX(Dim_Supplier!$F$2:$F$21,MATCH(B1258,Dim_Supplier!$A$2:$A$21,0))</f>
        <v>5.6</v>
      </c>
      <c r="N1258" s="11" t="n">
        <v>0.0088</v>
      </c>
      <c r="O1258" s="10" t="n">
        <f aca="false">M1258*(1+N1258)</f>
        <v>5.64928</v>
      </c>
      <c r="P1258" s="10" t="n">
        <f aca="false">O1258*L1258</f>
        <v>9304.36416</v>
      </c>
      <c r="Q1258" s="5" t="s">
        <v>113</v>
      </c>
      <c r="R1258" s="5" t="n">
        <v>0</v>
      </c>
      <c r="S1258" s="5" t="n">
        <v>30</v>
      </c>
      <c r="T1258" s="12" t="n">
        <f aca="false">(O1258-M1258)/M1258</f>
        <v>0.00879999999999992</v>
      </c>
      <c r="U1258" s="8" t="n">
        <f aca="false">IF(AND(K1258&lt;=I1258,R1258=0),1,0)</f>
        <v>1</v>
      </c>
      <c r="V1258" s="10" t="n">
        <f aca="false">IF(Q1258="No",P1258,0)</f>
        <v>0</v>
      </c>
    </row>
    <row r="1259" customFormat="false" ht="15" hidden="false" customHeight="false" outlineLevel="0" collapsed="false">
      <c r="A1259" s="5" t="s">
        <v>1393</v>
      </c>
      <c r="B1259" s="5" t="s">
        <v>60</v>
      </c>
      <c r="C1259" s="7" t="n">
        <v>45663</v>
      </c>
      <c r="D1259" s="8" t="str">
        <f aca="false">INDEX(Dim_Supplier!$C$2:$C$21,MATCH(B1259,Dim_Supplier!$A$2:$A$21,0))</f>
        <v>Packaging</v>
      </c>
      <c r="E1259" s="8" t="str">
        <f aca="false">INDEX(Dim_Supplier!$B$2:$B$21,MATCH(B1259,Dim_Supplier!$A$2:$A$21,0))</f>
        <v>Maple Leaf Box &amp; Crate</v>
      </c>
      <c r="F1259" s="5" t="s">
        <v>119</v>
      </c>
      <c r="G1259" s="5" t="s">
        <v>120</v>
      </c>
      <c r="H1259" s="8" t="n">
        <f aca="false">INDEX(Lookup_Tables!$B$2:$B$5,MATCH(D1259,Lookup_Tables!$A$2:$A$5,0))</f>
        <v>14</v>
      </c>
      <c r="I1259" s="9" t="n">
        <f aca="false">C1259+H1259</f>
        <v>45677</v>
      </c>
      <c r="J1259" s="5" t="n">
        <v>0</v>
      </c>
      <c r="K1259" s="9" t="n">
        <f aca="false">I1259+J1259</f>
        <v>45677</v>
      </c>
      <c r="L1259" s="5" t="n">
        <v>2996</v>
      </c>
      <c r="M1259" s="10" t="n">
        <f aca="false">INDEX(Dim_Supplier!$F$2:$F$21,MATCH(B1259,Dim_Supplier!$A$2:$A$21,0))</f>
        <v>3.1</v>
      </c>
      <c r="N1259" s="11" t="n">
        <v>0.036</v>
      </c>
      <c r="O1259" s="10" t="n">
        <f aca="false">M1259*(1+N1259)</f>
        <v>3.2116</v>
      </c>
      <c r="P1259" s="10" t="n">
        <f aca="false">O1259*L1259</f>
        <v>9621.9536</v>
      </c>
      <c r="Q1259" s="5" t="s">
        <v>113</v>
      </c>
      <c r="R1259" s="5" t="n">
        <v>0</v>
      </c>
      <c r="S1259" s="5" t="n">
        <v>30</v>
      </c>
      <c r="T1259" s="12" t="n">
        <f aca="false">(O1259-M1259)/M1259</f>
        <v>0.036</v>
      </c>
      <c r="U1259" s="8" t="n">
        <f aca="false">IF(AND(K1259&lt;=I1259,R1259=0),1,0)</f>
        <v>1</v>
      </c>
      <c r="V1259" s="10" t="n">
        <f aca="false">IF(Q1259="No",P1259,0)</f>
        <v>0</v>
      </c>
    </row>
    <row r="1260" customFormat="false" ht="15" hidden="false" customHeight="false" outlineLevel="0" collapsed="false">
      <c r="A1260" s="5" t="s">
        <v>1394</v>
      </c>
      <c r="B1260" s="5" t="s">
        <v>77</v>
      </c>
      <c r="C1260" s="7" t="n">
        <v>46003</v>
      </c>
      <c r="D1260" s="8" t="str">
        <f aca="false">INDEX(Dim_Supplier!$C$2:$C$21,MATCH(B1260,Dim_Supplier!$A$2:$A$21,0))</f>
        <v>MRO</v>
      </c>
      <c r="E1260" s="8" t="str">
        <f aca="false">INDEX(Dim_Supplier!$B$2:$B$21,MATCH(B1260,Dim_Supplier!$A$2:$A$21,0))</f>
        <v>Apex Industrial Supply</v>
      </c>
      <c r="F1260" s="5" t="s">
        <v>164</v>
      </c>
      <c r="G1260" s="5" t="s">
        <v>112</v>
      </c>
      <c r="H1260" s="8" t="n">
        <f aca="false">INDEX(Lookup_Tables!$B$2:$B$5,MATCH(D1260,Lookup_Tables!$A$2:$A$5,0))</f>
        <v>10</v>
      </c>
      <c r="I1260" s="9" t="n">
        <f aca="false">C1260+H1260</f>
        <v>46013</v>
      </c>
      <c r="J1260" s="5" t="n">
        <v>-4</v>
      </c>
      <c r="K1260" s="9" t="n">
        <f aca="false">I1260+J1260</f>
        <v>46009</v>
      </c>
      <c r="L1260" s="5" t="n">
        <v>70</v>
      </c>
      <c r="M1260" s="10" t="n">
        <f aca="false">INDEX(Dim_Supplier!$F$2:$F$21,MATCH(B1260,Dim_Supplier!$A$2:$A$21,0))</f>
        <v>24.6</v>
      </c>
      <c r="N1260" s="11" t="n">
        <v>0.0253</v>
      </c>
      <c r="O1260" s="10" t="n">
        <f aca="false">M1260*(1+N1260)</f>
        <v>25.22238</v>
      </c>
      <c r="P1260" s="10" t="n">
        <f aca="false">O1260*L1260</f>
        <v>1765.5666</v>
      </c>
      <c r="Q1260" s="5" t="s">
        <v>113</v>
      </c>
      <c r="R1260" s="5" t="n">
        <v>2</v>
      </c>
      <c r="S1260" s="5" t="n">
        <v>45</v>
      </c>
      <c r="T1260" s="12" t="n">
        <f aca="false">(O1260-M1260)/M1260</f>
        <v>0.0253000000000001</v>
      </c>
      <c r="U1260" s="8" t="n">
        <f aca="false">IF(AND(K1260&lt;=I1260,R1260=0),1,0)</f>
        <v>0</v>
      </c>
      <c r="V1260" s="10" t="n">
        <f aca="false">IF(Q1260="No",P1260,0)</f>
        <v>0</v>
      </c>
    </row>
    <row r="1261" customFormat="false" ht="15" hidden="false" customHeight="false" outlineLevel="0" collapsed="false">
      <c r="A1261" s="5" t="s">
        <v>1395</v>
      </c>
      <c r="B1261" s="5" t="s">
        <v>46</v>
      </c>
      <c r="C1261" s="7" t="n">
        <v>45304</v>
      </c>
      <c r="D1261" s="8" t="str">
        <f aca="false">INDEX(Dim_Supplier!$C$2:$C$21,MATCH(B1261,Dim_Supplier!$A$2:$A$21,0))</f>
        <v>Raw Materials</v>
      </c>
      <c r="E1261" s="8" t="str">
        <f aca="false">INDEX(Dim_Supplier!$B$2:$B$21,MATCH(B1261,Dim_Supplier!$A$2:$A$21,0))</f>
        <v>Niagara Alloy Supply</v>
      </c>
      <c r="F1261" s="5" t="s">
        <v>139</v>
      </c>
      <c r="G1261" s="5" t="s">
        <v>120</v>
      </c>
      <c r="H1261" s="8" t="n">
        <f aca="false">INDEX(Lookup_Tables!$B$2:$B$5,MATCH(D1261,Lookup_Tables!$A$2:$A$5,0))</f>
        <v>21</v>
      </c>
      <c r="I1261" s="9" t="n">
        <f aca="false">C1261+H1261</f>
        <v>45325</v>
      </c>
      <c r="J1261" s="5" t="n">
        <v>-2</v>
      </c>
      <c r="K1261" s="9" t="n">
        <f aca="false">I1261+J1261</f>
        <v>45323</v>
      </c>
      <c r="L1261" s="5" t="n">
        <v>1158</v>
      </c>
      <c r="M1261" s="10" t="n">
        <f aca="false">INDEX(Dim_Supplier!$F$2:$F$21,MATCH(B1261,Dim_Supplier!$A$2:$A$21,0))</f>
        <v>46.5</v>
      </c>
      <c r="N1261" s="11" t="n">
        <v>-0.0025</v>
      </c>
      <c r="O1261" s="10" t="n">
        <f aca="false">M1261*(1+N1261)</f>
        <v>46.38375</v>
      </c>
      <c r="P1261" s="10" t="n">
        <f aca="false">O1261*L1261</f>
        <v>53712.3825</v>
      </c>
      <c r="Q1261" s="5" t="s">
        <v>113</v>
      </c>
      <c r="R1261" s="5" t="n">
        <v>0</v>
      </c>
      <c r="S1261" s="5" t="n">
        <v>30</v>
      </c>
      <c r="T1261" s="12" t="n">
        <f aca="false">(O1261-M1261)/M1261</f>
        <v>-0.00250000000000002</v>
      </c>
      <c r="U1261" s="8" t="n">
        <f aca="false">IF(AND(K1261&lt;=I1261,R1261=0),1,0)</f>
        <v>1</v>
      </c>
      <c r="V1261" s="10" t="n">
        <f aca="false">IF(Q1261="No",P1261,0)</f>
        <v>0</v>
      </c>
    </row>
    <row r="1262" customFormat="false" ht="15" hidden="false" customHeight="false" outlineLevel="0" collapsed="false">
      <c r="A1262" s="5" t="s">
        <v>1396</v>
      </c>
      <c r="B1262" s="5" t="s">
        <v>57</v>
      </c>
      <c r="C1262" s="7" t="n">
        <v>45451</v>
      </c>
      <c r="D1262" s="8" t="str">
        <f aca="false">INDEX(Dim_Supplier!$C$2:$C$21,MATCH(B1262,Dim_Supplier!$A$2:$A$21,0))</f>
        <v>Packaging</v>
      </c>
      <c r="E1262" s="8" t="str">
        <f aca="false">INDEX(Dim_Supplier!$B$2:$B$21,MATCH(B1262,Dim_Supplier!$A$2:$A$21,0))</f>
        <v>Great Lakes Packaging Co.</v>
      </c>
      <c r="F1262" s="5" t="s">
        <v>122</v>
      </c>
      <c r="G1262" s="5" t="s">
        <v>120</v>
      </c>
      <c r="H1262" s="8" t="n">
        <f aca="false">INDEX(Lookup_Tables!$B$2:$B$5,MATCH(D1262,Lookup_Tables!$A$2:$A$5,0))</f>
        <v>14</v>
      </c>
      <c r="I1262" s="9" t="n">
        <f aca="false">C1262+H1262</f>
        <v>45465</v>
      </c>
      <c r="J1262" s="5" t="n">
        <v>-4</v>
      </c>
      <c r="K1262" s="9" t="n">
        <f aca="false">I1262+J1262</f>
        <v>45461</v>
      </c>
      <c r="L1262" s="5" t="n">
        <v>4475</v>
      </c>
      <c r="M1262" s="10" t="n">
        <f aca="false">INDEX(Dim_Supplier!$F$2:$F$21,MATCH(B1262,Dim_Supplier!$A$2:$A$21,0))</f>
        <v>4.35</v>
      </c>
      <c r="N1262" s="11" t="n">
        <v>0.0072</v>
      </c>
      <c r="O1262" s="10" t="n">
        <f aca="false">M1262*(1+N1262)</f>
        <v>4.38132</v>
      </c>
      <c r="P1262" s="10" t="n">
        <f aca="false">O1262*L1262</f>
        <v>19606.407</v>
      </c>
      <c r="Q1262" s="5" t="s">
        <v>113</v>
      </c>
      <c r="R1262" s="5" t="n">
        <v>0</v>
      </c>
      <c r="S1262" s="5" t="n">
        <v>30</v>
      </c>
      <c r="T1262" s="12" t="n">
        <f aca="false">(O1262-M1262)/M1262</f>
        <v>0.0072</v>
      </c>
      <c r="U1262" s="8" t="n">
        <f aca="false">IF(AND(K1262&lt;=I1262,R1262=0),1,0)</f>
        <v>1</v>
      </c>
      <c r="V1262" s="10" t="n">
        <f aca="false">IF(Q1262="No",P1262,0)</f>
        <v>0</v>
      </c>
    </row>
    <row r="1263" customFormat="false" ht="15" hidden="false" customHeight="false" outlineLevel="0" collapsed="false">
      <c r="A1263" s="5" t="s">
        <v>1397</v>
      </c>
      <c r="B1263" s="5" t="s">
        <v>64</v>
      </c>
      <c r="C1263" s="7" t="n">
        <v>45680</v>
      </c>
      <c r="D1263" s="8" t="str">
        <f aca="false">INDEX(Dim_Supplier!$C$2:$C$21,MATCH(B1263,Dim_Supplier!$A$2:$A$21,0))</f>
        <v>Packaging</v>
      </c>
      <c r="E1263" s="8" t="str">
        <f aca="false">INDEX(Dim_Supplier!$B$2:$B$21,MATCH(B1263,Dim_Supplier!$A$2:$A$21,0))</f>
        <v>Huron Pallet Works</v>
      </c>
      <c r="F1263" s="5" t="s">
        <v>117</v>
      </c>
      <c r="G1263" s="5" t="s">
        <v>129</v>
      </c>
      <c r="H1263" s="8" t="n">
        <f aca="false">INDEX(Lookup_Tables!$B$2:$B$5,MATCH(D1263,Lookup_Tables!$A$2:$A$5,0))</f>
        <v>14</v>
      </c>
      <c r="I1263" s="9" t="n">
        <f aca="false">C1263+H1263</f>
        <v>45694</v>
      </c>
      <c r="J1263" s="5" t="n">
        <v>4</v>
      </c>
      <c r="K1263" s="9" t="n">
        <f aca="false">I1263+J1263</f>
        <v>45698</v>
      </c>
      <c r="L1263" s="5" t="n">
        <v>2337</v>
      </c>
      <c r="M1263" s="10" t="n">
        <f aca="false">INDEX(Dim_Supplier!$F$2:$F$21,MATCH(B1263,Dim_Supplier!$A$2:$A$21,0))</f>
        <v>2.25</v>
      </c>
      <c r="N1263" s="11" t="n">
        <v>0.1544</v>
      </c>
      <c r="O1263" s="10" t="n">
        <f aca="false">M1263*(1+N1263)</f>
        <v>2.5974</v>
      </c>
      <c r="P1263" s="10" t="n">
        <f aca="false">O1263*L1263</f>
        <v>6070.1238</v>
      </c>
      <c r="Q1263" s="5" t="s">
        <v>113</v>
      </c>
      <c r="R1263" s="5" t="n">
        <v>0</v>
      </c>
      <c r="S1263" s="5" t="n">
        <v>45</v>
      </c>
      <c r="T1263" s="12" t="n">
        <f aca="false">(O1263-M1263)/M1263</f>
        <v>0.1544</v>
      </c>
      <c r="U1263" s="8" t="n">
        <f aca="false">IF(AND(K1263&lt;=I1263,R1263=0),1,0)</f>
        <v>0</v>
      </c>
      <c r="V1263" s="10" t="n">
        <f aca="false">IF(Q1263="No",P1263,0)</f>
        <v>0</v>
      </c>
    </row>
    <row r="1264" customFormat="false" ht="15" hidden="false" customHeight="false" outlineLevel="0" collapsed="false">
      <c r="A1264" s="5" t="s">
        <v>1398</v>
      </c>
      <c r="B1264" s="5" t="s">
        <v>46</v>
      </c>
      <c r="C1264" s="7" t="n">
        <v>45493</v>
      </c>
      <c r="D1264" s="8" t="str">
        <f aca="false">INDEX(Dim_Supplier!$C$2:$C$21,MATCH(B1264,Dim_Supplier!$A$2:$A$21,0))</f>
        <v>Raw Materials</v>
      </c>
      <c r="E1264" s="8" t="str">
        <f aca="false">INDEX(Dim_Supplier!$B$2:$B$21,MATCH(B1264,Dim_Supplier!$A$2:$A$21,0))</f>
        <v>Niagara Alloy Supply</v>
      </c>
      <c r="F1264" s="5" t="s">
        <v>139</v>
      </c>
      <c r="G1264" s="5" t="s">
        <v>125</v>
      </c>
      <c r="H1264" s="8" t="n">
        <f aca="false">INDEX(Lookup_Tables!$B$2:$B$5,MATCH(D1264,Lookup_Tables!$A$2:$A$5,0))</f>
        <v>21</v>
      </c>
      <c r="I1264" s="9" t="n">
        <f aca="false">C1264+H1264</f>
        <v>45514</v>
      </c>
      <c r="J1264" s="5" t="n">
        <v>-4</v>
      </c>
      <c r="K1264" s="9" t="n">
        <f aca="false">I1264+J1264</f>
        <v>45510</v>
      </c>
      <c r="L1264" s="5" t="n">
        <v>1956</v>
      </c>
      <c r="M1264" s="10" t="n">
        <f aca="false">INDEX(Dim_Supplier!$F$2:$F$21,MATCH(B1264,Dim_Supplier!$A$2:$A$21,0))</f>
        <v>46.5</v>
      </c>
      <c r="N1264" s="11" t="n">
        <v>0.0412</v>
      </c>
      <c r="O1264" s="10" t="n">
        <f aca="false">M1264*(1+N1264)</f>
        <v>48.4158</v>
      </c>
      <c r="P1264" s="10" t="n">
        <f aca="false">O1264*L1264</f>
        <v>94701.3048</v>
      </c>
      <c r="Q1264" s="5" t="s">
        <v>113</v>
      </c>
      <c r="R1264" s="5" t="n">
        <v>0</v>
      </c>
      <c r="S1264" s="5" t="n">
        <v>60</v>
      </c>
      <c r="T1264" s="12" t="n">
        <f aca="false">(O1264-M1264)/M1264</f>
        <v>0.0411999999999999</v>
      </c>
      <c r="U1264" s="8" t="n">
        <f aca="false">IF(AND(K1264&lt;=I1264,R1264=0),1,0)</f>
        <v>1</v>
      </c>
      <c r="V1264" s="10" t="n">
        <f aca="false">IF(Q1264="No",P1264,0)</f>
        <v>0</v>
      </c>
    </row>
    <row r="1265" customFormat="false" ht="15" hidden="false" customHeight="false" outlineLevel="0" collapsed="false">
      <c r="A1265" s="5" t="s">
        <v>1399</v>
      </c>
      <c r="B1265" s="5" t="s">
        <v>79</v>
      </c>
      <c r="C1265" s="7" t="n">
        <v>45525</v>
      </c>
      <c r="D1265" s="8" t="str">
        <f aca="false">INDEX(Dim_Supplier!$C$2:$C$21,MATCH(B1265,Dim_Supplier!$A$2:$A$21,0))</f>
        <v>Logistics</v>
      </c>
      <c r="E1265" s="8" t="str">
        <f aca="false">INDEX(Dim_Supplier!$B$2:$B$21,MATCH(B1265,Dim_Supplier!$A$2:$A$21,0))</f>
        <v>Niagara Freight Solutions</v>
      </c>
      <c r="F1265" s="5" t="s">
        <v>154</v>
      </c>
      <c r="G1265" s="5" t="s">
        <v>120</v>
      </c>
      <c r="H1265" s="8" t="n">
        <f aca="false">INDEX(Lookup_Tables!$B$2:$B$5,MATCH(D1265,Lookup_Tables!$A$2:$A$5,0))</f>
        <v>5</v>
      </c>
      <c r="I1265" s="9" t="n">
        <f aca="false">C1265+H1265</f>
        <v>45530</v>
      </c>
      <c r="J1265" s="5" t="n">
        <v>-3</v>
      </c>
      <c r="K1265" s="9" t="n">
        <f aca="false">I1265+J1265</f>
        <v>45527</v>
      </c>
      <c r="L1265" s="5" t="n">
        <v>7</v>
      </c>
      <c r="M1265" s="10" t="n">
        <f aca="false">INDEX(Dim_Supplier!$F$2:$F$21,MATCH(B1265,Dim_Supplier!$A$2:$A$21,0))</f>
        <v>340</v>
      </c>
      <c r="N1265" s="11" t="n">
        <v>-0.0073</v>
      </c>
      <c r="O1265" s="10" t="n">
        <f aca="false">M1265*(1+N1265)</f>
        <v>337.518</v>
      </c>
      <c r="P1265" s="10" t="n">
        <f aca="false">O1265*L1265</f>
        <v>2362.626</v>
      </c>
      <c r="Q1265" s="5" t="s">
        <v>133</v>
      </c>
      <c r="R1265" s="5" t="n">
        <v>0</v>
      </c>
      <c r="S1265" s="5" t="n">
        <v>30</v>
      </c>
      <c r="T1265" s="12" t="n">
        <f aca="false">(O1265-M1265)/M1265</f>
        <v>-0.00729999999999991</v>
      </c>
      <c r="U1265" s="8" t="n">
        <f aca="false">IF(AND(K1265&lt;=I1265,R1265=0),1,0)</f>
        <v>1</v>
      </c>
      <c r="V1265" s="10" t="n">
        <f aca="false">IF(Q1265="No",P1265,0)</f>
        <v>2362.626</v>
      </c>
    </row>
    <row r="1266" customFormat="false" ht="15" hidden="false" customHeight="false" outlineLevel="0" collapsed="false">
      <c r="A1266" s="5" t="s">
        <v>1400</v>
      </c>
      <c r="B1266" s="5" t="s">
        <v>88</v>
      </c>
      <c r="C1266" s="7" t="n">
        <v>46158</v>
      </c>
      <c r="D1266" s="8" t="str">
        <f aca="false">INDEX(Dim_Supplier!$C$2:$C$21,MATCH(B1266,Dim_Supplier!$A$2:$A$21,0))</f>
        <v>Logistics</v>
      </c>
      <c r="E1266" s="8" t="str">
        <f aca="false">INDEX(Dim_Supplier!$B$2:$B$21,MATCH(B1266,Dim_Supplier!$A$2:$A$21,0))</f>
        <v>Summit Last-Mile Delivery</v>
      </c>
      <c r="F1266" s="5" t="s">
        <v>185</v>
      </c>
      <c r="G1266" s="5" t="s">
        <v>129</v>
      </c>
      <c r="H1266" s="8" t="n">
        <f aca="false">INDEX(Lookup_Tables!$B$2:$B$5,MATCH(D1266,Lookup_Tables!$A$2:$A$5,0))</f>
        <v>5</v>
      </c>
      <c r="I1266" s="9" t="n">
        <f aca="false">C1266+H1266</f>
        <v>46163</v>
      </c>
      <c r="J1266" s="5" t="n">
        <v>0</v>
      </c>
      <c r="K1266" s="9" t="n">
        <f aca="false">I1266+J1266</f>
        <v>46163</v>
      </c>
      <c r="L1266" s="5" t="n">
        <v>37</v>
      </c>
      <c r="M1266" s="10" t="n">
        <f aca="false">INDEX(Dim_Supplier!$F$2:$F$21,MATCH(B1266,Dim_Supplier!$A$2:$A$21,0))</f>
        <v>95</v>
      </c>
      <c r="N1266" s="11" t="n">
        <v>0.0387</v>
      </c>
      <c r="O1266" s="10" t="n">
        <f aca="false">M1266*(1+N1266)</f>
        <v>98.6765</v>
      </c>
      <c r="P1266" s="10" t="n">
        <f aca="false">O1266*L1266</f>
        <v>3651.0305</v>
      </c>
      <c r="Q1266" s="5" t="s">
        <v>113</v>
      </c>
      <c r="R1266" s="5" t="n">
        <v>0</v>
      </c>
      <c r="S1266" s="5" t="n">
        <v>45</v>
      </c>
      <c r="T1266" s="12" t="n">
        <f aca="false">(O1266-M1266)/M1266</f>
        <v>0.0386999999999999</v>
      </c>
      <c r="U1266" s="8" t="n">
        <f aca="false">IF(AND(K1266&lt;=I1266,R1266=0),1,0)</f>
        <v>1</v>
      </c>
      <c r="V1266" s="10" t="n">
        <f aca="false">IF(Q1266="No",P1266,0)</f>
        <v>0</v>
      </c>
    </row>
    <row r="1267" customFormat="false" ht="15" hidden="false" customHeight="false" outlineLevel="0" collapsed="false">
      <c r="A1267" s="5" t="s">
        <v>1401</v>
      </c>
      <c r="B1267" s="5" t="s">
        <v>52</v>
      </c>
      <c r="C1267" s="7" t="n">
        <v>45958</v>
      </c>
      <c r="D1267" s="8" t="str">
        <f aca="false">INDEX(Dim_Supplier!$C$2:$C$21,MATCH(B1267,Dim_Supplier!$A$2:$A$21,0))</f>
        <v>Raw Materials</v>
      </c>
      <c r="E1267" s="8" t="str">
        <f aca="false">INDEX(Dim_Supplier!$B$2:$B$21,MATCH(B1267,Dim_Supplier!$A$2:$A$21,0))</f>
        <v>Laurentian Metals Inc.</v>
      </c>
      <c r="F1267" s="5" t="s">
        <v>115</v>
      </c>
      <c r="G1267" s="5" t="s">
        <v>112</v>
      </c>
      <c r="H1267" s="8" t="n">
        <f aca="false">INDEX(Lookup_Tables!$B$2:$B$5,MATCH(D1267,Lookup_Tables!$A$2:$A$5,0))</f>
        <v>21</v>
      </c>
      <c r="I1267" s="9" t="n">
        <f aca="false">C1267+H1267</f>
        <v>45979</v>
      </c>
      <c r="J1267" s="5" t="n">
        <v>-4</v>
      </c>
      <c r="K1267" s="9" t="n">
        <f aca="false">I1267+J1267</f>
        <v>45975</v>
      </c>
      <c r="L1267" s="5" t="n">
        <v>182</v>
      </c>
      <c r="M1267" s="10" t="n">
        <f aca="false">INDEX(Dim_Supplier!$F$2:$F$21,MATCH(B1267,Dim_Supplier!$A$2:$A$21,0))</f>
        <v>61.2</v>
      </c>
      <c r="N1267" s="11" t="n">
        <v>-0.0005</v>
      </c>
      <c r="O1267" s="10" t="n">
        <f aca="false">M1267*(1+N1267)</f>
        <v>61.1694</v>
      </c>
      <c r="P1267" s="10" t="n">
        <f aca="false">O1267*L1267</f>
        <v>11132.8308</v>
      </c>
      <c r="Q1267" s="5" t="s">
        <v>133</v>
      </c>
      <c r="R1267" s="5" t="n">
        <v>0</v>
      </c>
      <c r="S1267" s="5" t="n">
        <v>30</v>
      </c>
      <c r="T1267" s="12" t="n">
        <f aca="false">(O1267-M1267)/M1267</f>
        <v>-0.000499999999999996</v>
      </c>
      <c r="U1267" s="8" t="n">
        <f aca="false">IF(AND(K1267&lt;=I1267,R1267=0),1,0)</f>
        <v>1</v>
      </c>
      <c r="V1267" s="10" t="n">
        <f aca="false">IF(Q1267="No",P1267,0)</f>
        <v>11132.8308</v>
      </c>
    </row>
    <row r="1268" customFormat="false" ht="15" hidden="false" customHeight="false" outlineLevel="0" collapsed="false">
      <c r="A1268" s="5" t="s">
        <v>1402</v>
      </c>
      <c r="B1268" s="5" t="s">
        <v>77</v>
      </c>
      <c r="C1268" s="7" t="n">
        <v>46042</v>
      </c>
      <c r="D1268" s="8" t="str">
        <f aca="false">INDEX(Dim_Supplier!$C$2:$C$21,MATCH(B1268,Dim_Supplier!$A$2:$A$21,0))</f>
        <v>MRO</v>
      </c>
      <c r="E1268" s="8" t="str">
        <f aca="false">INDEX(Dim_Supplier!$B$2:$B$21,MATCH(B1268,Dim_Supplier!$A$2:$A$21,0))</f>
        <v>Apex Industrial Supply</v>
      </c>
      <c r="F1268" s="5" t="s">
        <v>127</v>
      </c>
      <c r="G1268" s="5" t="s">
        <v>112</v>
      </c>
      <c r="H1268" s="8" t="n">
        <f aca="false">INDEX(Lookup_Tables!$B$2:$B$5,MATCH(D1268,Lookup_Tables!$A$2:$A$5,0))</f>
        <v>10</v>
      </c>
      <c r="I1268" s="9" t="n">
        <f aca="false">C1268+H1268</f>
        <v>46052</v>
      </c>
      <c r="J1268" s="5" t="n">
        <v>-2</v>
      </c>
      <c r="K1268" s="9" t="n">
        <f aca="false">I1268+J1268</f>
        <v>46050</v>
      </c>
      <c r="L1268" s="5" t="n">
        <v>63</v>
      </c>
      <c r="M1268" s="10" t="n">
        <f aca="false">INDEX(Dim_Supplier!$F$2:$F$21,MATCH(B1268,Dim_Supplier!$A$2:$A$21,0))</f>
        <v>24.6</v>
      </c>
      <c r="N1268" s="11" t="n">
        <v>0.049</v>
      </c>
      <c r="O1268" s="10" t="n">
        <f aca="false">M1268*(1+N1268)</f>
        <v>25.8054</v>
      </c>
      <c r="P1268" s="10" t="n">
        <f aca="false">O1268*L1268</f>
        <v>1625.7402</v>
      </c>
      <c r="Q1268" s="5" t="s">
        <v>113</v>
      </c>
      <c r="R1268" s="5" t="n">
        <v>0</v>
      </c>
      <c r="S1268" s="5" t="n">
        <v>30</v>
      </c>
      <c r="T1268" s="12" t="n">
        <f aca="false">(O1268-M1268)/M1268</f>
        <v>0.0489999999999999</v>
      </c>
      <c r="U1268" s="8" t="n">
        <f aca="false">IF(AND(K1268&lt;=I1268,R1268=0),1,0)</f>
        <v>1</v>
      </c>
      <c r="V1268" s="10" t="n">
        <f aca="false">IF(Q1268="No",P1268,0)</f>
        <v>0</v>
      </c>
    </row>
    <row r="1269" customFormat="false" ht="15" hidden="false" customHeight="false" outlineLevel="0" collapsed="false">
      <c r="A1269" s="5" t="s">
        <v>1403</v>
      </c>
      <c r="B1269" s="5" t="s">
        <v>46</v>
      </c>
      <c r="C1269" s="7" t="n">
        <v>46194</v>
      </c>
      <c r="D1269" s="8" t="str">
        <f aca="false">INDEX(Dim_Supplier!$C$2:$C$21,MATCH(B1269,Dim_Supplier!$A$2:$A$21,0))</f>
        <v>Raw Materials</v>
      </c>
      <c r="E1269" s="8" t="str">
        <f aca="false">INDEX(Dim_Supplier!$B$2:$B$21,MATCH(B1269,Dim_Supplier!$A$2:$A$21,0))</f>
        <v>Niagara Alloy Supply</v>
      </c>
      <c r="F1269" s="5" t="s">
        <v>148</v>
      </c>
      <c r="G1269" s="5" t="s">
        <v>120</v>
      </c>
      <c r="H1269" s="8" t="n">
        <f aca="false">INDEX(Lookup_Tables!$B$2:$B$5,MATCH(D1269,Lookup_Tables!$A$2:$A$5,0))</f>
        <v>21</v>
      </c>
      <c r="I1269" s="9" t="n">
        <f aca="false">C1269+H1269</f>
        <v>46215</v>
      </c>
      <c r="J1269" s="5" t="n">
        <v>-1</v>
      </c>
      <c r="K1269" s="9" t="n">
        <f aca="false">I1269+J1269</f>
        <v>46214</v>
      </c>
      <c r="L1269" s="5" t="n">
        <v>1079</v>
      </c>
      <c r="M1269" s="10" t="n">
        <f aca="false">INDEX(Dim_Supplier!$F$2:$F$21,MATCH(B1269,Dim_Supplier!$A$2:$A$21,0))</f>
        <v>46.5</v>
      </c>
      <c r="N1269" s="11" t="n">
        <v>0.0225</v>
      </c>
      <c r="O1269" s="10" t="n">
        <f aca="false">M1269*(1+N1269)</f>
        <v>47.54625</v>
      </c>
      <c r="P1269" s="10" t="n">
        <f aca="false">O1269*L1269</f>
        <v>51302.40375</v>
      </c>
      <c r="Q1269" s="5" t="s">
        <v>113</v>
      </c>
      <c r="R1269" s="5" t="n">
        <v>0</v>
      </c>
      <c r="S1269" s="5" t="n">
        <v>30</v>
      </c>
      <c r="T1269" s="12" t="n">
        <f aca="false">(O1269-M1269)/M1269</f>
        <v>0.0225</v>
      </c>
      <c r="U1269" s="8" t="n">
        <f aca="false">IF(AND(K1269&lt;=I1269,R1269=0),1,0)</f>
        <v>1</v>
      </c>
      <c r="V1269" s="10" t="n">
        <f aca="false">IF(Q1269="No",P1269,0)</f>
        <v>0</v>
      </c>
    </row>
    <row r="1270" customFormat="false" ht="15" hidden="false" customHeight="false" outlineLevel="0" collapsed="false">
      <c r="A1270" s="5" t="s">
        <v>1404</v>
      </c>
      <c r="B1270" s="5" t="s">
        <v>68</v>
      </c>
      <c r="C1270" s="7" t="n">
        <v>45512</v>
      </c>
      <c r="D1270" s="8" t="str">
        <f aca="false">INDEX(Dim_Supplier!$C$2:$C$21,MATCH(B1270,Dim_Supplier!$A$2:$A$21,0))</f>
        <v>MRO</v>
      </c>
      <c r="E1270" s="8" t="str">
        <f aca="false">INDEX(Dim_Supplier!$B$2:$B$21,MATCH(B1270,Dim_Supplier!$A$2:$A$21,0))</f>
        <v>Precision Tool &amp; Supply</v>
      </c>
      <c r="F1270" s="5" t="s">
        <v>132</v>
      </c>
      <c r="G1270" s="5" t="s">
        <v>125</v>
      </c>
      <c r="H1270" s="8" t="n">
        <f aca="false">INDEX(Lookup_Tables!$B$2:$B$5,MATCH(D1270,Lookup_Tables!$A$2:$A$5,0))</f>
        <v>10</v>
      </c>
      <c r="I1270" s="9" t="n">
        <f aca="false">C1270+H1270</f>
        <v>45522</v>
      </c>
      <c r="J1270" s="5" t="n">
        <v>-3</v>
      </c>
      <c r="K1270" s="9" t="n">
        <f aca="false">I1270+J1270</f>
        <v>45519</v>
      </c>
      <c r="L1270" s="5" t="n">
        <v>115</v>
      </c>
      <c r="M1270" s="10" t="n">
        <f aca="false">INDEX(Dim_Supplier!$F$2:$F$21,MATCH(B1270,Dim_Supplier!$A$2:$A$21,0))</f>
        <v>22.4</v>
      </c>
      <c r="N1270" s="11" t="n">
        <v>0.0126</v>
      </c>
      <c r="O1270" s="10" t="n">
        <f aca="false">M1270*(1+N1270)</f>
        <v>22.68224</v>
      </c>
      <c r="P1270" s="10" t="n">
        <f aca="false">O1270*L1270</f>
        <v>2608.4576</v>
      </c>
      <c r="Q1270" s="5" t="s">
        <v>113</v>
      </c>
      <c r="R1270" s="5" t="n">
        <v>0</v>
      </c>
      <c r="S1270" s="5" t="n">
        <v>60</v>
      </c>
      <c r="T1270" s="12" t="n">
        <f aca="false">(O1270-M1270)/M1270</f>
        <v>0.0125999999999999</v>
      </c>
      <c r="U1270" s="8" t="n">
        <f aca="false">IF(AND(K1270&lt;=I1270,R1270=0),1,0)</f>
        <v>1</v>
      </c>
      <c r="V1270" s="10" t="n">
        <f aca="false">IF(Q1270="No",P1270,0)</f>
        <v>0</v>
      </c>
    </row>
    <row r="1271" customFormat="false" ht="15" hidden="false" customHeight="false" outlineLevel="0" collapsed="false">
      <c r="A1271" s="5" t="s">
        <v>1405</v>
      </c>
      <c r="B1271" s="5" t="s">
        <v>79</v>
      </c>
      <c r="C1271" s="7" t="n">
        <v>45491</v>
      </c>
      <c r="D1271" s="8" t="str">
        <f aca="false">INDEX(Dim_Supplier!$C$2:$C$21,MATCH(B1271,Dim_Supplier!$A$2:$A$21,0))</f>
        <v>Logistics</v>
      </c>
      <c r="E1271" s="8" t="str">
        <f aca="false">INDEX(Dim_Supplier!$B$2:$B$21,MATCH(B1271,Dim_Supplier!$A$2:$A$21,0))</f>
        <v>Niagara Freight Solutions</v>
      </c>
      <c r="F1271" s="5" t="s">
        <v>185</v>
      </c>
      <c r="G1271" s="5" t="s">
        <v>125</v>
      </c>
      <c r="H1271" s="8" t="n">
        <f aca="false">INDEX(Lookup_Tables!$B$2:$B$5,MATCH(D1271,Lookup_Tables!$A$2:$A$5,0))</f>
        <v>5</v>
      </c>
      <c r="I1271" s="9" t="n">
        <f aca="false">C1271+H1271</f>
        <v>45496</v>
      </c>
      <c r="J1271" s="5" t="n">
        <v>0</v>
      </c>
      <c r="K1271" s="9" t="n">
        <f aca="false">I1271+J1271</f>
        <v>45496</v>
      </c>
      <c r="L1271" s="5" t="n">
        <v>27</v>
      </c>
      <c r="M1271" s="10" t="n">
        <f aca="false">INDEX(Dim_Supplier!$F$2:$F$21,MATCH(B1271,Dim_Supplier!$A$2:$A$21,0))</f>
        <v>340</v>
      </c>
      <c r="N1271" s="11" t="n">
        <v>0.0093</v>
      </c>
      <c r="O1271" s="10" t="n">
        <f aca="false">M1271*(1+N1271)</f>
        <v>343.162</v>
      </c>
      <c r="P1271" s="10" t="n">
        <f aca="false">O1271*L1271</f>
        <v>9265.374</v>
      </c>
      <c r="Q1271" s="5" t="s">
        <v>113</v>
      </c>
      <c r="R1271" s="5" t="n">
        <v>0</v>
      </c>
      <c r="S1271" s="5" t="n">
        <v>30</v>
      </c>
      <c r="T1271" s="12" t="n">
        <f aca="false">(O1271-M1271)/M1271</f>
        <v>0.0093000000000001</v>
      </c>
      <c r="U1271" s="8" t="n">
        <f aca="false">IF(AND(K1271&lt;=I1271,R1271=0),1,0)</f>
        <v>1</v>
      </c>
      <c r="V1271" s="10" t="n">
        <f aca="false">IF(Q1271="No",P1271,0)</f>
        <v>0</v>
      </c>
    </row>
    <row r="1272" customFormat="false" ht="15" hidden="false" customHeight="false" outlineLevel="0" collapsed="false">
      <c r="A1272" s="5" t="s">
        <v>1406</v>
      </c>
      <c r="B1272" s="5" t="s">
        <v>66</v>
      </c>
      <c r="C1272" s="7" t="n">
        <v>45818</v>
      </c>
      <c r="D1272" s="8" t="str">
        <f aca="false">INDEX(Dim_Supplier!$C$2:$C$21,MATCH(B1272,Dim_Supplier!$A$2:$A$21,0))</f>
        <v>Packaging</v>
      </c>
      <c r="E1272" s="8" t="str">
        <f aca="false">INDEX(Dim_Supplier!$B$2:$B$21,MATCH(B1272,Dim_Supplier!$A$2:$A$21,0))</f>
        <v>EverGreen Wrap Industries</v>
      </c>
      <c r="F1272" s="5" t="s">
        <v>119</v>
      </c>
      <c r="G1272" s="5" t="s">
        <v>120</v>
      </c>
      <c r="H1272" s="8" t="n">
        <f aca="false">INDEX(Lookup_Tables!$B$2:$B$5,MATCH(D1272,Lookup_Tables!$A$2:$A$5,0))</f>
        <v>14</v>
      </c>
      <c r="I1272" s="9" t="n">
        <f aca="false">C1272+H1272</f>
        <v>45832</v>
      </c>
      <c r="J1272" s="5" t="n">
        <v>-1</v>
      </c>
      <c r="K1272" s="9" t="n">
        <f aca="false">I1272+J1272</f>
        <v>45831</v>
      </c>
      <c r="L1272" s="5" t="n">
        <v>3294</v>
      </c>
      <c r="M1272" s="10" t="n">
        <f aca="false">INDEX(Dim_Supplier!$F$2:$F$21,MATCH(B1272,Dim_Supplier!$A$2:$A$21,0))</f>
        <v>6.8</v>
      </c>
      <c r="N1272" s="11" t="n">
        <v>0.0846</v>
      </c>
      <c r="O1272" s="10" t="n">
        <f aca="false">M1272*(1+N1272)</f>
        <v>7.37528</v>
      </c>
      <c r="P1272" s="10" t="n">
        <f aca="false">O1272*L1272</f>
        <v>24294.17232</v>
      </c>
      <c r="Q1272" s="5" t="s">
        <v>113</v>
      </c>
      <c r="R1272" s="5" t="n">
        <v>0</v>
      </c>
      <c r="S1272" s="5" t="n">
        <v>30</v>
      </c>
      <c r="T1272" s="12" t="n">
        <f aca="false">(O1272-M1272)/M1272</f>
        <v>0.0846</v>
      </c>
      <c r="U1272" s="8" t="n">
        <f aca="false">IF(AND(K1272&lt;=I1272,R1272=0),1,0)</f>
        <v>1</v>
      </c>
      <c r="V1272" s="10" t="n">
        <f aca="false">IF(Q1272="No",P1272,0)</f>
        <v>0</v>
      </c>
    </row>
    <row r="1273" customFormat="false" ht="15" hidden="false" customHeight="false" outlineLevel="0" collapsed="false">
      <c r="A1273" s="5" t="s">
        <v>1407</v>
      </c>
      <c r="B1273" s="5" t="s">
        <v>62</v>
      </c>
      <c r="C1273" s="7" t="n">
        <v>46066</v>
      </c>
      <c r="D1273" s="8" t="str">
        <f aca="false">INDEX(Dim_Supplier!$C$2:$C$21,MATCH(B1273,Dim_Supplier!$A$2:$A$21,0))</f>
        <v>Packaging</v>
      </c>
      <c r="E1273" s="8" t="str">
        <f aca="false">INDEX(Dim_Supplier!$B$2:$B$21,MATCH(B1273,Dim_Supplier!$A$2:$A$21,0))</f>
        <v>Trillium Packaging Solutions</v>
      </c>
      <c r="F1273" s="5" t="s">
        <v>158</v>
      </c>
      <c r="G1273" s="5" t="s">
        <v>125</v>
      </c>
      <c r="H1273" s="8" t="n">
        <f aca="false">INDEX(Lookup_Tables!$B$2:$B$5,MATCH(D1273,Lookup_Tables!$A$2:$A$5,0))</f>
        <v>14</v>
      </c>
      <c r="I1273" s="9" t="n">
        <f aca="false">C1273+H1273</f>
        <v>46080</v>
      </c>
      <c r="J1273" s="5" t="n">
        <v>1</v>
      </c>
      <c r="K1273" s="9" t="n">
        <f aca="false">I1273+J1273</f>
        <v>46081</v>
      </c>
      <c r="L1273" s="5" t="n">
        <v>4674</v>
      </c>
      <c r="M1273" s="10" t="n">
        <f aca="false">INDEX(Dim_Supplier!$F$2:$F$21,MATCH(B1273,Dim_Supplier!$A$2:$A$21,0))</f>
        <v>5.6</v>
      </c>
      <c r="N1273" s="11" t="n">
        <v>0.0217</v>
      </c>
      <c r="O1273" s="10" t="n">
        <f aca="false">M1273*(1+N1273)</f>
        <v>5.72152</v>
      </c>
      <c r="P1273" s="10" t="n">
        <f aca="false">O1273*L1273</f>
        <v>26742.38448</v>
      </c>
      <c r="Q1273" s="5" t="s">
        <v>113</v>
      </c>
      <c r="R1273" s="5" t="n">
        <v>0</v>
      </c>
      <c r="S1273" s="5" t="n">
        <v>30</v>
      </c>
      <c r="T1273" s="12" t="n">
        <f aca="false">(O1273-M1273)/M1273</f>
        <v>0.0217000000000001</v>
      </c>
      <c r="U1273" s="8" t="n">
        <f aca="false">IF(AND(K1273&lt;=I1273,R1273=0),1,0)</f>
        <v>0</v>
      </c>
      <c r="V1273" s="10" t="n">
        <f aca="false">IF(Q1273="No",P1273,0)</f>
        <v>0</v>
      </c>
    </row>
    <row r="1274" customFormat="false" ht="15" hidden="false" customHeight="false" outlineLevel="0" collapsed="false">
      <c r="A1274" s="5" t="s">
        <v>1408</v>
      </c>
      <c r="B1274" s="5" t="s">
        <v>62</v>
      </c>
      <c r="C1274" s="7" t="n">
        <v>45603</v>
      </c>
      <c r="D1274" s="8" t="str">
        <f aca="false">INDEX(Dim_Supplier!$C$2:$C$21,MATCH(B1274,Dim_Supplier!$A$2:$A$21,0))</f>
        <v>Packaging</v>
      </c>
      <c r="E1274" s="8" t="str">
        <f aca="false">INDEX(Dim_Supplier!$B$2:$B$21,MATCH(B1274,Dim_Supplier!$A$2:$A$21,0))</f>
        <v>Trillium Packaging Solutions</v>
      </c>
      <c r="F1274" s="5" t="s">
        <v>117</v>
      </c>
      <c r="G1274" s="5" t="s">
        <v>125</v>
      </c>
      <c r="H1274" s="8" t="n">
        <f aca="false">INDEX(Lookup_Tables!$B$2:$B$5,MATCH(D1274,Lookup_Tables!$A$2:$A$5,0))</f>
        <v>14</v>
      </c>
      <c r="I1274" s="9" t="n">
        <f aca="false">C1274+H1274</f>
        <v>45617</v>
      </c>
      <c r="J1274" s="5" t="n">
        <v>-4</v>
      </c>
      <c r="K1274" s="9" t="n">
        <f aca="false">I1274+J1274</f>
        <v>45613</v>
      </c>
      <c r="L1274" s="5" t="n">
        <v>1996</v>
      </c>
      <c r="M1274" s="10" t="n">
        <f aca="false">INDEX(Dim_Supplier!$F$2:$F$21,MATCH(B1274,Dim_Supplier!$A$2:$A$21,0))</f>
        <v>5.6</v>
      </c>
      <c r="N1274" s="11" t="n">
        <v>0.0455</v>
      </c>
      <c r="O1274" s="10" t="n">
        <f aca="false">M1274*(1+N1274)</f>
        <v>5.8548</v>
      </c>
      <c r="P1274" s="10" t="n">
        <f aca="false">O1274*L1274</f>
        <v>11686.1808</v>
      </c>
      <c r="Q1274" s="5" t="s">
        <v>113</v>
      </c>
      <c r="R1274" s="5" t="n">
        <v>0</v>
      </c>
      <c r="S1274" s="5" t="n">
        <v>30</v>
      </c>
      <c r="T1274" s="12" t="n">
        <f aca="false">(O1274-M1274)/M1274</f>
        <v>0.0455000000000001</v>
      </c>
      <c r="U1274" s="8" t="n">
        <f aca="false">IF(AND(K1274&lt;=I1274,R1274=0),1,0)</f>
        <v>1</v>
      </c>
      <c r="V1274" s="10" t="n">
        <f aca="false">IF(Q1274="No",P1274,0)</f>
        <v>0</v>
      </c>
    </row>
    <row r="1275" customFormat="false" ht="15" hidden="false" customHeight="false" outlineLevel="0" collapsed="false">
      <c r="A1275" s="5" t="s">
        <v>1409</v>
      </c>
      <c r="B1275" s="5" t="s">
        <v>57</v>
      </c>
      <c r="C1275" s="7" t="n">
        <v>45604</v>
      </c>
      <c r="D1275" s="8" t="str">
        <f aca="false">INDEX(Dim_Supplier!$C$2:$C$21,MATCH(B1275,Dim_Supplier!$A$2:$A$21,0))</f>
        <v>Packaging</v>
      </c>
      <c r="E1275" s="8" t="str">
        <f aca="false">INDEX(Dim_Supplier!$B$2:$B$21,MATCH(B1275,Dim_Supplier!$A$2:$A$21,0))</f>
        <v>Great Lakes Packaging Co.</v>
      </c>
      <c r="F1275" s="5" t="s">
        <v>119</v>
      </c>
      <c r="G1275" s="5" t="s">
        <v>125</v>
      </c>
      <c r="H1275" s="8" t="n">
        <f aca="false">INDEX(Lookup_Tables!$B$2:$B$5,MATCH(D1275,Lookup_Tables!$A$2:$A$5,0))</f>
        <v>14</v>
      </c>
      <c r="I1275" s="9" t="n">
        <f aca="false">C1275+H1275</f>
        <v>45618</v>
      </c>
      <c r="J1275" s="5" t="n">
        <v>-2</v>
      </c>
      <c r="K1275" s="9" t="n">
        <f aca="false">I1275+J1275</f>
        <v>45616</v>
      </c>
      <c r="L1275" s="5" t="n">
        <v>2222</v>
      </c>
      <c r="M1275" s="10" t="n">
        <f aca="false">INDEX(Dim_Supplier!$F$2:$F$21,MATCH(B1275,Dim_Supplier!$A$2:$A$21,0))</f>
        <v>4.35</v>
      </c>
      <c r="N1275" s="11" t="n">
        <v>0.0202</v>
      </c>
      <c r="O1275" s="10" t="n">
        <f aca="false">M1275*(1+N1275)</f>
        <v>4.43787</v>
      </c>
      <c r="P1275" s="10" t="n">
        <f aca="false">O1275*L1275</f>
        <v>9860.94714</v>
      </c>
      <c r="Q1275" s="5" t="s">
        <v>113</v>
      </c>
      <c r="R1275" s="5" t="n">
        <v>0</v>
      </c>
      <c r="S1275" s="5" t="n">
        <v>30</v>
      </c>
      <c r="T1275" s="12" t="n">
        <f aca="false">(O1275-M1275)/M1275</f>
        <v>0.0201999999999999</v>
      </c>
      <c r="U1275" s="8" t="n">
        <f aca="false">IF(AND(K1275&lt;=I1275,R1275=0),1,0)</f>
        <v>1</v>
      </c>
      <c r="V1275" s="10" t="n">
        <f aca="false">IF(Q1275="No",P1275,0)</f>
        <v>0</v>
      </c>
    </row>
    <row r="1276" customFormat="false" ht="15" hidden="false" customHeight="false" outlineLevel="0" collapsed="false">
      <c r="A1276" s="5" t="s">
        <v>1410</v>
      </c>
      <c r="B1276" s="5" t="s">
        <v>79</v>
      </c>
      <c r="C1276" s="7" t="n">
        <v>46096</v>
      </c>
      <c r="D1276" s="8" t="str">
        <f aca="false">INDEX(Dim_Supplier!$C$2:$C$21,MATCH(B1276,Dim_Supplier!$A$2:$A$21,0))</f>
        <v>Logistics</v>
      </c>
      <c r="E1276" s="8" t="str">
        <f aca="false">INDEX(Dim_Supplier!$B$2:$B$21,MATCH(B1276,Dim_Supplier!$A$2:$A$21,0))</f>
        <v>Niagara Freight Solutions</v>
      </c>
      <c r="F1276" s="5" t="s">
        <v>154</v>
      </c>
      <c r="G1276" s="5" t="s">
        <v>112</v>
      </c>
      <c r="H1276" s="8" t="n">
        <f aca="false">INDEX(Lookup_Tables!$B$2:$B$5,MATCH(D1276,Lookup_Tables!$A$2:$A$5,0))</f>
        <v>5</v>
      </c>
      <c r="I1276" s="9" t="n">
        <f aca="false">C1276+H1276</f>
        <v>46101</v>
      </c>
      <c r="J1276" s="5" t="n">
        <v>-3</v>
      </c>
      <c r="K1276" s="9" t="n">
        <f aca="false">I1276+J1276</f>
        <v>46098</v>
      </c>
      <c r="L1276" s="5" t="n">
        <v>34</v>
      </c>
      <c r="M1276" s="10" t="n">
        <f aca="false">INDEX(Dim_Supplier!$F$2:$F$21,MATCH(B1276,Dim_Supplier!$A$2:$A$21,0))</f>
        <v>340</v>
      </c>
      <c r="N1276" s="11" t="n">
        <v>0.0025</v>
      </c>
      <c r="O1276" s="10" t="n">
        <f aca="false">M1276*(1+N1276)</f>
        <v>340.85</v>
      </c>
      <c r="P1276" s="10" t="n">
        <f aca="false">O1276*L1276</f>
        <v>11588.9</v>
      </c>
      <c r="Q1276" s="5" t="s">
        <v>133</v>
      </c>
      <c r="R1276" s="5" t="n">
        <v>0</v>
      </c>
      <c r="S1276" s="5" t="n">
        <v>45</v>
      </c>
      <c r="T1276" s="12" t="n">
        <f aca="false">(O1276-M1276)/M1276</f>
        <v>0.0024999999999999</v>
      </c>
      <c r="U1276" s="8" t="n">
        <f aca="false">IF(AND(K1276&lt;=I1276,R1276=0),1,0)</f>
        <v>1</v>
      </c>
      <c r="V1276" s="10" t="n">
        <f aca="false">IF(Q1276="No",P1276,0)</f>
        <v>11588.9</v>
      </c>
    </row>
    <row r="1277" customFormat="false" ht="15" hidden="false" customHeight="false" outlineLevel="0" collapsed="false">
      <c r="A1277" s="5" t="s">
        <v>1411</v>
      </c>
      <c r="B1277" s="5" t="s">
        <v>79</v>
      </c>
      <c r="C1277" s="7" t="n">
        <v>45567</v>
      </c>
      <c r="D1277" s="8" t="str">
        <f aca="false">INDEX(Dim_Supplier!$C$2:$C$21,MATCH(B1277,Dim_Supplier!$A$2:$A$21,0))</f>
        <v>Logistics</v>
      </c>
      <c r="E1277" s="8" t="str">
        <f aca="false">INDEX(Dim_Supplier!$B$2:$B$21,MATCH(B1277,Dim_Supplier!$A$2:$A$21,0))</f>
        <v>Niagara Freight Solutions</v>
      </c>
      <c r="F1277" s="5" t="s">
        <v>154</v>
      </c>
      <c r="G1277" s="5" t="s">
        <v>120</v>
      </c>
      <c r="H1277" s="8" t="n">
        <f aca="false">INDEX(Lookup_Tables!$B$2:$B$5,MATCH(D1277,Lookup_Tables!$A$2:$A$5,0))</f>
        <v>5</v>
      </c>
      <c r="I1277" s="9" t="n">
        <f aca="false">C1277+H1277</f>
        <v>45572</v>
      </c>
      <c r="J1277" s="5" t="n">
        <v>-4</v>
      </c>
      <c r="K1277" s="9" t="n">
        <f aca="false">I1277+J1277</f>
        <v>45568</v>
      </c>
      <c r="L1277" s="5" t="n">
        <v>20</v>
      </c>
      <c r="M1277" s="10" t="n">
        <f aca="false">INDEX(Dim_Supplier!$F$2:$F$21,MATCH(B1277,Dim_Supplier!$A$2:$A$21,0))</f>
        <v>340</v>
      </c>
      <c r="N1277" s="11" t="n">
        <v>0.0169</v>
      </c>
      <c r="O1277" s="10" t="n">
        <f aca="false">M1277*(1+N1277)</f>
        <v>345.746</v>
      </c>
      <c r="P1277" s="10" t="n">
        <f aca="false">O1277*L1277</f>
        <v>6914.92</v>
      </c>
      <c r="Q1277" s="5" t="s">
        <v>113</v>
      </c>
      <c r="R1277" s="5" t="n">
        <v>0</v>
      </c>
      <c r="S1277" s="5" t="n">
        <v>45</v>
      </c>
      <c r="T1277" s="12" t="n">
        <f aca="false">(O1277-M1277)/M1277</f>
        <v>0.0168999999999999</v>
      </c>
      <c r="U1277" s="8" t="n">
        <f aca="false">IF(AND(K1277&lt;=I1277,R1277=0),1,0)</f>
        <v>1</v>
      </c>
      <c r="V1277" s="10" t="n">
        <f aca="false">IF(Q1277="No",P1277,0)</f>
        <v>0</v>
      </c>
    </row>
    <row r="1278" customFormat="false" ht="15" hidden="false" customHeight="false" outlineLevel="0" collapsed="false">
      <c r="A1278" s="5" t="s">
        <v>1412</v>
      </c>
      <c r="B1278" s="5" t="s">
        <v>82</v>
      </c>
      <c r="C1278" s="7" t="n">
        <v>45614</v>
      </c>
      <c r="D1278" s="8" t="str">
        <f aca="false">INDEX(Dim_Supplier!$C$2:$C$21,MATCH(B1278,Dim_Supplier!$A$2:$A$21,0))</f>
        <v>Logistics</v>
      </c>
      <c r="E1278" s="8" t="str">
        <f aca="false">INDEX(Dim_Supplier!$B$2:$B$21,MATCH(B1278,Dim_Supplier!$A$2:$A$21,0))</f>
        <v>Maple Route Logistics</v>
      </c>
      <c r="F1278" s="5" t="s">
        <v>237</v>
      </c>
      <c r="G1278" s="5" t="s">
        <v>120</v>
      </c>
      <c r="H1278" s="8" t="n">
        <f aca="false">INDEX(Lookup_Tables!$B$2:$B$5,MATCH(D1278,Lookup_Tables!$A$2:$A$5,0))</f>
        <v>5</v>
      </c>
      <c r="I1278" s="9" t="n">
        <f aca="false">C1278+H1278</f>
        <v>45619</v>
      </c>
      <c r="J1278" s="5" t="n">
        <v>-3</v>
      </c>
      <c r="K1278" s="9" t="n">
        <f aca="false">I1278+J1278</f>
        <v>45616</v>
      </c>
      <c r="L1278" s="5" t="n">
        <v>27</v>
      </c>
      <c r="M1278" s="10" t="n">
        <f aca="false">INDEX(Dim_Supplier!$F$2:$F$21,MATCH(B1278,Dim_Supplier!$A$2:$A$21,0))</f>
        <v>285</v>
      </c>
      <c r="N1278" s="11" t="n">
        <v>0.039</v>
      </c>
      <c r="O1278" s="10" t="n">
        <f aca="false">M1278*(1+N1278)</f>
        <v>296.115</v>
      </c>
      <c r="P1278" s="10" t="n">
        <f aca="false">O1278*L1278</f>
        <v>7995.105</v>
      </c>
      <c r="Q1278" s="5" t="s">
        <v>113</v>
      </c>
      <c r="R1278" s="5" t="n">
        <v>0</v>
      </c>
      <c r="S1278" s="5" t="n">
        <v>30</v>
      </c>
      <c r="T1278" s="12" t="n">
        <f aca="false">(O1278-M1278)/M1278</f>
        <v>0.0389999999999998</v>
      </c>
      <c r="U1278" s="8" t="n">
        <f aca="false">IF(AND(K1278&lt;=I1278,R1278=0),1,0)</f>
        <v>1</v>
      </c>
      <c r="V1278" s="10" t="n">
        <f aca="false">IF(Q1278="No",P1278,0)</f>
        <v>0</v>
      </c>
    </row>
    <row r="1279" customFormat="false" ht="15" hidden="false" customHeight="false" outlineLevel="0" collapsed="false">
      <c r="A1279" s="5" t="s">
        <v>1413</v>
      </c>
      <c r="B1279" s="5" t="s">
        <v>60</v>
      </c>
      <c r="C1279" s="7" t="n">
        <v>45953</v>
      </c>
      <c r="D1279" s="8" t="str">
        <f aca="false">INDEX(Dim_Supplier!$C$2:$C$21,MATCH(B1279,Dim_Supplier!$A$2:$A$21,0))</f>
        <v>Packaging</v>
      </c>
      <c r="E1279" s="8" t="str">
        <f aca="false">INDEX(Dim_Supplier!$B$2:$B$21,MATCH(B1279,Dim_Supplier!$A$2:$A$21,0))</f>
        <v>Maple Leaf Box &amp; Crate</v>
      </c>
      <c r="F1279" s="5" t="s">
        <v>158</v>
      </c>
      <c r="G1279" s="5" t="s">
        <v>125</v>
      </c>
      <c r="H1279" s="8" t="n">
        <f aca="false">INDEX(Lookup_Tables!$B$2:$B$5,MATCH(D1279,Lookup_Tables!$A$2:$A$5,0))</f>
        <v>14</v>
      </c>
      <c r="I1279" s="9" t="n">
        <f aca="false">C1279+H1279</f>
        <v>45967</v>
      </c>
      <c r="J1279" s="5" t="n">
        <v>-1</v>
      </c>
      <c r="K1279" s="9" t="n">
        <f aca="false">I1279+J1279</f>
        <v>45966</v>
      </c>
      <c r="L1279" s="5" t="n">
        <v>2156</v>
      </c>
      <c r="M1279" s="10" t="n">
        <f aca="false">INDEX(Dim_Supplier!$F$2:$F$21,MATCH(B1279,Dim_Supplier!$A$2:$A$21,0))</f>
        <v>3.1</v>
      </c>
      <c r="N1279" s="11" t="n">
        <v>0.0361</v>
      </c>
      <c r="O1279" s="10" t="n">
        <f aca="false">M1279*(1+N1279)</f>
        <v>3.21191</v>
      </c>
      <c r="P1279" s="10" t="n">
        <f aca="false">O1279*L1279</f>
        <v>6924.87796</v>
      </c>
      <c r="Q1279" s="5" t="s">
        <v>113</v>
      </c>
      <c r="R1279" s="5" t="n">
        <v>0</v>
      </c>
      <c r="S1279" s="5" t="n">
        <v>30</v>
      </c>
      <c r="T1279" s="12" t="n">
        <f aca="false">(O1279-M1279)/M1279</f>
        <v>0.0361</v>
      </c>
      <c r="U1279" s="8" t="n">
        <f aca="false">IF(AND(K1279&lt;=I1279,R1279=0),1,0)</f>
        <v>1</v>
      </c>
      <c r="V1279" s="10" t="n">
        <f aca="false">IF(Q1279="No",P1279,0)</f>
        <v>0</v>
      </c>
    </row>
    <row r="1280" customFormat="false" ht="15" hidden="false" customHeight="false" outlineLevel="0" collapsed="false">
      <c r="A1280" s="5" t="s">
        <v>1414</v>
      </c>
      <c r="B1280" s="5" t="s">
        <v>60</v>
      </c>
      <c r="C1280" s="7" t="n">
        <v>45621</v>
      </c>
      <c r="D1280" s="8" t="str">
        <f aca="false">INDEX(Dim_Supplier!$C$2:$C$21,MATCH(B1280,Dim_Supplier!$A$2:$A$21,0))</f>
        <v>Packaging</v>
      </c>
      <c r="E1280" s="8" t="str">
        <f aca="false">INDEX(Dim_Supplier!$B$2:$B$21,MATCH(B1280,Dim_Supplier!$A$2:$A$21,0))</f>
        <v>Maple Leaf Box &amp; Crate</v>
      </c>
      <c r="F1280" s="5" t="s">
        <v>137</v>
      </c>
      <c r="G1280" s="5" t="s">
        <v>125</v>
      </c>
      <c r="H1280" s="8" t="n">
        <f aca="false">INDEX(Lookup_Tables!$B$2:$B$5,MATCH(D1280,Lookup_Tables!$A$2:$A$5,0))</f>
        <v>14</v>
      </c>
      <c r="I1280" s="9" t="n">
        <f aca="false">C1280+H1280</f>
        <v>45635</v>
      </c>
      <c r="J1280" s="5" t="n">
        <v>-2</v>
      </c>
      <c r="K1280" s="9" t="n">
        <f aca="false">I1280+J1280</f>
        <v>45633</v>
      </c>
      <c r="L1280" s="5" t="n">
        <v>2133</v>
      </c>
      <c r="M1280" s="10" t="n">
        <f aca="false">INDEX(Dim_Supplier!$F$2:$F$21,MATCH(B1280,Dim_Supplier!$A$2:$A$21,0))</f>
        <v>3.1</v>
      </c>
      <c r="N1280" s="11" t="n">
        <v>0.0628</v>
      </c>
      <c r="O1280" s="10" t="n">
        <f aca="false">M1280*(1+N1280)</f>
        <v>3.29468</v>
      </c>
      <c r="P1280" s="10" t="n">
        <f aca="false">O1280*L1280</f>
        <v>7027.55244</v>
      </c>
      <c r="Q1280" s="5" t="s">
        <v>113</v>
      </c>
      <c r="R1280" s="5" t="n">
        <v>0</v>
      </c>
      <c r="S1280" s="5" t="n">
        <v>30</v>
      </c>
      <c r="T1280" s="12" t="n">
        <f aca="false">(O1280-M1280)/M1280</f>
        <v>0.0628</v>
      </c>
      <c r="U1280" s="8" t="n">
        <f aca="false">IF(AND(K1280&lt;=I1280,R1280=0),1,0)</f>
        <v>1</v>
      </c>
      <c r="V1280" s="10" t="n">
        <f aca="false">IF(Q1280="No",P1280,0)</f>
        <v>0</v>
      </c>
    </row>
    <row r="1281" customFormat="false" ht="15" hidden="false" customHeight="false" outlineLevel="0" collapsed="false">
      <c r="A1281" s="5" t="s">
        <v>1415</v>
      </c>
      <c r="B1281" s="5" t="s">
        <v>54</v>
      </c>
      <c r="C1281" s="7" t="n">
        <v>45368</v>
      </c>
      <c r="D1281" s="8" t="str">
        <f aca="false">INDEX(Dim_Supplier!$C$2:$C$21,MATCH(B1281,Dim_Supplier!$A$2:$A$21,0))</f>
        <v>Raw Materials</v>
      </c>
      <c r="E1281" s="8" t="str">
        <f aca="false">INDEX(Dim_Supplier!$B$2:$B$21,MATCH(B1281,Dim_Supplier!$A$2:$A$21,0))</f>
        <v>Northern Resin Solutions</v>
      </c>
      <c r="F1281" s="5" t="s">
        <v>115</v>
      </c>
      <c r="G1281" s="5" t="s">
        <v>112</v>
      </c>
      <c r="H1281" s="8" t="n">
        <f aca="false">INDEX(Lookup_Tables!$B$2:$B$5,MATCH(D1281,Lookup_Tables!$A$2:$A$5,0))</f>
        <v>21</v>
      </c>
      <c r="I1281" s="9" t="n">
        <f aca="false">C1281+H1281</f>
        <v>45389</v>
      </c>
      <c r="J1281" s="5" t="n">
        <v>-2</v>
      </c>
      <c r="K1281" s="9" t="n">
        <f aca="false">I1281+J1281</f>
        <v>45387</v>
      </c>
      <c r="L1281" s="5" t="n">
        <v>1577</v>
      </c>
      <c r="M1281" s="10" t="n">
        <f aca="false">INDEX(Dim_Supplier!$F$2:$F$21,MATCH(B1281,Dim_Supplier!$A$2:$A$21,0))</f>
        <v>38.9</v>
      </c>
      <c r="N1281" s="11" t="n">
        <v>0.0703</v>
      </c>
      <c r="O1281" s="10" t="n">
        <f aca="false">M1281*(1+N1281)</f>
        <v>41.63467</v>
      </c>
      <c r="P1281" s="10" t="n">
        <f aca="false">O1281*L1281</f>
        <v>65657.87459</v>
      </c>
      <c r="Q1281" s="5" t="s">
        <v>113</v>
      </c>
      <c r="R1281" s="5" t="n">
        <v>0</v>
      </c>
      <c r="S1281" s="5" t="n">
        <v>60</v>
      </c>
      <c r="T1281" s="12" t="n">
        <f aca="false">(O1281-M1281)/M1281</f>
        <v>0.0703</v>
      </c>
      <c r="U1281" s="8" t="n">
        <f aca="false">IF(AND(K1281&lt;=I1281,R1281=0),1,0)</f>
        <v>1</v>
      </c>
      <c r="V1281" s="10" t="n">
        <f aca="false">IF(Q1281="No",P1281,0)</f>
        <v>0</v>
      </c>
    </row>
    <row r="1282" customFormat="false" ht="15" hidden="false" customHeight="false" outlineLevel="0" collapsed="false">
      <c r="A1282" s="5" t="s">
        <v>1416</v>
      </c>
      <c r="B1282" s="5" t="s">
        <v>79</v>
      </c>
      <c r="C1282" s="7" t="n">
        <v>45691</v>
      </c>
      <c r="D1282" s="8" t="str">
        <f aca="false">INDEX(Dim_Supplier!$C$2:$C$21,MATCH(B1282,Dim_Supplier!$A$2:$A$21,0))</f>
        <v>Logistics</v>
      </c>
      <c r="E1282" s="8" t="str">
        <f aca="false">INDEX(Dim_Supplier!$B$2:$B$21,MATCH(B1282,Dim_Supplier!$A$2:$A$21,0))</f>
        <v>Niagara Freight Solutions</v>
      </c>
      <c r="F1282" s="5" t="s">
        <v>237</v>
      </c>
      <c r="G1282" s="5" t="s">
        <v>112</v>
      </c>
      <c r="H1282" s="8" t="n">
        <f aca="false">INDEX(Lookup_Tables!$B$2:$B$5,MATCH(D1282,Lookup_Tables!$A$2:$A$5,0))</f>
        <v>5</v>
      </c>
      <c r="I1282" s="9" t="n">
        <f aca="false">C1282+H1282</f>
        <v>45696</v>
      </c>
      <c r="J1282" s="5" t="n">
        <v>-3</v>
      </c>
      <c r="K1282" s="9" t="n">
        <f aca="false">I1282+J1282</f>
        <v>45693</v>
      </c>
      <c r="L1282" s="5" t="n">
        <v>25</v>
      </c>
      <c r="M1282" s="10" t="n">
        <f aca="false">INDEX(Dim_Supplier!$F$2:$F$21,MATCH(B1282,Dim_Supplier!$A$2:$A$21,0))</f>
        <v>340</v>
      </c>
      <c r="N1282" s="11" t="n">
        <v>0.0368</v>
      </c>
      <c r="O1282" s="10" t="n">
        <f aca="false">M1282*(1+N1282)</f>
        <v>352.512</v>
      </c>
      <c r="P1282" s="10" t="n">
        <f aca="false">O1282*L1282</f>
        <v>8812.8</v>
      </c>
      <c r="Q1282" s="5" t="s">
        <v>113</v>
      </c>
      <c r="R1282" s="5" t="n">
        <v>0</v>
      </c>
      <c r="S1282" s="5" t="n">
        <v>30</v>
      </c>
      <c r="T1282" s="12" t="n">
        <f aca="false">(O1282-M1282)/M1282</f>
        <v>0.0368</v>
      </c>
      <c r="U1282" s="8" t="n">
        <f aca="false">IF(AND(K1282&lt;=I1282,R1282=0),1,0)</f>
        <v>1</v>
      </c>
      <c r="V1282" s="10" t="n">
        <f aca="false">IF(Q1282="No",P1282,0)</f>
        <v>0</v>
      </c>
    </row>
    <row r="1283" customFormat="false" ht="15" hidden="false" customHeight="false" outlineLevel="0" collapsed="false">
      <c r="A1283" s="5" t="s">
        <v>1417</v>
      </c>
      <c r="B1283" s="5" t="s">
        <v>68</v>
      </c>
      <c r="C1283" s="7" t="n">
        <v>45740</v>
      </c>
      <c r="D1283" s="8" t="str">
        <f aca="false">INDEX(Dim_Supplier!$C$2:$C$21,MATCH(B1283,Dim_Supplier!$A$2:$A$21,0))</f>
        <v>MRO</v>
      </c>
      <c r="E1283" s="8" t="str">
        <f aca="false">INDEX(Dim_Supplier!$B$2:$B$21,MATCH(B1283,Dim_Supplier!$A$2:$A$21,0))</f>
        <v>Precision Tool &amp; Supply</v>
      </c>
      <c r="F1283" s="5" t="s">
        <v>111</v>
      </c>
      <c r="G1283" s="5" t="s">
        <v>129</v>
      </c>
      <c r="H1283" s="8" t="n">
        <f aca="false">INDEX(Lookup_Tables!$B$2:$B$5,MATCH(D1283,Lookup_Tables!$A$2:$A$5,0))</f>
        <v>10</v>
      </c>
      <c r="I1283" s="9" t="n">
        <f aca="false">C1283+H1283</f>
        <v>45750</v>
      </c>
      <c r="J1283" s="5" t="n">
        <v>-4</v>
      </c>
      <c r="K1283" s="9" t="n">
        <f aca="false">I1283+J1283</f>
        <v>45746</v>
      </c>
      <c r="L1283" s="5" t="n">
        <v>23</v>
      </c>
      <c r="M1283" s="10" t="n">
        <f aca="false">INDEX(Dim_Supplier!$F$2:$F$21,MATCH(B1283,Dim_Supplier!$A$2:$A$21,0))</f>
        <v>22.4</v>
      </c>
      <c r="N1283" s="11" t="n">
        <v>0.0173</v>
      </c>
      <c r="O1283" s="10" t="n">
        <f aca="false">M1283*(1+N1283)</f>
        <v>22.78752</v>
      </c>
      <c r="P1283" s="10" t="n">
        <f aca="false">O1283*L1283</f>
        <v>524.11296</v>
      </c>
      <c r="Q1283" s="5" t="s">
        <v>113</v>
      </c>
      <c r="R1283" s="5" t="n">
        <v>0</v>
      </c>
      <c r="S1283" s="5" t="n">
        <v>30</v>
      </c>
      <c r="T1283" s="12" t="n">
        <f aca="false">(O1283-M1283)/M1283</f>
        <v>0.0173000000000001</v>
      </c>
      <c r="U1283" s="8" t="n">
        <f aca="false">IF(AND(K1283&lt;=I1283,R1283=0),1,0)</f>
        <v>1</v>
      </c>
      <c r="V1283" s="10" t="n">
        <f aca="false">IF(Q1283="No",P1283,0)</f>
        <v>0</v>
      </c>
    </row>
    <row r="1284" customFormat="false" ht="15" hidden="false" customHeight="false" outlineLevel="0" collapsed="false">
      <c r="A1284" s="5" t="s">
        <v>1418</v>
      </c>
      <c r="B1284" s="5" t="s">
        <v>46</v>
      </c>
      <c r="C1284" s="7" t="n">
        <v>45446</v>
      </c>
      <c r="D1284" s="8" t="str">
        <f aca="false">INDEX(Dim_Supplier!$C$2:$C$21,MATCH(B1284,Dim_Supplier!$A$2:$A$21,0))</f>
        <v>Raw Materials</v>
      </c>
      <c r="E1284" s="8" t="str">
        <f aca="false">INDEX(Dim_Supplier!$B$2:$B$21,MATCH(B1284,Dim_Supplier!$A$2:$A$21,0))</f>
        <v>Niagara Alloy Supply</v>
      </c>
      <c r="F1284" s="5" t="s">
        <v>144</v>
      </c>
      <c r="G1284" s="5" t="s">
        <v>120</v>
      </c>
      <c r="H1284" s="8" t="n">
        <f aca="false">INDEX(Lookup_Tables!$B$2:$B$5,MATCH(D1284,Lookup_Tables!$A$2:$A$5,0))</f>
        <v>21</v>
      </c>
      <c r="I1284" s="9" t="n">
        <f aca="false">C1284+H1284</f>
        <v>45467</v>
      </c>
      <c r="J1284" s="5" t="n">
        <v>-3</v>
      </c>
      <c r="K1284" s="9" t="n">
        <f aca="false">I1284+J1284</f>
        <v>45464</v>
      </c>
      <c r="L1284" s="5" t="n">
        <v>997</v>
      </c>
      <c r="M1284" s="10" t="n">
        <f aca="false">INDEX(Dim_Supplier!$F$2:$F$21,MATCH(B1284,Dim_Supplier!$A$2:$A$21,0))</f>
        <v>46.5</v>
      </c>
      <c r="N1284" s="11" t="n">
        <v>0.0185</v>
      </c>
      <c r="O1284" s="10" t="n">
        <f aca="false">M1284*(1+N1284)</f>
        <v>47.36025</v>
      </c>
      <c r="P1284" s="10" t="n">
        <f aca="false">O1284*L1284</f>
        <v>47218.16925</v>
      </c>
      <c r="Q1284" s="5" t="s">
        <v>113</v>
      </c>
      <c r="R1284" s="5" t="n">
        <v>0</v>
      </c>
      <c r="S1284" s="5" t="n">
        <v>45</v>
      </c>
      <c r="T1284" s="12" t="n">
        <f aca="false">(O1284-M1284)/M1284</f>
        <v>0.0185</v>
      </c>
      <c r="U1284" s="8" t="n">
        <f aca="false">IF(AND(K1284&lt;=I1284,R1284=0),1,0)</f>
        <v>1</v>
      </c>
      <c r="V1284" s="10" t="n">
        <f aca="false">IF(Q1284="No",P1284,0)</f>
        <v>0</v>
      </c>
    </row>
    <row r="1285" customFormat="false" ht="15" hidden="false" customHeight="false" outlineLevel="0" collapsed="false">
      <c r="A1285" s="5" t="s">
        <v>1419</v>
      </c>
      <c r="B1285" s="5" t="s">
        <v>54</v>
      </c>
      <c r="C1285" s="7" t="n">
        <v>45835</v>
      </c>
      <c r="D1285" s="8" t="str">
        <f aca="false">INDEX(Dim_Supplier!$C$2:$C$21,MATCH(B1285,Dim_Supplier!$A$2:$A$21,0))</f>
        <v>Raw Materials</v>
      </c>
      <c r="E1285" s="8" t="str">
        <f aca="false">INDEX(Dim_Supplier!$B$2:$B$21,MATCH(B1285,Dim_Supplier!$A$2:$A$21,0))</f>
        <v>Northern Resin Solutions</v>
      </c>
      <c r="F1285" s="5" t="s">
        <v>139</v>
      </c>
      <c r="G1285" s="5" t="s">
        <v>129</v>
      </c>
      <c r="H1285" s="8" t="n">
        <f aca="false">INDEX(Lookup_Tables!$B$2:$B$5,MATCH(D1285,Lookup_Tables!$A$2:$A$5,0))</f>
        <v>21</v>
      </c>
      <c r="I1285" s="9" t="n">
        <f aca="false">C1285+H1285</f>
        <v>45856</v>
      </c>
      <c r="J1285" s="5" t="n">
        <v>1</v>
      </c>
      <c r="K1285" s="9" t="n">
        <f aca="false">I1285+J1285</f>
        <v>45857</v>
      </c>
      <c r="L1285" s="5" t="n">
        <v>1883</v>
      </c>
      <c r="M1285" s="10" t="n">
        <f aca="false">INDEX(Dim_Supplier!$F$2:$F$21,MATCH(B1285,Dim_Supplier!$A$2:$A$21,0))</f>
        <v>38.9</v>
      </c>
      <c r="N1285" s="11" t="n">
        <v>0.0765</v>
      </c>
      <c r="O1285" s="10" t="n">
        <f aca="false">M1285*(1+N1285)</f>
        <v>41.87585</v>
      </c>
      <c r="P1285" s="10" t="n">
        <f aca="false">O1285*L1285</f>
        <v>78852.22555</v>
      </c>
      <c r="Q1285" s="5" t="s">
        <v>113</v>
      </c>
      <c r="R1285" s="5" t="n">
        <v>0</v>
      </c>
      <c r="S1285" s="5" t="n">
        <v>30</v>
      </c>
      <c r="T1285" s="12" t="n">
        <f aca="false">(O1285-M1285)/M1285</f>
        <v>0.0765</v>
      </c>
      <c r="U1285" s="8" t="n">
        <f aca="false">IF(AND(K1285&lt;=I1285,R1285=0),1,0)</f>
        <v>0</v>
      </c>
      <c r="V1285" s="10" t="n">
        <f aca="false">IF(Q1285="No",P1285,0)</f>
        <v>0</v>
      </c>
    </row>
    <row r="1286" customFormat="false" ht="15" hidden="false" customHeight="false" outlineLevel="0" collapsed="false">
      <c r="A1286" s="5" t="s">
        <v>1420</v>
      </c>
      <c r="B1286" s="5" t="s">
        <v>82</v>
      </c>
      <c r="C1286" s="7" t="n">
        <v>46083</v>
      </c>
      <c r="D1286" s="8" t="str">
        <f aca="false">INDEX(Dim_Supplier!$C$2:$C$21,MATCH(B1286,Dim_Supplier!$A$2:$A$21,0))</f>
        <v>Logistics</v>
      </c>
      <c r="E1286" s="8" t="str">
        <f aca="false">INDEX(Dim_Supplier!$B$2:$B$21,MATCH(B1286,Dim_Supplier!$A$2:$A$21,0))</f>
        <v>Maple Route Logistics</v>
      </c>
      <c r="F1286" s="5" t="s">
        <v>237</v>
      </c>
      <c r="G1286" s="5" t="s">
        <v>112</v>
      </c>
      <c r="H1286" s="8" t="n">
        <f aca="false">INDEX(Lookup_Tables!$B$2:$B$5,MATCH(D1286,Lookup_Tables!$A$2:$A$5,0))</f>
        <v>5</v>
      </c>
      <c r="I1286" s="9" t="n">
        <f aca="false">C1286+H1286</f>
        <v>46088</v>
      </c>
      <c r="J1286" s="5" t="n">
        <v>0</v>
      </c>
      <c r="K1286" s="9" t="n">
        <f aca="false">I1286+J1286</f>
        <v>46088</v>
      </c>
      <c r="L1286" s="5" t="n">
        <v>30</v>
      </c>
      <c r="M1286" s="10" t="n">
        <f aca="false">INDEX(Dim_Supplier!$F$2:$F$21,MATCH(B1286,Dim_Supplier!$A$2:$A$21,0))</f>
        <v>285</v>
      </c>
      <c r="N1286" s="11" t="n">
        <v>0.0506</v>
      </c>
      <c r="O1286" s="10" t="n">
        <f aca="false">M1286*(1+N1286)</f>
        <v>299.421</v>
      </c>
      <c r="P1286" s="10" t="n">
        <f aca="false">O1286*L1286</f>
        <v>8982.63</v>
      </c>
      <c r="Q1286" s="5" t="s">
        <v>113</v>
      </c>
      <c r="R1286" s="5" t="n">
        <v>0</v>
      </c>
      <c r="S1286" s="5" t="n">
        <v>60</v>
      </c>
      <c r="T1286" s="12" t="n">
        <f aca="false">(O1286-M1286)/M1286</f>
        <v>0.0506</v>
      </c>
      <c r="U1286" s="8" t="n">
        <f aca="false">IF(AND(K1286&lt;=I1286,R1286=0),1,0)</f>
        <v>1</v>
      </c>
      <c r="V1286" s="10" t="n">
        <f aca="false">IF(Q1286="No",P1286,0)</f>
        <v>0</v>
      </c>
    </row>
    <row r="1287" customFormat="false" ht="15" hidden="false" customHeight="false" outlineLevel="0" collapsed="false">
      <c r="A1287" s="5" t="s">
        <v>1421</v>
      </c>
      <c r="B1287" s="5" t="s">
        <v>54</v>
      </c>
      <c r="C1287" s="7" t="n">
        <v>45910</v>
      </c>
      <c r="D1287" s="8" t="str">
        <f aca="false">INDEX(Dim_Supplier!$C$2:$C$21,MATCH(B1287,Dim_Supplier!$A$2:$A$21,0))</f>
        <v>Raw Materials</v>
      </c>
      <c r="E1287" s="8" t="str">
        <f aca="false">INDEX(Dim_Supplier!$B$2:$B$21,MATCH(B1287,Dim_Supplier!$A$2:$A$21,0))</f>
        <v>Northern Resin Solutions</v>
      </c>
      <c r="F1287" s="5" t="s">
        <v>148</v>
      </c>
      <c r="G1287" s="5" t="s">
        <v>112</v>
      </c>
      <c r="H1287" s="8" t="n">
        <f aca="false">INDEX(Lookup_Tables!$B$2:$B$5,MATCH(D1287,Lookup_Tables!$A$2:$A$5,0))</f>
        <v>21</v>
      </c>
      <c r="I1287" s="9" t="n">
        <f aca="false">C1287+H1287</f>
        <v>45931</v>
      </c>
      <c r="J1287" s="5" t="n">
        <v>1</v>
      </c>
      <c r="K1287" s="9" t="n">
        <f aca="false">I1287+J1287</f>
        <v>45932</v>
      </c>
      <c r="L1287" s="5" t="n">
        <v>911</v>
      </c>
      <c r="M1287" s="10" t="n">
        <f aca="false">INDEX(Dim_Supplier!$F$2:$F$21,MATCH(B1287,Dim_Supplier!$A$2:$A$21,0))</f>
        <v>38.9</v>
      </c>
      <c r="N1287" s="11" t="n">
        <v>0.064</v>
      </c>
      <c r="O1287" s="10" t="n">
        <f aca="false">M1287*(1+N1287)</f>
        <v>41.3896</v>
      </c>
      <c r="P1287" s="10" t="n">
        <f aca="false">O1287*L1287</f>
        <v>37705.9256</v>
      </c>
      <c r="Q1287" s="5" t="s">
        <v>133</v>
      </c>
      <c r="R1287" s="5" t="n">
        <v>0</v>
      </c>
      <c r="S1287" s="5" t="n">
        <v>60</v>
      </c>
      <c r="T1287" s="12" t="n">
        <f aca="false">(O1287-M1287)/M1287</f>
        <v>0.0640000000000001</v>
      </c>
      <c r="U1287" s="8" t="n">
        <f aca="false">IF(AND(K1287&lt;=I1287,R1287=0),1,0)</f>
        <v>0</v>
      </c>
      <c r="V1287" s="10" t="n">
        <f aca="false">IF(Q1287="No",P1287,0)</f>
        <v>37705.9256</v>
      </c>
    </row>
    <row r="1288" customFormat="false" ht="15" hidden="false" customHeight="false" outlineLevel="0" collapsed="false">
      <c r="A1288" s="5" t="s">
        <v>1422</v>
      </c>
      <c r="B1288" s="5" t="s">
        <v>41</v>
      </c>
      <c r="C1288" s="7" t="n">
        <v>45816</v>
      </c>
      <c r="D1288" s="8" t="str">
        <f aca="false">INDEX(Dim_Supplier!$C$2:$C$21,MATCH(B1288,Dim_Supplier!$A$2:$A$21,0))</f>
        <v>Raw Materials</v>
      </c>
      <c r="E1288" s="8" t="str">
        <f aca="false">INDEX(Dim_Supplier!$B$2:$B$21,MATCH(B1288,Dim_Supplier!$A$2:$A$21,0))</f>
        <v>Ontario Steel Partners</v>
      </c>
      <c r="F1288" s="5" t="s">
        <v>139</v>
      </c>
      <c r="G1288" s="5" t="s">
        <v>129</v>
      </c>
      <c r="H1288" s="8" t="n">
        <f aca="false">INDEX(Lookup_Tables!$B$2:$B$5,MATCH(D1288,Lookup_Tables!$A$2:$A$5,0))</f>
        <v>21</v>
      </c>
      <c r="I1288" s="9" t="n">
        <f aca="false">C1288+H1288</f>
        <v>45837</v>
      </c>
      <c r="J1288" s="5" t="n">
        <v>-4</v>
      </c>
      <c r="K1288" s="9" t="n">
        <f aca="false">I1288+J1288</f>
        <v>45833</v>
      </c>
      <c r="L1288" s="5" t="n">
        <v>1132</v>
      </c>
      <c r="M1288" s="10" t="n">
        <f aca="false">INDEX(Dim_Supplier!$F$2:$F$21,MATCH(B1288,Dim_Supplier!$A$2:$A$21,0))</f>
        <v>58</v>
      </c>
      <c r="N1288" s="11" t="n">
        <v>-0.0165</v>
      </c>
      <c r="O1288" s="10" t="n">
        <f aca="false">M1288*(1+N1288)</f>
        <v>57.043</v>
      </c>
      <c r="P1288" s="10" t="n">
        <f aca="false">O1288*L1288</f>
        <v>64572.676</v>
      </c>
      <c r="Q1288" s="5" t="s">
        <v>113</v>
      </c>
      <c r="R1288" s="5" t="n">
        <v>0</v>
      </c>
      <c r="S1288" s="5" t="n">
        <v>45</v>
      </c>
      <c r="T1288" s="12" t="n">
        <f aca="false">(O1288-M1288)/M1288</f>
        <v>-0.0165</v>
      </c>
      <c r="U1288" s="8" t="n">
        <f aca="false">IF(AND(K1288&lt;=I1288,R1288=0),1,0)</f>
        <v>1</v>
      </c>
      <c r="V1288" s="10" t="n">
        <f aca="false">IF(Q1288="No",P1288,0)</f>
        <v>0</v>
      </c>
    </row>
    <row r="1289" customFormat="false" ht="15" hidden="false" customHeight="false" outlineLevel="0" collapsed="false">
      <c r="A1289" s="5" t="s">
        <v>1423</v>
      </c>
      <c r="B1289" s="5" t="s">
        <v>54</v>
      </c>
      <c r="C1289" s="7" t="n">
        <v>45633</v>
      </c>
      <c r="D1289" s="8" t="str">
        <f aca="false">INDEX(Dim_Supplier!$C$2:$C$21,MATCH(B1289,Dim_Supplier!$A$2:$A$21,0))</f>
        <v>Raw Materials</v>
      </c>
      <c r="E1289" s="8" t="str">
        <f aca="false">INDEX(Dim_Supplier!$B$2:$B$21,MATCH(B1289,Dim_Supplier!$A$2:$A$21,0))</f>
        <v>Northern Resin Solutions</v>
      </c>
      <c r="F1289" s="5" t="s">
        <v>148</v>
      </c>
      <c r="G1289" s="5" t="s">
        <v>129</v>
      </c>
      <c r="H1289" s="8" t="n">
        <f aca="false">INDEX(Lookup_Tables!$B$2:$B$5,MATCH(D1289,Lookup_Tables!$A$2:$A$5,0))</f>
        <v>21</v>
      </c>
      <c r="I1289" s="9" t="n">
        <f aca="false">C1289+H1289</f>
        <v>45654</v>
      </c>
      <c r="J1289" s="5" t="n">
        <v>-4</v>
      </c>
      <c r="K1289" s="9" t="n">
        <f aca="false">I1289+J1289</f>
        <v>45650</v>
      </c>
      <c r="L1289" s="5" t="n">
        <v>1698</v>
      </c>
      <c r="M1289" s="10" t="n">
        <f aca="false">INDEX(Dim_Supplier!$F$2:$F$21,MATCH(B1289,Dim_Supplier!$A$2:$A$21,0))</f>
        <v>38.9</v>
      </c>
      <c r="N1289" s="11" t="n">
        <v>0.0284</v>
      </c>
      <c r="O1289" s="10" t="n">
        <f aca="false">M1289*(1+N1289)</f>
        <v>40.00476</v>
      </c>
      <c r="P1289" s="10" t="n">
        <f aca="false">O1289*L1289</f>
        <v>67928.08248</v>
      </c>
      <c r="Q1289" s="5" t="s">
        <v>113</v>
      </c>
      <c r="R1289" s="5" t="n">
        <v>0</v>
      </c>
      <c r="S1289" s="5" t="n">
        <v>45</v>
      </c>
      <c r="T1289" s="12" t="n">
        <f aca="false">(O1289-M1289)/M1289</f>
        <v>0.0284</v>
      </c>
      <c r="U1289" s="8" t="n">
        <f aca="false">IF(AND(K1289&lt;=I1289,R1289=0),1,0)</f>
        <v>1</v>
      </c>
      <c r="V1289" s="10" t="n">
        <f aca="false">IF(Q1289="No",P1289,0)</f>
        <v>0</v>
      </c>
    </row>
    <row r="1290" customFormat="false" ht="15" hidden="false" customHeight="false" outlineLevel="0" collapsed="false">
      <c r="A1290" s="5" t="s">
        <v>1424</v>
      </c>
      <c r="B1290" s="5" t="s">
        <v>82</v>
      </c>
      <c r="C1290" s="7" t="n">
        <v>45879</v>
      </c>
      <c r="D1290" s="8" t="str">
        <f aca="false">INDEX(Dim_Supplier!$C$2:$C$21,MATCH(B1290,Dim_Supplier!$A$2:$A$21,0))</f>
        <v>Logistics</v>
      </c>
      <c r="E1290" s="8" t="str">
        <f aca="false">INDEX(Dim_Supplier!$B$2:$B$21,MATCH(B1290,Dim_Supplier!$A$2:$A$21,0))</f>
        <v>Maple Route Logistics</v>
      </c>
      <c r="F1290" s="5" t="s">
        <v>237</v>
      </c>
      <c r="G1290" s="5" t="s">
        <v>112</v>
      </c>
      <c r="H1290" s="8" t="n">
        <f aca="false">INDEX(Lookup_Tables!$B$2:$B$5,MATCH(D1290,Lookup_Tables!$A$2:$A$5,0))</f>
        <v>5</v>
      </c>
      <c r="I1290" s="9" t="n">
        <f aca="false">C1290+H1290</f>
        <v>45884</v>
      </c>
      <c r="J1290" s="5" t="n">
        <v>-1</v>
      </c>
      <c r="K1290" s="9" t="n">
        <f aca="false">I1290+J1290</f>
        <v>45883</v>
      </c>
      <c r="L1290" s="5" t="n">
        <v>28</v>
      </c>
      <c r="M1290" s="10" t="n">
        <f aca="false">INDEX(Dim_Supplier!$F$2:$F$21,MATCH(B1290,Dim_Supplier!$A$2:$A$21,0))</f>
        <v>285</v>
      </c>
      <c r="N1290" s="11" t="n">
        <v>-0.0041</v>
      </c>
      <c r="O1290" s="10" t="n">
        <f aca="false">M1290*(1+N1290)</f>
        <v>283.8315</v>
      </c>
      <c r="P1290" s="10" t="n">
        <f aca="false">O1290*L1290</f>
        <v>7947.282</v>
      </c>
      <c r="Q1290" s="5" t="s">
        <v>113</v>
      </c>
      <c r="R1290" s="5" t="n">
        <v>0</v>
      </c>
      <c r="S1290" s="5" t="n">
        <v>60</v>
      </c>
      <c r="T1290" s="12" t="n">
        <f aca="false">(O1290-M1290)/M1290</f>
        <v>-0.00409999999999998</v>
      </c>
      <c r="U1290" s="8" t="n">
        <f aca="false">IF(AND(K1290&lt;=I1290,R1290=0),1,0)</f>
        <v>1</v>
      </c>
      <c r="V1290" s="10" t="n">
        <f aca="false">IF(Q1290="No",P1290,0)</f>
        <v>0</v>
      </c>
    </row>
    <row r="1291" customFormat="false" ht="15" hidden="false" customHeight="false" outlineLevel="0" collapsed="false">
      <c r="A1291" s="5" t="s">
        <v>1425</v>
      </c>
      <c r="B1291" s="5" t="s">
        <v>88</v>
      </c>
      <c r="C1291" s="7" t="n">
        <v>45447</v>
      </c>
      <c r="D1291" s="8" t="str">
        <f aca="false">INDEX(Dim_Supplier!$C$2:$C$21,MATCH(B1291,Dim_Supplier!$A$2:$A$21,0))</f>
        <v>Logistics</v>
      </c>
      <c r="E1291" s="8" t="str">
        <f aca="false">INDEX(Dim_Supplier!$B$2:$B$21,MATCH(B1291,Dim_Supplier!$A$2:$A$21,0))</f>
        <v>Summit Last-Mile Delivery</v>
      </c>
      <c r="F1291" s="5" t="s">
        <v>146</v>
      </c>
      <c r="G1291" s="5" t="s">
        <v>129</v>
      </c>
      <c r="H1291" s="8" t="n">
        <f aca="false">INDEX(Lookup_Tables!$B$2:$B$5,MATCH(D1291,Lookup_Tables!$A$2:$A$5,0))</f>
        <v>5</v>
      </c>
      <c r="I1291" s="9" t="n">
        <f aca="false">C1291+H1291</f>
        <v>45452</v>
      </c>
      <c r="J1291" s="5" t="n">
        <v>0</v>
      </c>
      <c r="K1291" s="9" t="n">
        <f aca="false">I1291+J1291</f>
        <v>45452</v>
      </c>
      <c r="L1291" s="5" t="n">
        <v>30</v>
      </c>
      <c r="M1291" s="10" t="n">
        <f aca="false">INDEX(Dim_Supplier!$F$2:$F$21,MATCH(B1291,Dim_Supplier!$A$2:$A$21,0))</f>
        <v>95</v>
      </c>
      <c r="N1291" s="11" t="n">
        <v>0.0638</v>
      </c>
      <c r="O1291" s="10" t="n">
        <f aca="false">M1291*(1+N1291)</f>
        <v>101.061</v>
      </c>
      <c r="P1291" s="10" t="n">
        <f aca="false">O1291*L1291</f>
        <v>3031.83</v>
      </c>
      <c r="Q1291" s="5" t="s">
        <v>113</v>
      </c>
      <c r="R1291" s="5" t="n">
        <v>0</v>
      </c>
      <c r="S1291" s="5" t="n">
        <v>60</v>
      </c>
      <c r="T1291" s="12" t="n">
        <f aca="false">(O1291-M1291)/M1291</f>
        <v>0.0638000000000001</v>
      </c>
      <c r="U1291" s="8" t="n">
        <f aca="false">IF(AND(K1291&lt;=I1291,R1291=0),1,0)</f>
        <v>1</v>
      </c>
      <c r="V1291" s="10" t="n">
        <f aca="false">IF(Q1291="No",P1291,0)</f>
        <v>0</v>
      </c>
    </row>
    <row r="1292" customFormat="false" ht="15" hidden="false" customHeight="false" outlineLevel="0" collapsed="false">
      <c r="A1292" s="5" t="s">
        <v>1426</v>
      </c>
      <c r="B1292" s="5" t="s">
        <v>62</v>
      </c>
      <c r="C1292" s="7" t="n">
        <v>45313</v>
      </c>
      <c r="D1292" s="8" t="str">
        <f aca="false">INDEX(Dim_Supplier!$C$2:$C$21,MATCH(B1292,Dim_Supplier!$A$2:$A$21,0))</f>
        <v>Packaging</v>
      </c>
      <c r="E1292" s="8" t="str">
        <f aca="false">INDEX(Dim_Supplier!$B$2:$B$21,MATCH(B1292,Dim_Supplier!$A$2:$A$21,0))</f>
        <v>Trillium Packaging Solutions</v>
      </c>
      <c r="F1292" s="5" t="s">
        <v>137</v>
      </c>
      <c r="G1292" s="5" t="s">
        <v>120</v>
      </c>
      <c r="H1292" s="8" t="n">
        <f aca="false">INDEX(Lookup_Tables!$B$2:$B$5,MATCH(D1292,Lookup_Tables!$A$2:$A$5,0))</f>
        <v>14</v>
      </c>
      <c r="I1292" s="9" t="n">
        <f aca="false">C1292+H1292</f>
        <v>45327</v>
      </c>
      <c r="J1292" s="5" t="n">
        <v>1</v>
      </c>
      <c r="K1292" s="9" t="n">
        <f aca="false">I1292+J1292</f>
        <v>45328</v>
      </c>
      <c r="L1292" s="5" t="n">
        <v>654</v>
      </c>
      <c r="M1292" s="10" t="n">
        <f aca="false">INDEX(Dim_Supplier!$F$2:$F$21,MATCH(B1292,Dim_Supplier!$A$2:$A$21,0))</f>
        <v>5.6</v>
      </c>
      <c r="N1292" s="11" t="n">
        <v>0.0215</v>
      </c>
      <c r="O1292" s="10" t="n">
        <f aca="false">M1292*(1+N1292)</f>
        <v>5.7204</v>
      </c>
      <c r="P1292" s="10" t="n">
        <f aca="false">O1292*L1292</f>
        <v>3741.1416</v>
      </c>
      <c r="Q1292" s="5" t="s">
        <v>113</v>
      </c>
      <c r="R1292" s="5" t="n">
        <v>0</v>
      </c>
      <c r="S1292" s="5" t="n">
        <v>30</v>
      </c>
      <c r="T1292" s="12" t="n">
        <f aca="false">(O1292-M1292)/M1292</f>
        <v>0.0215</v>
      </c>
      <c r="U1292" s="8" t="n">
        <f aca="false">IF(AND(K1292&lt;=I1292,R1292=0),1,0)</f>
        <v>0</v>
      </c>
      <c r="V1292" s="10" t="n">
        <f aca="false">IF(Q1292="No",P1292,0)</f>
        <v>0</v>
      </c>
    </row>
    <row r="1293" customFormat="false" ht="15" hidden="false" customHeight="false" outlineLevel="0" collapsed="false">
      <c r="A1293" s="5" t="s">
        <v>1427</v>
      </c>
      <c r="B1293" s="5" t="s">
        <v>82</v>
      </c>
      <c r="C1293" s="7" t="n">
        <v>45890</v>
      </c>
      <c r="D1293" s="8" t="str">
        <f aca="false">INDEX(Dim_Supplier!$C$2:$C$21,MATCH(B1293,Dim_Supplier!$A$2:$A$21,0))</f>
        <v>Logistics</v>
      </c>
      <c r="E1293" s="8" t="str">
        <f aca="false">INDEX(Dim_Supplier!$B$2:$B$21,MATCH(B1293,Dim_Supplier!$A$2:$A$21,0))</f>
        <v>Maple Route Logistics</v>
      </c>
      <c r="F1293" s="5" t="s">
        <v>146</v>
      </c>
      <c r="G1293" s="5" t="s">
        <v>125</v>
      </c>
      <c r="H1293" s="8" t="n">
        <f aca="false">INDEX(Lookup_Tables!$B$2:$B$5,MATCH(D1293,Lookup_Tables!$A$2:$A$5,0))</f>
        <v>5</v>
      </c>
      <c r="I1293" s="9" t="n">
        <f aca="false">C1293+H1293</f>
        <v>45895</v>
      </c>
      <c r="J1293" s="5" t="n">
        <v>-2</v>
      </c>
      <c r="K1293" s="9" t="n">
        <f aca="false">I1293+J1293</f>
        <v>45893</v>
      </c>
      <c r="L1293" s="5" t="n">
        <v>37</v>
      </c>
      <c r="M1293" s="10" t="n">
        <f aca="false">INDEX(Dim_Supplier!$F$2:$F$21,MATCH(B1293,Dim_Supplier!$A$2:$A$21,0))</f>
        <v>285</v>
      </c>
      <c r="N1293" s="11" t="n">
        <v>0.019</v>
      </c>
      <c r="O1293" s="10" t="n">
        <f aca="false">M1293*(1+N1293)</f>
        <v>290.415</v>
      </c>
      <c r="P1293" s="10" t="n">
        <f aca="false">O1293*L1293</f>
        <v>10745.355</v>
      </c>
      <c r="Q1293" s="5" t="s">
        <v>133</v>
      </c>
      <c r="R1293" s="5" t="n">
        <v>0</v>
      </c>
      <c r="S1293" s="5" t="n">
        <v>45</v>
      </c>
      <c r="T1293" s="12" t="n">
        <f aca="false">(O1293-M1293)/M1293</f>
        <v>0.0189999999999999</v>
      </c>
      <c r="U1293" s="8" t="n">
        <f aca="false">IF(AND(K1293&lt;=I1293,R1293=0),1,0)</f>
        <v>1</v>
      </c>
      <c r="V1293" s="10" t="n">
        <f aca="false">IF(Q1293="No",P1293,0)</f>
        <v>10745.355</v>
      </c>
    </row>
    <row r="1294" customFormat="false" ht="15" hidden="false" customHeight="false" outlineLevel="0" collapsed="false">
      <c r="A1294" s="5" t="s">
        <v>1428</v>
      </c>
      <c r="B1294" s="5" t="s">
        <v>68</v>
      </c>
      <c r="C1294" s="7" t="n">
        <v>45485</v>
      </c>
      <c r="D1294" s="8" t="str">
        <f aca="false">INDEX(Dim_Supplier!$C$2:$C$21,MATCH(B1294,Dim_Supplier!$A$2:$A$21,0))</f>
        <v>MRO</v>
      </c>
      <c r="E1294" s="8" t="str">
        <f aca="false">INDEX(Dim_Supplier!$B$2:$B$21,MATCH(B1294,Dim_Supplier!$A$2:$A$21,0))</f>
        <v>Precision Tool &amp; Supply</v>
      </c>
      <c r="F1294" s="5" t="s">
        <v>164</v>
      </c>
      <c r="G1294" s="5" t="s">
        <v>112</v>
      </c>
      <c r="H1294" s="8" t="n">
        <f aca="false">INDEX(Lookup_Tables!$B$2:$B$5,MATCH(D1294,Lookup_Tables!$A$2:$A$5,0))</f>
        <v>10</v>
      </c>
      <c r="I1294" s="9" t="n">
        <f aca="false">C1294+H1294</f>
        <v>45495</v>
      </c>
      <c r="J1294" s="5" t="n">
        <v>-3</v>
      </c>
      <c r="K1294" s="9" t="n">
        <f aca="false">I1294+J1294</f>
        <v>45492</v>
      </c>
      <c r="L1294" s="5" t="n">
        <v>141</v>
      </c>
      <c r="M1294" s="10" t="n">
        <f aca="false">INDEX(Dim_Supplier!$F$2:$F$21,MATCH(B1294,Dim_Supplier!$A$2:$A$21,0))</f>
        <v>22.4</v>
      </c>
      <c r="N1294" s="11" t="n">
        <v>0.0186</v>
      </c>
      <c r="O1294" s="10" t="n">
        <f aca="false">M1294*(1+N1294)</f>
        <v>22.81664</v>
      </c>
      <c r="P1294" s="10" t="n">
        <f aca="false">O1294*L1294</f>
        <v>3217.14624</v>
      </c>
      <c r="Q1294" s="5" t="s">
        <v>113</v>
      </c>
      <c r="R1294" s="5" t="n">
        <v>0</v>
      </c>
      <c r="S1294" s="5" t="n">
        <v>45</v>
      </c>
      <c r="T1294" s="12" t="n">
        <f aca="false">(O1294-M1294)/M1294</f>
        <v>0.0185999999999999</v>
      </c>
      <c r="U1294" s="8" t="n">
        <f aca="false">IF(AND(K1294&lt;=I1294,R1294=0),1,0)</f>
        <v>1</v>
      </c>
      <c r="V1294" s="10" t="n">
        <f aca="false">IF(Q1294="No",P1294,0)</f>
        <v>0</v>
      </c>
    </row>
    <row r="1295" customFormat="false" ht="15" hidden="false" customHeight="false" outlineLevel="0" collapsed="false">
      <c r="A1295" s="5" t="s">
        <v>1429</v>
      </c>
      <c r="B1295" s="5" t="s">
        <v>68</v>
      </c>
      <c r="C1295" s="7" t="n">
        <v>45362</v>
      </c>
      <c r="D1295" s="8" t="str">
        <f aca="false">INDEX(Dim_Supplier!$C$2:$C$21,MATCH(B1295,Dim_Supplier!$A$2:$A$21,0))</f>
        <v>MRO</v>
      </c>
      <c r="E1295" s="8" t="str">
        <f aca="false">INDEX(Dim_Supplier!$B$2:$B$21,MATCH(B1295,Dim_Supplier!$A$2:$A$21,0))</f>
        <v>Precision Tool &amp; Supply</v>
      </c>
      <c r="F1295" s="5" t="s">
        <v>111</v>
      </c>
      <c r="G1295" s="5" t="s">
        <v>120</v>
      </c>
      <c r="H1295" s="8" t="n">
        <f aca="false">INDEX(Lookup_Tables!$B$2:$B$5,MATCH(D1295,Lookup_Tables!$A$2:$A$5,0))</f>
        <v>10</v>
      </c>
      <c r="I1295" s="9" t="n">
        <f aca="false">C1295+H1295</f>
        <v>45372</v>
      </c>
      <c r="J1295" s="5" t="n">
        <v>0</v>
      </c>
      <c r="K1295" s="9" t="n">
        <f aca="false">I1295+J1295</f>
        <v>45372</v>
      </c>
      <c r="L1295" s="5" t="n">
        <v>56</v>
      </c>
      <c r="M1295" s="10" t="n">
        <f aca="false">INDEX(Dim_Supplier!$F$2:$F$21,MATCH(B1295,Dim_Supplier!$A$2:$A$21,0))</f>
        <v>22.4</v>
      </c>
      <c r="N1295" s="11" t="n">
        <v>-0.0027</v>
      </c>
      <c r="O1295" s="10" t="n">
        <f aca="false">M1295*(1+N1295)</f>
        <v>22.33952</v>
      </c>
      <c r="P1295" s="10" t="n">
        <f aca="false">O1295*L1295</f>
        <v>1251.01312</v>
      </c>
      <c r="Q1295" s="5" t="s">
        <v>113</v>
      </c>
      <c r="R1295" s="5" t="n">
        <v>0</v>
      </c>
      <c r="S1295" s="5" t="n">
        <v>30</v>
      </c>
      <c r="T1295" s="12" t="n">
        <f aca="false">(O1295-M1295)/M1295</f>
        <v>-0.00270000000000008</v>
      </c>
      <c r="U1295" s="8" t="n">
        <f aca="false">IF(AND(K1295&lt;=I1295,R1295=0),1,0)</f>
        <v>1</v>
      </c>
      <c r="V1295" s="10" t="n">
        <f aca="false">IF(Q1295="No",P1295,0)</f>
        <v>0</v>
      </c>
    </row>
    <row r="1296" customFormat="false" ht="15" hidden="false" customHeight="false" outlineLevel="0" collapsed="false">
      <c r="A1296" s="5" t="s">
        <v>1430</v>
      </c>
      <c r="B1296" s="5" t="s">
        <v>86</v>
      </c>
      <c r="C1296" s="7" t="n">
        <v>45514</v>
      </c>
      <c r="D1296" s="8" t="str">
        <f aca="false">INDEX(Dim_Supplier!$C$2:$C$21,MATCH(B1296,Dim_Supplier!$A$2:$A$21,0))</f>
        <v>Logistics</v>
      </c>
      <c r="E1296" s="8" t="str">
        <f aca="false">INDEX(Dim_Supplier!$B$2:$B$21,MATCH(B1296,Dim_Supplier!$A$2:$A$21,0))</f>
        <v>Blue Water Customs Brokerage</v>
      </c>
      <c r="F1296" s="5" t="s">
        <v>146</v>
      </c>
      <c r="G1296" s="5" t="s">
        <v>129</v>
      </c>
      <c r="H1296" s="8" t="n">
        <f aca="false">INDEX(Lookup_Tables!$B$2:$B$5,MATCH(D1296,Lookup_Tables!$A$2:$A$5,0))</f>
        <v>5</v>
      </c>
      <c r="I1296" s="9" t="n">
        <f aca="false">C1296+H1296</f>
        <v>45519</v>
      </c>
      <c r="J1296" s="5" t="n">
        <v>1</v>
      </c>
      <c r="K1296" s="9" t="n">
        <f aca="false">I1296+J1296</f>
        <v>45520</v>
      </c>
      <c r="L1296" s="5" t="n">
        <v>29</v>
      </c>
      <c r="M1296" s="10" t="n">
        <f aca="false">INDEX(Dim_Supplier!$F$2:$F$21,MATCH(B1296,Dim_Supplier!$A$2:$A$21,0))</f>
        <v>175</v>
      </c>
      <c r="N1296" s="11" t="n">
        <v>0.0425</v>
      </c>
      <c r="O1296" s="10" t="n">
        <f aca="false">M1296*(1+N1296)</f>
        <v>182.4375</v>
      </c>
      <c r="P1296" s="10" t="n">
        <f aca="false">O1296*L1296</f>
        <v>5290.6875</v>
      </c>
      <c r="Q1296" s="5" t="s">
        <v>113</v>
      </c>
      <c r="R1296" s="5" t="n">
        <v>0</v>
      </c>
      <c r="S1296" s="5" t="n">
        <v>30</v>
      </c>
      <c r="T1296" s="12" t="n">
        <f aca="false">(O1296-M1296)/M1296</f>
        <v>0.0425</v>
      </c>
      <c r="U1296" s="8" t="n">
        <f aca="false">IF(AND(K1296&lt;=I1296,R1296=0),1,0)</f>
        <v>0</v>
      </c>
      <c r="V1296" s="10" t="n">
        <f aca="false">IF(Q1296="No",P1296,0)</f>
        <v>0</v>
      </c>
    </row>
    <row r="1297" customFormat="false" ht="15" hidden="false" customHeight="false" outlineLevel="0" collapsed="false">
      <c r="A1297" s="5" t="s">
        <v>1431</v>
      </c>
      <c r="B1297" s="5" t="s">
        <v>82</v>
      </c>
      <c r="C1297" s="7" t="n">
        <v>46166</v>
      </c>
      <c r="D1297" s="8" t="str">
        <f aca="false">INDEX(Dim_Supplier!$C$2:$C$21,MATCH(B1297,Dim_Supplier!$A$2:$A$21,0))</f>
        <v>Logistics</v>
      </c>
      <c r="E1297" s="8" t="str">
        <f aca="false">INDEX(Dim_Supplier!$B$2:$B$21,MATCH(B1297,Dim_Supplier!$A$2:$A$21,0))</f>
        <v>Maple Route Logistics</v>
      </c>
      <c r="F1297" s="5" t="s">
        <v>154</v>
      </c>
      <c r="G1297" s="5" t="s">
        <v>125</v>
      </c>
      <c r="H1297" s="8" t="n">
        <f aca="false">INDEX(Lookup_Tables!$B$2:$B$5,MATCH(D1297,Lookup_Tables!$A$2:$A$5,0))</f>
        <v>5</v>
      </c>
      <c r="I1297" s="9" t="n">
        <f aca="false">C1297+H1297</f>
        <v>46171</v>
      </c>
      <c r="J1297" s="5" t="n">
        <v>1</v>
      </c>
      <c r="K1297" s="9" t="n">
        <f aca="false">I1297+J1297</f>
        <v>46172</v>
      </c>
      <c r="L1297" s="5" t="n">
        <v>13</v>
      </c>
      <c r="M1297" s="10" t="n">
        <f aca="false">INDEX(Dim_Supplier!$F$2:$F$21,MATCH(B1297,Dim_Supplier!$A$2:$A$21,0))</f>
        <v>285</v>
      </c>
      <c r="N1297" s="11" t="n">
        <v>0.0365</v>
      </c>
      <c r="O1297" s="10" t="n">
        <f aca="false">M1297*(1+N1297)</f>
        <v>295.4025</v>
      </c>
      <c r="P1297" s="10" t="n">
        <f aca="false">O1297*L1297</f>
        <v>3840.2325</v>
      </c>
      <c r="Q1297" s="5" t="s">
        <v>113</v>
      </c>
      <c r="R1297" s="5" t="n">
        <v>0</v>
      </c>
      <c r="S1297" s="5" t="n">
        <v>60</v>
      </c>
      <c r="T1297" s="12" t="n">
        <f aca="false">(O1297-M1297)/M1297</f>
        <v>0.0364999999999999</v>
      </c>
      <c r="U1297" s="8" t="n">
        <f aca="false">IF(AND(K1297&lt;=I1297,R1297=0),1,0)</f>
        <v>0</v>
      </c>
      <c r="V1297" s="10" t="n">
        <f aca="false">IF(Q1297="No",P1297,0)</f>
        <v>0</v>
      </c>
    </row>
    <row r="1298" customFormat="false" ht="15" hidden="false" customHeight="false" outlineLevel="0" collapsed="false">
      <c r="A1298" s="5" t="s">
        <v>1432</v>
      </c>
      <c r="B1298" s="5" t="s">
        <v>46</v>
      </c>
      <c r="C1298" s="7" t="n">
        <v>45471</v>
      </c>
      <c r="D1298" s="8" t="str">
        <f aca="false">INDEX(Dim_Supplier!$C$2:$C$21,MATCH(B1298,Dim_Supplier!$A$2:$A$21,0))</f>
        <v>Raw Materials</v>
      </c>
      <c r="E1298" s="8" t="str">
        <f aca="false">INDEX(Dim_Supplier!$B$2:$B$21,MATCH(B1298,Dim_Supplier!$A$2:$A$21,0))</f>
        <v>Niagara Alloy Supply</v>
      </c>
      <c r="F1298" s="5" t="s">
        <v>144</v>
      </c>
      <c r="G1298" s="5" t="s">
        <v>129</v>
      </c>
      <c r="H1298" s="8" t="n">
        <f aca="false">INDEX(Lookup_Tables!$B$2:$B$5,MATCH(D1298,Lookup_Tables!$A$2:$A$5,0))</f>
        <v>21</v>
      </c>
      <c r="I1298" s="9" t="n">
        <f aca="false">C1298+H1298</f>
        <v>45492</v>
      </c>
      <c r="J1298" s="5" t="n">
        <v>0</v>
      </c>
      <c r="K1298" s="9" t="n">
        <f aca="false">I1298+J1298</f>
        <v>45492</v>
      </c>
      <c r="L1298" s="5" t="n">
        <v>1101</v>
      </c>
      <c r="M1298" s="10" t="n">
        <f aca="false">INDEX(Dim_Supplier!$F$2:$F$21,MATCH(B1298,Dim_Supplier!$A$2:$A$21,0))</f>
        <v>46.5</v>
      </c>
      <c r="N1298" s="11" t="n">
        <v>0.0417</v>
      </c>
      <c r="O1298" s="10" t="n">
        <f aca="false">M1298*(1+N1298)</f>
        <v>48.43905</v>
      </c>
      <c r="P1298" s="10" t="n">
        <f aca="false">O1298*L1298</f>
        <v>53331.39405</v>
      </c>
      <c r="Q1298" s="5" t="s">
        <v>113</v>
      </c>
      <c r="R1298" s="5" t="n">
        <v>0</v>
      </c>
      <c r="S1298" s="5" t="n">
        <v>60</v>
      </c>
      <c r="T1298" s="12" t="n">
        <f aca="false">(O1298-M1298)/M1298</f>
        <v>0.0417</v>
      </c>
      <c r="U1298" s="8" t="n">
        <f aca="false">IF(AND(K1298&lt;=I1298,R1298=0),1,0)</f>
        <v>1</v>
      </c>
      <c r="V1298" s="10" t="n">
        <f aca="false">IF(Q1298="No",P1298,0)</f>
        <v>0</v>
      </c>
    </row>
    <row r="1299" customFormat="false" ht="15" hidden="false" customHeight="false" outlineLevel="0" collapsed="false">
      <c r="A1299" s="5" t="s">
        <v>1433</v>
      </c>
      <c r="B1299" s="5" t="s">
        <v>62</v>
      </c>
      <c r="C1299" s="7" t="n">
        <v>45507</v>
      </c>
      <c r="D1299" s="8" t="str">
        <f aca="false">INDEX(Dim_Supplier!$C$2:$C$21,MATCH(B1299,Dim_Supplier!$A$2:$A$21,0))</f>
        <v>Packaging</v>
      </c>
      <c r="E1299" s="8" t="str">
        <f aca="false">INDEX(Dim_Supplier!$B$2:$B$21,MATCH(B1299,Dim_Supplier!$A$2:$A$21,0))</f>
        <v>Trillium Packaging Solutions</v>
      </c>
      <c r="F1299" s="5" t="s">
        <v>117</v>
      </c>
      <c r="G1299" s="5" t="s">
        <v>120</v>
      </c>
      <c r="H1299" s="8" t="n">
        <f aca="false">INDEX(Lookup_Tables!$B$2:$B$5,MATCH(D1299,Lookup_Tables!$A$2:$A$5,0))</f>
        <v>14</v>
      </c>
      <c r="I1299" s="9" t="n">
        <f aca="false">C1299+H1299</f>
        <v>45521</v>
      </c>
      <c r="J1299" s="5" t="n">
        <v>-4</v>
      </c>
      <c r="K1299" s="9" t="n">
        <f aca="false">I1299+J1299</f>
        <v>45517</v>
      </c>
      <c r="L1299" s="5" t="n">
        <v>4243</v>
      </c>
      <c r="M1299" s="10" t="n">
        <f aca="false">INDEX(Dim_Supplier!$F$2:$F$21,MATCH(B1299,Dim_Supplier!$A$2:$A$21,0))</f>
        <v>5.6</v>
      </c>
      <c r="N1299" s="11" t="n">
        <v>0.0233</v>
      </c>
      <c r="O1299" s="10" t="n">
        <f aca="false">M1299*(1+N1299)</f>
        <v>5.73048</v>
      </c>
      <c r="P1299" s="10" t="n">
        <f aca="false">O1299*L1299</f>
        <v>24314.42664</v>
      </c>
      <c r="Q1299" s="5" t="s">
        <v>113</v>
      </c>
      <c r="R1299" s="5" t="n">
        <v>0</v>
      </c>
      <c r="S1299" s="5" t="n">
        <v>30</v>
      </c>
      <c r="T1299" s="12" t="n">
        <f aca="false">(O1299-M1299)/M1299</f>
        <v>0.0233000000000001</v>
      </c>
      <c r="U1299" s="8" t="n">
        <f aca="false">IF(AND(K1299&lt;=I1299,R1299=0),1,0)</f>
        <v>1</v>
      </c>
      <c r="V1299" s="10" t="n">
        <f aca="false">IF(Q1299="No",P1299,0)</f>
        <v>0</v>
      </c>
    </row>
    <row r="1300" customFormat="false" ht="15" hidden="false" customHeight="false" outlineLevel="0" collapsed="false">
      <c r="A1300" s="5" t="s">
        <v>1434</v>
      </c>
      <c r="B1300" s="5" t="s">
        <v>88</v>
      </c>
      <c r="C1300" s="7" t="n">
        <v>45394</v>
      </c>
      <c r="D1300" s="8" t="str">
        <f aca="false">INDEX(Dim_Supplier!$C$2:$C$21,MATCH(B1300,Dim_Supplier!$A$2:$A$21,0))</f>
        <v>Logistics</v>
      </c>
      <c r="E1300" s="8" t="str">
        <f aca="false">INDEX(Dim_Supplier!$B$2:$B$21,MATCH(B1300,Dim_Supplier!$A$2:$A$21,0))</f>
        <v>Summit Last-Mile Delivery</v>
      </c>
      <c r="F1300" s="5" t="s">
        <v>146</v>
      </c>
      <c r="G1300" s="5" t="s">
        <v>120</v>
      </c>
      <c r="H1300" s="8" t="n">
        <f aca="false">INDEX(Lookup_Tables!$B$2:$B$5,MATCH(D1300,Lookup_Tables!$A$2:$A$5,0))</f>
        <v>5</v>
      </c>
      <c r="I1300" s="9" t="n">
        <f aca="false">C1300+H1300</f>
        <v>45399</v>
      </c>
      <c r="J1300" s="5" t="n">
        <v>3</v>
      </c>
      <c r="K1300" s="9" t="n">
        <f aca="false">I1300+J1300</f>
        <v>45402</v>
      </c>
      <c r="L1300" s="5" t="n">
        <v>28</v>
      </c>
      <c r="M1300" s="10" t="n">
        <f aca="false">INDEX(Dim_Supplier!$F$2:$F$21,MATCH(B1300,Dim_Supplier!$A$2:$A$21,0))</f>
        <v>95</v>
      </c>
      <c r="N1300" s="11" t="n">
        <v>0.0273</v>
      </c>
      <c r="O1300" s="10" t="n">
        <f aca="false">M1300*(1+N1300)</f>
        <v>97.5935</v>
      </c>
      <c r="P1300" s="10" t="n">
        <f aca="false">O1300*L1300</f>
        <v>2732.618</v>
      </c>
      <c r="Q1300" s="5" t="s">
        <v>133</v>
      </c>
      <c r="R1300" s="5" t="n">
        <v>0</v>
      </c>
      <c r="S1300" s="5" t="n">
        <v>30</v>
      </c>
      <c r="T1300" s="12" t="n">
        <f aca="false">(O1300-M1300)/M1300</f>
        <v>0.0273000000000001</v>
      </c>
      <c r="U1300" s="8" t="n">
        <f aca="false">IF(AND(K1300&lt;=I1300,R1300=0),1,0)</f>
        <v>0</v>
      </c>
      <c r="V1300" s="10" t="n">
        <f aca="false">IF(Q1300="No",P1300,0)</f>
        <v>2732.618</v>
      </c>
    </row>
    <row r="1301" customFormat="false" ht="15" hidden="false" customHeight="false" outlineLevel="0" collapsed="false">
      <c r="A1301" s="5" t="s">
        <v>1435</v>
      </c>
      <c r="B1301" s="5" t="s">
        <v>75</v>
      </c>
      <c r="C1301" s="7" t="n">
        <v>45958</v>
      </c>
      <c r="D1301" s="8" t="str">
        <f aca="false">INDEX(Dim_Supplier!$C$2:$C$21,MATCH(B1301,Dim_Supplier!$A$2:$A$21,0))</f>
        <v>MRO</v>
      </c>
      <c r="E1301" s="8" t="str">
        <f aca="false">INDEX(Dim_Supplier!$B$2:$B$21,MATCH(B1301,Dim_Supplier!$A$2:$A$21,0))</f>
        <v>Sterling Lubricants Inc.</v>
      </c>
      <c r="F1301" s="5" t="s">
        <v>179</v>
      </c>
      <c r="G1301" s="5" t="s">
        <v>125</v>
      </c>
      <c r="H1301" s="8" t="n">
        <f aca="false">INDEX(Lookup_Tables!$B$2:$B$5,MATCH(D1301,Lookup_Tables!$A$2:$A$5,0))</f>
        <v>10</v>
      </c>
      <c r="I1301" s="9" t="n">
        <f aca="false">C1301+H1301</f>
        <v>45968</v>
      </c>
      <c r="J1301" s="5" t="n">
        <v>2</v>
      </c>
      <c r="K1301" s="9" t="n">
        <f aca="false">I1301+J1301</f>
        <v>45970</v>
      </c>
      <c r="L1301" s="5" t="n">
        <v>191</v>
      </c>
      <c r="M1301" s="10" t="n">
        <f aca="false">INDEX(Dim_Supplier!$F$2:$F$21,MATCH(B1301,Dim_Supplier!$A$2:$A$21,0))</f>
        <v>27.1</v>
      </c>
      <c r="N1301" s="11" t="n">
        <v>0.0251</v>
      </c>
      <c r="O1301" s="10" t="n">
        <f aca="false">M1301*(1+N1301)</f>
        <v>27.78021</v>
      </c>
      <c r="P1301" s="10" t="n">
        <f aca="false">O1301*L1301</f>
        <v>5306.02011</v>
      </c>
      <c r="Q1301" s="5" t="s">
        <v>113</v>
      </c>
      <c r="R1301" s="5" t="n">
        <v>0</v>
      </c>
      <c r="S1301" s="5" t="n">
        <v>30</v>
      </c>
      <c r="T1301" s="12" t="n">
        <f aca="false">(O1301-M1301)/M1301</f>
        <v>0.0251</v>
      </c>
      <c r="U1301" s="8" t="n">
        <f aca="false">IF(AND(K1301&lt;=I1301,R1301=0),1,0)</f>
        <v>0</v>
      </c>
      <c r="V1301" s="10" t="n">
        <f aca="false">IF(Q1301="No",P1301,0)</f>
        <v>0</v>
      </c>
    </row>
    <row r="1302" customFormat="false" ht="15" hidden="false" customHeight="false" outlineLevel="0" collapsed="false">
      <c r="A1302" s="5" t="s">
        <v>1436</v>
      </c>
      <c r="B1302" s="5" t="s">
        <v>52</v>
      </c>
      <c r="C1302" s="7" t="n">
        <v>45870</v>
      </c>
      <c r="D1302" s="8" t="str">
        <f aca="false">INDEX(Dim_Supplier!$C$2:$C$21,MATCH(B1302,Dim_Supplier!$A$2:$A$21,0))</f>
        <v>Raw Materials</v>
      </c>
      <c r="E1302" s="8" t="str">
        <f aca="false">INDEX(Dim_Supplier!$B$2:$B$21,MATCH(B1302,Dim_Supplier!$A$2:$A$21,0))</f>
        <v>Laurentian Metals Inc.</v>
      </c>
      <c r="F1302" s="5" t="s">
        <v>148</v>
      </c>
      <c r="G1302" s="5" t="s">
        <v>112</v>
      </c>
      <c r="H1302" s="8" t="n">
        <f aca="false">INDEX(Lookup_Tables!$B$2:$B$5,MATCH(D1302,Lookup_Tables!$A$2:$A$5,0))</f>
        <v>21</v>
      </c>
      <c r="I1302" s="9" t="n">
        <f aca="false">C1302+H1302</f>
        <v>45891</v>
      </c>
      <c r="J1302" s="5" t="n">
        <v>-4</v>
      </c>
      <c r="K1302" s="9" t="n">
        <f aca="false">I1302+J1302</f>
        <v>45887</v>
      </c>
      <c r="L1302" s="5" t="n">
        <v>1062</v>
      </c>
      <c r="M1302" s="10" t="n">
        <f aca="false">INDEX(Dim_Supplier!$F$2:$F$21,MATCH(B1302,Dim_Supplier!$A$2:$A$21,0))</f>
        <v>61.2</v>
      </c>
      <c r="N1302" s="11" t="n">
        <v>0.0187</v>
      </c>
      <c r="O1302" s="10" t="n">
        <f aca="false">M1302*(1+N1302)</f>
        <v>62.34444</v>
      </c>
      <c r="P1302" s="10" t="n">
        <f aca="false">O1302*L1302</f>
        <v>66209.79528</v>
      </c>
      <c r="Q1302" s="5" t="s">
        <v>113</v>
      </c>
      <c r="R1302" s="5" t="n">
        <v>0</v>
      </c>
      <c r="S1302" s="5" t="n">
        <v>60</v>
      </c>
      <c r="T1302" s="12" t="n">
        <f aca="false">(O1302-M1302)/M1302</f>
        <v>0.0186999999999999</v>
      </c>
      <c r="U1302" s="8" t="n">
        <f aca="false">IF(AND(K1302&lt;=I1302,R1302=0),1,0)</f>
        <v>1</v>
      </c>
      <c r="V1302" s="10" t="n">
        <f aca="false">IF(Q1302="No",P1302,0)</f>
        <v>0</v>
      </c>
    </row>
    <row r="1303" customFormat="false" ht="15" hidden="false" customHeight="false" outlineLevel="0" collapsed="false">
      <c r="A1303" s="5" t="s">
        <v>1437</v>
      </c>
      <c r="B1303" s="5" t="s">
        <v>82</v>
      </c>
      <c r="C1303" s="7" t="n">
        <v>45968</v>
      </c>
      <c r="D1303" s="8" t="str">
        <f aca="false">INDEX(Dim_Supplier!$C$2:$C$21,MATCH(B1303,Dim_Supplier!$A$2:$A$21,0))</f>
        <v>Logistics</v>
      </c>
      <c r="E1303" s="8" t="str">
        <f aca="false">INDEX(Dim_Supplier!$B$2:$B$21,MATCH(B1303,Dim_Supplier!$A$2:$A$21,0))</f>
        <v>Maple Route Logistics</v>
      </c>
      <c r="F1303" s="5" t="s">
        <v>146</v>
      </c>
      <c r="G1303" s="5" t="s">
        <v>120</v>
      </c>
      <c r="H1303" s="8" t="n">
        <f aca="false">INDEX(Lookup_Tables!$B$2:$B$5,MATCH(D1303,Lookup_Tables!$A$2:$A$5,0))</f>
        <v>5</v>
      </c>
      <c r="I1303" s="9" t="n">
        <f aca="false">C1303+H1303</f>
        <v>45973</v>
      </c>
      <c r="J1303" s="5" t="n">
        <v>-4</v>
      </c>
      <c r="K1303" s="9" t="n">
        <f aca="false">I1303+J1303</f>
        <v>45969</v>
      </c>
      <c r="L1303" s="5" t="n">
        <v>27</v>
      </c>
      <c r="M1303" s="10" t="n">
        <f aca="false">INDEX(Dim_Supplier!$F$2:$F$21,MATCH(B1303,Dim_Supplier!$A$2:$A$21,0))</f>
        <v>285</v>
      </c>
      <c r="N1303" s="11" t="n">
        <v>0.0049</v>
      </c>
      <c r="O1303" s="10" t="n">
        <f aca="false">M1303*(1+N1303)</f>
        <v>286.3965</v>
      </c>
      <c r="P1303" s="10" t="n">
        <f aca="false">O1303*L1303</f>
        <v>7732.7055</v>
      </c>
      <c r="Q1303" s="5" t="s">
        <v>113</v>
      </c>
      <c r="R1303" s="5" t="n">
        <v>0</v>
      </c>
      <c r="S1303" s="5" t="n">
        <v>60</v>
      </c>
      <c r="T1303" s="12" t="n">
        <f aca="false">(O1303-M1303)/M1303</f>
        <v>0.00489999999999981</v>
      </c>
      <c r="U1303" s="8" t="n">
        <f aca="false">IF(AND(K1303&lt;=I1303,R1303=0),1,0)</f>
        <v>1</v>
      </c>
      <c r="V1303" s="10" t="n">
        <f aca="false">IF(Q1303="No",P1303,0)</f>
        <v>0</v>
      </c>
    </row>
    <row r="1304" customFormat="false" ht="15" hidden="false" customHeight="false" outlineLevel="0" collapsed="false">
      <c r="A1304" s="5" t="s">
        <v>1438</v>
      </c>
      <c r="B1304" s="5" t="s">
        <v>77</v>
      </c>
      <c r="C1304" s="7" t="n">
        <v>46121</v>
      </c>
      <c r="D1304" s="8" t="str">
        <f aca="false">INDEX(Dim_Supplier!$C$2:$C$21,MATCH(B1304,Dim_Supplier!$A$2:$A$21,0))</f>
        <v>MRO</v>
      </c>
      <c r="E1304" s="8" t="str">
        <f aca="false">INDEX(Dim_Supplier!$B$2:$B$21,MATCH(B1304,Dim_Supplier!$A$2:$A$21,0))</f>
        <v>Apex Industrial Supply</v>
      </c>
      <c r="F1304" s="5" t="s">
        <v>164</v>
      </c>
      <c r="G1304" s="5" t="s">
        <v>120</v>
      </c>
      <c r="H1304" s="8" t="n">
        <f aca="false">INDEX(Lookup_Tables!$B$2:$B$5,MATCH(D1304,Lookup_Tables!$A$2:$A$5,0))</f>
        <v>10</v>
      </c>
      <c r="I1304" s="9" t="n">
        <f aca="false">C1304+H1304</f>
        <v>46131</v>
      </c>
      <c r="J1304" s="5" t="n">
        <v>0</v>
      </c>
      <c r="K1304" s="9" t="n">
        <f aca="false">I1304+J1304</f>
        <v>46131</v>
      </c>
      <c r="L1304" s="5" t="n">
        <v>46</v>
      </c>
      <c r="M1304" s="10" t="n">
        <f aca="false">INDEX(Dim_Supplier!$F$2:$F$21,MATCH(B1304,Dim_Supplier!$A$2:$A$21,0))</f>
        <v>24.6</v>
      </c>
      <c r="N1304" s="11" t="n">
        <v>0.0434</v>
      </c>
      <c r="O1304" s="10" t="n">
        <f aca="false">M1304*(1+N1304)</f>
        <v>25.66764</v>
      </c>
      <c r="P1304" s="10" t="n">
        <f aca="false">O1304*L1304</f>
        <v>1180.71144</v>
      </c>
      <c r="Q1304" s="5" t="s">
        <v>113</v>
      </c>
      <c r="R1304" s="5" t="n">
        <v>0</v>
      </c>
      <c r="S1304" s="5" t="n">
        <v>30</v>
      </c>
      <c r="T1304" s="12" t="n">
        <f aca="false">(O1304-M1304)/M1304</f>
        <v>0.0434000000000002</v>
      </c>
      <c r="U1304" s="8" t="n">
        <f aca="false">IF(AND(K1304&lt;=I1304,R1304=0),1,0)</f>
        <v>1</v>
      </c>
      <c r="V1304" s="10" t="n">
        <f aca="false">IF(Q1304="No",P1304,0)</f>
        <v>0</v>
      </c>
    </row>
    <row r="1305" customFormat="false" ht="15" hidden="false" customHeight="false" outlineLevel="0" collapsed="false">
      <c r="A1305" s="5" t="s">
        <v>1439</v>
      </c>
      <c r="B1305" s="5" t="s">
        <v>60</v>
      </c>
      <c r="C1305" s="7" t="n">
        <v>46153</v>
      </c>
      <c r="D1305" s="8" t="str">
        <f aca="false">INDEX(Dim_Supplier!$C$2:$C$21,MATCH(B1305,Dim_Supplier!$A$2:$A$21,0))</f>
        <v>Packaging</v>
      </c>
      <c r="E1305" s="8" t="str">
        <f aca="false">INDEX(Dim_Supplier!$B$2:$B$21,MATCH(B1305,Dim_Supplier!$A$2:$A$21,0))</f>
        <v>Maple Leaf Box &amp; Crate</v>
      </c>
      <c r="F1305" s="5" t="s">
        <v>119</v>
      </c>
      <c r="G1305" s="5" t="s">
        <v>120</v>
      </c>
      <c r="H1305" s="8" t="n">
        <f aca="false">INDEX(Lookup_Tables!$B$2:$B$5,MATCH(D1305,Lookup_Tables!$A$2:$A$5,0))</f>
        <v>14</v>
      </c>
      <c r="I1305" s="9" t="n">
        <f aca="false">C1305+H1305</f>
        <v>46167</v>
      </c>
      <c r="J1305" s="5" t="n">
        <v>-1</v>
      </c>
      <c r="K1305" s="9" t="n">
        <f aca="false">I1305+J1305</f>
        <v>46166</v>
      </c>
      <c r="L1305" s="5" t="n">
        <v>733</v>
      </c>
      <c r="M1305" s="10" t="n">
        <f aca="false">INDEX(Dim_Supplier!$F$2:$F$21,MATCH(B1305,Dim_Supplier!$A$2:$A$21,0))</f>
        <v>3.1</v>
      </c>
      <c r="N1305" s="11" t="n">
        <v>0.0408</v>
      </c>
      <c r="O1305" s="10" t="n">
        <f aca="false">M1305*(1+N1305)</f>
        <v>3.22648</v>
      </c>
      <c r="P1305" s="10" t="n">
        <f aca="false">O1305*L1305</f>
        <v>2365.00984</v>
      </c>
      <c r="Q1305" s="5" t="s">
        <v>133</v>
      </c>
      <c r="R1305" s="5" t="n">
        <v>0</v>
      </c>
      <c r="S1305" s="5" t="n">
        <v>60</v>
      </c>
      <c r="T1305" s="12" t="n">
        <f aca="false">(O1305-M1305)/M1305</f>
        <v>0.0408</v>
      </c>
      <c r="U1305" s="8" t="n">
        <f aca="false">IF(AND(K1305&lt;=I1305,R1305=0),1,0)</f>
        <v>1</v>
      </c>
      <c r="V1305" s="10" t="n">
        <f aca="false">IF(Q1305="No",P1305,0)</f>
        <v>2365.00984</v>
      </c>
    </row>
    <row r="1306" customFormat="false" ht="15" hidden="false" customHeight="false" outlineLevel="0" collapsed="false">
      <c r="A1306" s="5" t="s">
        <v>1440</v>
      </c>
      <c r="B1306" s="5" t="s">
        <v>86</v>
      </c>
      <c r="C1306" s="7" t="n">
        <v>45339</v>
      </c>
      <c r="D1306" s="8" t="str">
        <f aca="false">INDEX(Dim_Supplier!$C$2:$C$21,MATCH(B1306,Dim_Supplier!$A$2:$A$21,0))</f>
        <v>Logistics</v>
      </c>
      <c r="E1306" s="8" t="str">
        <f aca="false">INDEX(Dim_Supplier!$B$2:$B$21,MATCH(B1306,Dim_Supplier!$A$2:$A$21,0))</f>
        <v>Blue Water Customs Brokerage</v>
      </c>
      <c r="F1306" s="5" t="s">
        <v>185</v>
      </c>
      <c r="G1306" s="5" t="s">
        <v>125</v>
      </c>
      <c r="H1306" s="8" t="n">
        <f aca="false">INDEX(Lookup_Tables!$B$2:$B$5,MATCH(D1306,Lookup_Tables!$A$2:$A$5,0))</f>
        <v>5</v>
      </c>
      <c r="I1306" s="9" t="n">
        <f aca="false">C1306+H1306</f>
        <v>45344</v>
      </c>
      <c r="J1306" s="5" t="n">
        <v>-2</v>
      </c>
      <c r="K1306" s="9" t="n">
        <f aca="false">I1306+J1306</f>
        <v>45342</v>
      </c>
      <c r="L1306" s="5" t="n">
        <v>11</v>
      </c>
      <c r="M1306" s="10" t="n">
        <f aca="false">INDEX(Dim_Supplier!$F$2:$F$21,MATCH(B1306,Dim_Supplier!$A$2:$A$21,0))</f>
        <v>175</v>
      </c>
      <c r="N1306" s="11" t="n">
        <v>-0.0219</v>
      </c>
      <c r="O1306" s="10" t="n">
        <f aca="false">M1306*(1+N1306)</f>
        <v>171.1675</v>
      </c>
      <c r="P1306" s="10" t="n">
        <f aca="false">O1306*L1306</f>
        <v>1882.8425</v>
      </c>
      <c r="Q1306" s="5" t="s">
        <v>113</v>
      </c>
      <c r="R1306" s="5" t="n">
        <v>0</v>
      </c>
      <c r="S1306" s="5" t="n">
        <v>60</v>
      </c>
      <c r="T1306" s="12" t="n">
        <f aca="false">(O1306-M1306)/M1306</f>
        <v>-0.0219000000000001</v>
      </c>
      <c r="U1306" s="8" t="n">
        <f aca="false">IF(AND(K1306&lt;=I1306,R1306=0),1,0)</f>
        <v>1</v>
      </c>
      <c r="V1306" s="10" t="n">
        <f aca="false">IF(Q1306="No",P1306,0)</f>
        <v>0</v>
      </c>
    </row>
    <row r="1307" customFormat="false" ht="15" hidden="false" customHeight="false" outlineLevel="0" collapsed="false">
      <c r="A1307" s="5" t="s">
        <v>1441</v>
      </c>
      <c r="B1307" s="5" t="s">
        <v>46</v>
      </c>
      <c r="C1307" s="7" t="n">
        <v>45359</v>
      </c>
      <c r="D1307" s="8" t="str">
        <f aca="false">INDEX(Dim_Supplier!$C$2:$C$21,MATCH(B1307,Dim_Supplier!$A$2:$A$21,0))</f>
        <v>Raw Materials</v>
      </c>
      <c r="E1307" s="8" t="str">
        <f aca="false">INDEX(Dim_Supplier!$B$2:$B$21,MATCH(B1307,Dim_Supplier!$A$2:$A$21,0))</f>
        <v>Niagara Alloy Supply</v>
      </c>
      <c r="F1307" s="5" t="s">
        <v>148</v>
      </c>
      <c r="G1307" s="5" t="s">
        <v>125</v>
      </c>
      <c r="H1307" s="8" t="n">
        <f aca="false">INDEX(Lookup_Tables!$B$2:$B$5,MATCH(D1307,Lookup_Tables!$A$2:$A$5,0))</f>
        <v>21</v>
      </c>
      <c r="I1307" s="9" t="n">
        <f aca="false">C1307+H1307</f>
        <v>45380</v>
      </c>
      <c r="J1307" s="5" t="n">
        <v>-3</v>
      </c>
      <c r="K1307" s="9" t="n">
        <f aca="false">I1307+J1307</f>
        <v>45377</v>
      </c>
      <c r="L1307" s="5" t="n">
        <v>1939</v>
      </c>
      <c r="M1307" s="10" t="n">
        <f aca="false">INDEX(Dim_Supplier!$F$2:$F$21,MATCH(B1307,Dim_Supplier!$A$2:$A$21,0))</f>
        <v>46.5</v>
      </c>
      <c r="N1307" s="11" t="n">
        <v>0.0346</v>
      </c>
      <c r="O1307" s="10" t="n">
        <f aca="false">M1307*(1+N1307)</f>
        <v>48.1089</v>
      </c>
      <c r="P1307" s="10" t="n">
        <f aca="false">O1307*L1307</f>
        <v>93283.1571</v>
      </c>
      <c r="Q1307" s="5" t="s">
        <v>113</v>
      </c>
      <c r="R1307" s="5" t="n">
        <v>0</v>
      </c>
      <c r="S1307" s="5" t="n">
        <v>45</v>
      </c>
      <c r="T1307" s="12" t="n">
        <f aca="false">(O1307-M1307)/M1307</f>
        <v>0.0346</v>
      </c>
      <c r="U1307" s="8" t="n">
        <f aca="false">IF(AND(K1307&lt;=I1307,R1307=0),1,0)</f>
        <v>1</v>
      </c>
      <c r="V1307" s="10" t="n">
        <f aca="false">IF(Q1307="No",P1307,0)</f>
        <v>0</v>
      </c>
    </row>
    <row r="1308" customFormat="false" ht="15" hidden="false" customHeight="false" outlineLevel="0" collapsed="false">
      <c r="A1308" s="5" t="s">
        <v>1442</v>
      </c>
      <c r="B1308" s="5" t="s">
        <v>71</v>
      </c>
      <c r="C1308" s="7" t="n">
        <v>45610</v>
      </c>
      <c r="D1308" s="8" t="str">
        <f aca="false">INDEX(Dim_Supplier!$C$2:$C$21,MATCH(B1308,Dim_Supplier!$A$2:$A$21,0))</f>
        <v>MRO</v>
      </c>
      <c r="E1308" s="8" t="str">
        <f aca="false">INDEX(Dim_Supplier!$B$2:$B$21,MATCH(B1308,Dim_Supplier!$A$2:$A$21,0))</f>
        <v>CanSafe Equipment Ltd.</v>
      </c>
      <c r="F1308" s="5" t="s">
        <v>179</v>
      </c>
      <c r="G1308" s="5" t="s">
        <v>125</v>
      </c>
      <c r="H1308" s="8" t="n">
        <f aca="false">INDEX(Lookup_Tables!$B$2:$B$5,MATCH(D1308,Lookup_Tables!$A$2:$A$5,0))</f>
        <v>10</v>
      </c>
      <c r="I1308" s="9" t="n">
        <f aca="false">C1308+H1308</f>
        <v>45620</v>
      </c>
      <c r="J1308" s="5" t="n">
        <v>0</v>
      </c>
      <c r="K1308" s="9" t="n">
        <f aca="false">I1308+J1308</f>
        <v>45620</v>
      </c>
      <c r="L1308" s="5" t="n">
        <v>87</v>
      </c>
      <c r="M1308" s="10" t="n">
        <f aca="false">INDEX(Dim_Supplier!$F$2:$F$21,MATCH(B1308,Dim_Supplier!$A$2:$A$21,0))</f>
        <v>18.75</v>
      </c>
      <c r="N1308" s="11" t="n">
        <v>0.0209</v>
      </c>
      <c r="O1308" s="10" t="n">
        <f aca="false">M1308*(1+N1308)</f>
        <v>19.141875</v>
      </c>
      <c r="P1308" s="10" t="n">
        <f aca="false">O1308*L1308</f>
        <v>1665.343125</v>
      </c>
      <c r="Q1308" s="5" t="s">
        <v>113</v>
      </c>
      <c r="R1308" s="5" t="n">
        <v>0</v>
      </c>
      <c r="S1308" s="5" t="n">
        <v>45</v>
      </c>
      <c r="T1308" s="12" t="n">
        <f aca="false">(O1308-M1308)/M1308</f>
        <v>0.0208999999999999</v>
      </c>
      <c r="U1308" s="8" t="n">
        <f aca="false">IF(AND(K1308&lt;=I1308,R1308=0),1,0)</f>
        <v>1</v>
      </c>
      <c r="V1308" s="10" t="n">
        <f aca="false">IF(Q1308="No",P1308,0)</f>
        <v>0</v>
      </c>
    </row>
    <row r="1309" customFormat="false" ht="15" hidden="false" customHeight="false" outlineLevel="0" collapsed="false">
      <c r="A1309" s="5" t="s">
        <v>1443</v>
      </c>
      <c r="B1309" s="5" t="s">
        <v>75</v>
      </c>
      <c r="C1309" s="7" t="n">
        <v>45781</v>
      </c>
      <c r="D1309" s="8" t="str">
        <f aca="false">INDEX(Dim_Supplier!$C$2:$C$21,MATCH(B1309,Dim_Supplier!$A$2:$A$21,0))</f>
        <v>MRO</v>
      </c>
      <c r="E1309" s="8" t="str">
        <f aca="false">INDEX(Dim_Supplier!$B$2:$B$21,MATCH(B1309,Dim_Supplier!$A$2:$A$21,0))</f>
        <v>Sterling Lubricants Inc.</v>
      </c>
      <c r="F1309" s="5" t="s">
        <v>179</v>
      </c>
      <c r="G1309" s="5" t="s">
        <v>112</v>
      </c>
      <c r="H1309" s="8" t="n">
        <f aca="false">INDEX(Lookup_Tables!$B$2:$B$5,MATCH(D1309,Lookup_Tables!$A$2:$A$5,0))</f>
        <v>10</v>
      </c>
      <c r="I1309" s="9" t="n">
        <f aca="false">C1309+H1309</f>
        <v>45791</v>
      </c>
      <c r="J1309" s="5" t="n">
        <v>-1</v>
      </c>
      <c r="K1309" s="9" t="n">
        <f aca="false">I1309+J1309</f>
        <v>45790</v>
      </c>
      <c r="L1309" s="5" t="n">
        <v>41</v>
      </c>
      <c r="M1309" s="10" t="n">
        <f aca="false">INDEX(Dim_Supplier!$F$2:$F$21,MATCH(B1309,Dim_Supplier!$A$2:$A$21,0))</f>
        <v>27.1</v>
      </c>
      <c r="N1309" s="11" t="n">
        <v>0.0371</v>
      </c>
      <c r="O1309" s="10" t="n">
        <f aca="false">M1309*(1+N1309)</f>
        <v>28.10541</v>
      </c>
      <c r="P1309" s="10" t="n">
        <f aca="false">O1309*L1309</f>
        <v>1152.32181</v>
      </c>
      <c r="Q1309" s="5" t="s">
        <v>113</v>
      </c>
      <c r="R1309" s="5" t="n">
        <v>0</v>
      </c>
      <c r="S1309" s="5" t="n">
        <v>30</v>
      </c>
      <c r="T1309" s="12" t="n">
        <f aca="false">(O1309-M1309)/M1309</f>
        <v>0.0370999999999999</v>
      </c>
      <c r="U1309" s="8" t="n">
        <f aca="false">IF(AND(K1309&lt;=I1309,R1309=0),1,0)</f>
        <v>1</v>
      </c>
      <c r="V1309" s="10" t="n">
        <f aca="false">IF(Q1309="No",P1309,0)</f>
        <v>0</v>
      </c>
    </row>
    <row r="1310" customFormat="false" ht="15" hidden="false" customHeight="false" outlineLevel="0" collapsed="false">
      <c r="A1310" s="5" t="s">
        <v>1444</v>
      </c>
      <c r="B1310" s="5" t="s">
        <v>60</v>
      </c>
      <c r="C1310" s="7" t="n">
        <v>46200</v>
      </c>
      <c r="D1310" s="8" t="str">
        <f aca="false">INDEX(Dim_Supplier!$C$2:$C$21,MATCH(B1310,Dim_Supplier!$A$2:$A$21,0))</f>
        <v>Packaging</v>
      </c>
      <c r="E1310" s="8" t="str">
        <f aca="false">INDEX(Dim_Supplier!$B$2:$B$21,MATCH(B1310,Dim_Supplier!$A$2:$A$21,0))</f>
        <v>Maple Leaf Box &amp; Crate</v>
      </c>
      <c r="F1310" s="5" t="s">
        <v>122</v>
      </c>
      <c r="G1310" s="5" t="s">
        <v>129</v>
      </c>
      <c r="H1310" s="8" t="n">
        <f aca="false">INDEX(Lookup_Tables!$B$2:$B$5,MATCH(D1310,Lookup_Tables!$A$2:$A$5,0))</f>
        <v>14</v>
      </c>
      <c r="I1310" s="9" t="n">
        <f aca="false">C1310+H1310</f>
        <v>46214</v>
      </c>
      <c r="J1310" s="5" t="n">
        <v>-1</v>
      </c>
      <c r="K1310" s="9" t="n">
        <f aca="false">I1310+J1310</f>
        <v>46213</v>
      </c>
      <c r="L1310" s="5" t="n">
        <v>2966</v>
      </c>
      <c r="M1310" s="10" t="n">
        <f aca="false">INDEX(Dim_Supplier!$F$2:$F$21,MATCH(B1310,Dim_Supplier!$A$2:$A$21,0))</f>
        <v>3.1</v>
      </c>
      <c r="N1310" s="11" t="n">
        <v>0.0552</v>
      </c>
      <c r="O1310" s="10" t="n">
        <f aca="false">M1310*(1+N1310)</f>
        <v>3.27112</v>
      </c>
      <c r="P1310" s="10" t="n">
        <f aca="false">O1310*L1310</f>
        <v>9702.14192</v>
      </c>
      <c r="Q1310" s="5" t="s">
        <v>113</v>
      </c>
      <c r="R1310" s="5" t="n">
        <v>0</v>
      </c>
      <c r="S1310" s="5" t="n">
        <v>45</v>
      </c>
      <c r="T1310" s="12" t="n">
        <f aca="false">(O1310-M1310)/M1310</f>
        <v>0.0551999999999999</v>
      </c>
      <c r="U1310" s="8" t="n">
        <f aca="false">IF(AND(K1310&lt;=I1310,R1310=0),1,0)</f>
        <v>1</v>
      </c>
      <c r="V1310" s="10" t="n">
        <f aca="false">IF(Q1310="No",P1310,0)</f>
        <v>0</v>
      </c>
    </row>
    <row r="1311" customFormat="false" ht="15" hidden="false" customHeight="false" outlineLevel="0" collapsed="false">
      <c r="A1311" s="5" t="s">
        <v>1445</v>
      </c>
      <c r="B1311" s="5" t="s">
        <v>66</v>
      </c>
      <c r="C1311" s="7" t="n">
        <v>45883</v>
      </c>
      <c r="D1311" s="8" t="str">
        <f aca="false">INDEX(Dim_Supplier!$C$2:$C$21,MATCH(B1311,Dim_Supplier!$A$2:$A$21,0))</f>
        <v>Packaging</v>
      </c>
      <c r="E1311" s="8" t="str">
        <f aca="false">INDEX(Dim_Supplier!$B$2:$B$21,MATCH(B1311,Dim_Supplier!$A$2:$A$21,0))</f>
        <v>EverGreen Wrap Industries</v>
      </c>
      <c r="F1311" s="5" t="s">
        <v>119</v>
      </c>
      <c r="G1311" s="5" t="s">
        <v>112</v>
      </c>
      <c r="H1311" s="8" t="n">
        <f aca="false">INDEX(Lookup_Tables!$B$2:$B$5,MATCH(D1311,Lookup_Tables!$A$2:$A$5,0))</f>
        <v>14</v>
      </c>
      <c r="I1311" s="9" t="n">
        <f aca="false">C1311+H1311</f>
        <v>45897</v>
      </c>
      <c r="J1311" s="5" t="n">
        <v>-2</v>
      </c>
      <c r="K1311" s="9" t="n">
        <f aca="false">I1311+J1311</f>
        <v>45895</v>
      </c>
      <c r="L1311" s="5" t="n">
        <v>1689</v>
      </c>
      <c r="M1311" s="10" t="n">
        <f aca="false">INDEX(Dim_Supplier!$F$2:$F$21,MATCH(B1311,Dim_Supplier!$A$2:$A$21,0))</f>
        <v>6.8</v>
      </c>
      <c r="N1311" s="11" t="n">
        <v>0.0771</v>
      </c>
      <c r="O1311" s="10" t="n">
        <f aca="false">M1311*(1+N1311)</f>
        <v>7.32428</v>
      </c>
      <c r="P1311" s="10" t="n">
        <f aca="false">O1311*L1311</f>
        <v>12370.70892</v>
      </c>
      <c r="Q1311" s="5" t="s">
        <v>113</v>
      </c>
      <c r="R1311" s="5" t="n">
        <v>0</v>
      </c>
      <c r="S1311" s="5" t="n">
        <v>30</v>
      </c>
      <c r="T1311" s="12" t="n">
        <f aca="false">(O1311-M1311)/M1311</f>
        <v>0.0770999999999999</v>
      </c>
      <c r="U1311" s="8" t="n">
        <f aca="false">IF(AND(K1311&lt;=I1311,R1311=0),1,0)</f>
        <v>1</v>
      </c>
      <c r="V1311" s="10" t="n">
        <f aca="false">IF(Q1311="No",P1311,0)</f>
        <v>0</v>
      </c>
    </row>
    <row r="1312" customFormat="false" ht="15" hidden="false" customHeight="false" outlineLevel="0" collapsed="false">
      <c r="A1312" s="5" t="s">
        <v>1446</v>
      </c>
      <c r="B1312" s="5" t="s">
        <v>86</v>
      </c>
      <c r="C1312" s="7" t="n">
        <v>45686</v>
      </c>
      <c r="D1312" s="8" t="str">
        <f aca="false">INDEX(Dim_Supplier!$C$2:$C$21,MATCH(B1312,Dim_Supplier!$A$2:$A$21,0))</f>
        <v>Logistics</v>
      </c>
      <c r="E1312" s="8" t="str">
        <f aca="false">INDEX(Dim_Supplier!$B$2:$B$21,MATCH(B1312,Dim_Supplier!$A$2:$A$21,0))</f>
        <v>Blue Water Customs Brokerage</v>
      </c>
      <c r="F1312" s="5" t="s">
        <v>124</v>
      </c>
      <c r="G1312" s="5" t="s">
        <v>112</v>
      </c>
      <c r="H1312" s="8" t="n">
        <f aca="false">INDEX(Lookup_Tables!$B$2:$B$5,MATCH(D1312,Lookup_Tables!$A$2:$A$5,0))</f>
        <v>5</v>
      </c>
      <c r="I1312" s="9" t="n">
        <f aca="false">C1312+H1312</f>
        <v>45691</v>
      </c>
      <c r="J1312" s="5" t="n">
        <v>-2</v>
      </c>
      <c r="K1312" s="9" t="n">
        <f aca="false">I1312+J1312</f>
        <v>45689</v>
      </c>
      <c r="L1312" s="5" t="n">
        <v>41</v>
      </c>
      <c r="M1312" s="10" t="n">
        <f aca="false">INDEX(Dim_Supplier!$F$2:$F$21,MATCH(B1312,Dim_Supplier!$A$2:$A$21,0))</f>
        <v>175</v>
      </c>
      <c r="N1312" s="11" t="n">
        <v>0.0096</v>
      </c>
      <c r="O1312" s="10" t="n">
        <f aca="false">M1312*(1+N1312)</f>
        <v>176.68</v>
      </c>
      <c r="P1312" s="10" t="n">
        <f aca="false">O1312*L1312</f>
        <v>7243.88</v>
      </c>
      <c r="Q1312" s="5" t="s">
        <v>113</v>
      </c>
      <c r="R1312" s="5" t="n">
        <v>0</v>
      </c>
      <c r="S1312" s="5" t="n">
        <v>30</v>
      </c>
      <c r="T1312" s="12" t="n">
        <f aca="false">(O1312-M1312)/M1312</f>
        <v>0.00960000000000004</v>
      </c>
      <c r="U1312" s="8" t="n">
        <f aca="false">IF(AND(K1312&lt;=I1312,R1312=0),1,0)</f>
        <v>1</v>
      </c>
      <c r="V1312" s="10" t="n">
        <f aca="false">IF(Q1312="No",P1312,0)</f>
        <v>0</v>
      </c>
    </row>
    <row r="1313" customFormat="false" ht="15" hidden="false" customHeight="false" outlineLevel="0" collapsed="false">
      <c r="A1313" s="5" t="s">
        <v>1447</v>
      </c>
      <c r="B1313" s="5" t="s">
        <v>57</v>
      </c>
      <c r="C1313" s="7" t="n">
        <v>45877</v>
      </c>
      <c r="D1313" s="8" t="str">
        <f aca="false">INDEX(Dim_Supplier!$C$2:$C$21,MATCH(B1313,Dim_Supplier!$A$2:$A$21,0))</f>
        <v>Packaging</v>
      </c>
      <c r="E1313" s="8" t="str">
        <f aca="false">INDEX(Dim_Supplier!$B$2:$B$21,MATCH(B1313,Dim_Supplier!$A$2:$A$21,0))</f>
        <v>Great Lakes Packaging Co.</v>
      </c>
      <c r="F1313" s="5" t="s">
        <v>137</v>
      </c>
      <c r="G1313" s="5" t="s">
        <v>125</v>
      </c>
      <c r="H1313" s="8" t="n">
        <f aca="false">INDEX(Lookup_Tables!$B$2:$B$5,MATCH(D1313,Lookup_Tables!$A$2:$A$5,0))</f>
        <v>14</v>
      </c>
      <c r="I1313" s="9" t="n">
        <f aca="false">C1313+H1313</f>
        <v>45891</v>
      </c>
      <c r="J1313" s="5" t="n">
        <v>-2</v>
      </c>
      <c r="K1313" s="9" t="n">
        <f aca="false">I1313+J1313</f>
        <v>45889</v>
      </c>
      <c r="L1313" s="5" t="n">
        <v>3823</v>
      </c>
      <c r="M1313" s="10" t="n">
        <f aca="false">INDEX(Dim_Supplier!$F$2:$F$21,MATCH(B1313,Dim_Supplier!$A$2:$A$21,0))</f>
        <v>4.35</v>
      </c>
      <c r="N1313" s="11" t="n">
        <v>-0.0001</v>
      </c>
      <c r="O1313" s="10" t="n">
        <f aca="false">M1313*(1+N1313)</f>
        <v>4.349565</v>
      </c>
      <c r="P1313" s="10" t="n">
        <f aca="false">O1313*L1313</f>
        <v>16628.386995</v>
      </c>
      <c r="Q1313" s="5" t="s">
        <v>113</v>
      </c>
      <c r="R1313" s="5" t="n">
        <v>0</v>
      </c>
      <c r="S1313" s="5" t="n">
        <v>45</v>
      </c>
      <c r="T1313" s="12" t="n">
        <f aca="false">(O1313-M1313)/M1313</f>
        <v>-9.99999999998895E-005</v>
      </c>
      <c r="U1313" s="8" t="n">
        <f aca="false">IF(AND(K1313&lt;=I1313,R1313=0),1,0)</f>
        <v>1</v>
      </c>
      <c r="V1313" s="10" t="n">
        <f aca="false">IF(Q1313="No",P1313,0)</f>
        <v>0</v>
      </c>
    </row>
    <row r="1314" customFormat="false" ht="15" hidden="false" customHeight="false" outlineLevel="0" collapsed="false">
      <c r="A1314" s="5" t="s">
        <v>1448</v>
      </c>
      <c r="B1314" s="5" t="s">
        <v>68</v>
      </c>
      <c r="C1314" s="7" t="n">
        <v>45412</v>
      </c>
      <c r="D1314" s="8" t="str">
        <f aca="false">INDEX(Dim_Supplier!$C$2:$C$21,MATCH(B1314,Dim_Supplier!$A$2:$A$21,0))</f>
        <v>MRO</v>
      </c>
      <c r="E1314" s="8" t="str">
        <f aca="false">INDEX(Dim_Supplier!$B$2:$B$21,MATCH(B1314,Dim_Supplier!$A$2:$A$21,0))</f>
        <v>Precision Tool &amp; Supply</v>
      </c>
      <c r="F1314" s="5" t="s">
        <v>111</v>
      </c>
      <c r="G1314" s="5" t="s">
        <v>120</v>
      </c>
      <c r="H1314" s="8" t="n">
        <f aca="false">INDEX(Lookup_Tables!$B$2:$B$5,MATCH(D1314,Lookup_Tables!$A$2:$A$5,0))</f>
        <v>10</v>
      </c>
      <c r="I1314" s="9" t="n">
        <f aca="false">C1314+H1314</f>
        <v>45422</v>
      </c>
      <c r="J1314" s="5" t="n">
        <v>-4</v>
      </c>
      <c r="K1314" s="9" t="n">
        <f aca="false">I1314+J1314</f>
        <v>45418</v>
      </c>
      <c r="L1314" s="5" t="n">
        <v>70</v>
      </c>
      <c r="M1314" s="10" t="n">
        <f aca="false">INDEX(Dim_Supplier!$F$2:$F$21,MATCH(B1314,Dim_Supplier!$A$2:$A$21,0))</f>
        <v>22.4</v>
      </c>
      <c r="N1314" s="11" t="n">
        <v>0.0461</v>
      </c>
      <c r="O1314" s="10" t="n">
        <f aca="false">M1314*(1+N1314)</f>
        <v>23.43264</v>
      </c>
      <c r="P1314" s="10" t="n">
        <f aca="false">O1314*L1314</f>
        <v>1640.2848</v>
      </c>
      <c r="Q1314" s="5" t="s">
        <v>113</v>
      </c>
      <c r="R1314" s="5" t="n">
        <v>0</v>
      </c>
      <c r="S1314" s="5" t="n">
        <v>45</v>
      </c>
      <c r="T1314" s="12" t="n">
        <f aca="false">(O1314-M1314)/M1314</f>
        <v>0.0461</v>
      </c>
      <c r="U1314" s="8" t="n">
        <f aca="false">IF(AND(K1314&lt;=I1314,R1314=0),1,0)</f>
        <v>1</v>
      </c>
      <c r="V1314" s="10" t="n">
        <f aca="false">IF(Q1314="No",P1314,0)</f>
        <v>0</v>
      </c>
    </row>
    <row r="1315" customFormat="false" ht="15" hidden="false" customHeight="false" outlineLevel="0" collapsed="false">
      <c r="A1315" s="5" t="s">
        <v>1449</v>
      </c>
      <c r="B1315" s="5" t="s">
        <v>62</v>
      </c>
      <c r="C1315" s="7" t="n">
        <v>45390</v>
      </c>
      <c r="D1315" s="8" t="str">
        <f aca="false">INDEX(Dim_Supplier!$C$2:$C$21,MATCH(B1315,Dim_Supplier!$A$2:$A$21,0))</f>
        <v>Packaging</v>
      </c>
      <c r="E1315" s="8" t="str">
        <f aca="false">INDEX(Dim_Supplier!$B$2:$B$21,MATCH(B1315,Dim_Supplier!$A$2:$A$21,0))</f>
        <v>Trillium Packaging Solutions</v>
      </c>
      <c r="F1315" s="5" t="s">
        <v>119</v>
      </c>
      <c r="G1315" s="5" t="s">
        <v>120</v>
      </c>
      <c r="H1315" s="8" t="n">
        <f aca="false">INDEX(Lookup_Tables!$B$2:$B$5,MATCH(D1315,Lookup_Tables!$A$2:$A$5,0))</f>
        <v>14</v>
      </c>
      <c r="I1315" s="9" t="n">
        <f aca="false">C1315+H1315</f>
        <v>45404</v>
      </c>
      <c r="J1315" s="5" t="n">
        <v>-1</v>
      </c>
      <c r="K1315" s="9" t="n">
        <f aca="false">I1315+J1315</f>
        <v>45403</v>
      </c>
      <c r="L1315" s="5" t="n">
        <v>708</v>
      </c>
      <c r="M1315" s="10" t="n">
        <f aca="false">INDEX(Dim_Supplier!$F$2:$F$21,MATCH(B1315,Dim_Supplier!$A$2:$A$21,0))</f>
        <v>5.6</v>
      </c>
      <c r="N1315" s="11" t="n">
        <v>0.0274</v>
      </c>
      <c r="O1315" s="10" t="n">
        <f aca="false">M1315*(1+N1315)</f>
        <v>5.75344</v>
      </c>
      <c r="P1315" s="10" t="n">
        <f aca="false">O1315*L1315</f>
        <v>4073.43552</v>
      </c>
      <c r="Q1315" s="5" t="s">
        <v>133</v>
      </c>
      <c r="R1315" s="5" t="n">
        <v>0</v>
      </c>
      <c r="S1315" s="5" t="n">
        <v>30</v>
      </c>
      <c r="T1315" s="12" t="n">
        <f aca="false">(O1315-M1315)/M1315</f>
        <v>0.0274000000000001</v>
      </c>
      <c r="U1315" s="8" t="n">
        <f aca="false">IF(AND(K1315&lt;=I1315,R1315=0),1,0)</f>
        <v>1</v>
      </c>
      <c r="V1315" s="10" t="n">
        <f aca="false">IF(Q1315="No",P1315,0)</f>
        <v>4073.43552</v>
      </c>
    </row>
    <row r="1316" customFormat="false" ht="15" hidden="false" customHeight="false" outlineLevel="0" collapsed="false">
      <c r="A1316" s="5" t="s">
        <v>1450</v>
      </c>
      <c r="B1316" s="5" t="s">
        <v>62</v>
      </c>
      <c r="C1316" s="7" t="n">
        <v>45405</v>
      </c>
      <c r="D1316" s="8" t="str">
        <f aca="false">INDEX(Dim_Supplier!$C$2:$C$21,MATCH(B1316,Dim_Supplier!$A$2:$A$21,0))</f>
        <v>Packaging</v>
      </c>
      <c r="E1316" s="8" t="str">
        <f aca="false">INDEX(Dim_Supplier!$B$2:$B$21,MATCH(B1316,Dim_Supplier!$A$2:$A$21,0))</f>
        <v>Trillium Packaging Solutions</v>
      </c>
      <c r="F1316" s="5" t="s">
        <v>117</v>
      </c>
      <c r="G1316" s="5" t="s">
        <v>120</v>
      </c>
      <c r="H1316" s="8" t="n">
        <f aca="false">INDEX(Lookup_Tables!$B$2:$B$5,MATCH(D1316,Lookup_Tables!$A$2:$A$5,0))</f>
        <v>14</v>
      </c>
      <c r="I1316" s="9" t="n">
        <f aca="false">C1316+H1316</f>
        <v>45419</v>
      </c>
      <c r="J1316" s="5" t="n">
        <v>-2</v>
      </c>
      <c r="K1316" s="9" t="n">
        <f aca="false">I1316+J1316</f>
        <v>45417</v>
      </c>
      <c r="L1316" s="5" t="n">
        <v>4207</v>
      </c>
      <c r="M1316" s="10" t="n">
        <f aca="false">INDEX(Dim_Supplier!$F$2:$F$21,MATCH(B1316,Dim_Supplier!$A$2:$A$21,0))</f>
        <v>5.6</v>
      </c>
      <c r="N1316" s="11" t="n">
        <v>0.0332</v>
      </c>
      <c r="O1316" s="10" t="n">
        <f aca="false">M1316*(1+N1316)</f>
        <v>5.78592</v>
      </c>
      <c r="P1316" s="10" t="n">
        <f aca="false">O1316*L1316</f>
        <v>24341.36544</v>
      </c>
      <c r="Q1316" s="5" t="s">
        <v>113</v>
      </c>
      <c r="R1316" s="5" t="n">
        <v>0</v>
      </c>
      <c r="S1316" s="5" t="n">
        <v>30</v>
      </c>
      <c r="T1316" s="12" t="n">
        <f aca="false">(O1316-M1316)/M1316</f>
        <v>0.0331999999999999</v>
      </c>
      <c r="U1316" s="8" t="n">
        <f aca="false">IF(AND(K1316&lt;=I1316,R1316=0),1,0)</f>
        <v>1</v>
      </c>
      <c r="V1316" s="10" t="n">
        <f aca="false">IF(Q1316="No",P1316,0)</f>
        <v>0</v>
      </c>
    </row>
    <row r="1317" customFormat="false" ht="15" hidden="false" customHeight="false" outlineLevel="0" collapsed="false">
      <c r="A1317" s="5" t="s">
        <v>1451</v>
      </c>
      <c r="B1317" s="5" t="s">
        <v>82</v>
      </c>
      <c r="C1317" s="7" t="n">
        <v>45808</v>
      </c>
      <c r="D1317" s="8" t="str">
        <f aca="false">INDEX(Dim_Supplier!$C$2:$C$21,MATCH(B1317,Dim_Supplier!$A$2:$A$21,0))</f>
        <v>Logistics</v>
      </c>
      <c r="E1317" s="8" t="str">
        <f aca="false">INDEX(Dim_Supplier!$B$2:$B$21,MATCH(B1317,Dim_Supplier!$A$2:$A$21,0))</f>
        <v>Maple Route Logistics</v>
      </c>
      <c r="F1317" s="5" t="s">
        <v>154</v>
      </c>
      <c r="G1317" s="5" t="s">
        <v>125</v>
      </c>
      <c r="H1317" s="8" t="n">
        <f aca="false">INDEX(Lookup_Tables!$B$2:$B$5,MATCH(D1317,Lookup_Tables!$A$2:$A$5,0))</f>
        <v>5</v>
      </c>
      <c r="I1317" s="9" t="n">
        <f aca="false">C1317+H1317</f>
        <v>45813</v>
      </c>
      <c r="J1317" s="5" t="n">
        <v>1</v>
      </c>
      <c r="K1317" s="9" t="n">
        <f aca="false">I1317+J1317</f>
        <v>45814</v>
      </c>
      <c r="L1317" s="5" t="n">
        <v>33</v>
      </c>
      <c r="M1317" s="10" t="n">
        <f aca="false">INDEX(Dim_Supplier!$F$2:$F$21,MATCH(B1317,Dim_Supplier!$A$2:$A$21,0))</f>
        <v>285</v>
      </c>
      <c r="N1317" s="11" t="n">
        <v>-0.0077</v>
      </c>
      <c r="O1317" s="10" t="n">
        <f aca="false">M1317*(1+N1317)</f>
        <v>282.8055</v>
      </c>
      <c r="P1317" s="10" t="n">
        <f aca="false">O1317*L1317</f>
        <v>9332.5815</v>
      </c>
      <c r="Q1317" s="5" t="s">
        <v>113</v>
      </c>
      <c r="R1317" s="5" t="n">
        <v>0</v>
      </c>
      <c r="S1317" s="5" t="n">
        <v>30</v>
      </c>
      <c r="T1317" s="12" t="n">
        <f aca="false">(O1317-M1317)/M1317</f>
        <v>-0.00770000000000002</v>
      </c>
      <c r="U1317" s="8" t="n">
        <f aca="false">IF(AND(K1317&lt;=I1317,R1317=0),1,0)</f>
        <v>0</v>
      </c>
      <c r="V1317" s="10" t="n">
        <f aca="false">IF(Q1317="No",P1317,0)</f>
        <v>0</v>
      </c>
    </row>
    <row r="1318" customFormat="false" ht="15" hidden="false" customHeight="false" outlineLevel="0" collapsed="false">
      <c r="A1318" s="5" t="s">
        <v>1452</v>
      </c>
      <c r="B1318" s="5" t="s">
        <v>41</v>
      </c>
      <c r="C1318" s="7" t="n">
        <v>46043</v>
      </c>
      <c r="D1318" s="8" t="str">
        <f aca="false">INDEX(Dim_Supplier!$C$2:$C$21,MATCH(B1318,Dim_Supplier!$A$2:$A$21,0))</f>
        <v>Raw Materials</v>
      </c>
      <c r="E1318" s="8" t="str">
        <f aca="false">INDEX(Dim_Supplier!$B$2:$B$21,MATCH(B1318,Dim_Supplier!$A$2:$A$21,0))</f>
        <v>Ontario Steel Partners</v>
      </c>
      <c r="F1318" s="5" t="s">
        <v>139</v>
      </c>
      <c r="G1318" s="5" t="s">
        <v>112</v>
      </c>
      <c r="H1318" s="8" t="n">
        <f aca="false">INDEX(Lookup_Tables!$B$2:$B$5,MATCH(D1318,Lookup_Tables!$A$2:$A$5,0))</f>
        <v>21</v>
      </c>
      <c r="I1318" s="9" t="n">
        <f aca="false">C1318+H1318</f>
        <v>46064</v>
      </c>
      <c r="J1318" s="5" t="n">
        <v>-4</v>
      </c>
      <c r="K1318" s="9" t="n">
        <f aca="false">I1318+J1318</f>
        <v>46060</v>
      </c>
      <c r="L1318" s="5" t="n">
        <v>196</v>
      </c>
      <c r="M1318" s="10" t="n">
        <f aca="false">INDEX(Dim_Supplier!$F$2:$F$21,MATCH(B1318,Dim_Supplier!$A$2:$A$21,0))</f>
        <v>58</v>
      </c>
      <c r="N1318" s="11" t="n">
        <v>0.0005</v>
      </c>
      <c r="O1318" s="10" t="n">
        <f aca="false">M1318*(1+N1318)</f>
        <v>58.029</v>
      </c>
      <c r="P1318" s="10" t="n">
        <f aca="false">O1318*L1318</f>
        <v>11373.684</v>
      </c>
      <c r="Q1318" s="5" t="s">
        <v>113</v>
      </c>
      <c r="R1318" s="5" t="n">
        <v>0</v>
      </c>
      <c r="S1318" s="5" t="n">
        <v>30</v>
      </c>
      <c r="T1318" s="12" t="n">
        <f aca="false">(O1318-M1318)/M1318</f>
        <v>0.000499999999999937</v>
      </c>
      <c r="U1318" s="8" t="n">
        <f aca="false">IF(AND(K1318&lt;=I1318,R1318=0),1,0)</f>
        <v>1</v>
      </c>
      <c r="V1318" s="10" t="n">
        <f aca="false">IF(Q1318="No",P1318,0)</f>
        <v>0</v>
      </c>
    </row>
    <row r="1319" customFormat="false" ht="15" hidden="false" customHeight="false" outlineLevel="0" collapsed="false">
      <c r="A1319" s="5" t="s">
        <v>1453</v>
      </c>
      <c r="B1319" s="5" t="s">
        <v>86</v>
      </c>
      <c r="C1319" s="7" t="n">
        <v>45835</v>
      </c>
      <c r="D1319" s="8" t="str">
        <f aca="false">INDEX(Dim_Supplier!$C$2:$C$21,MATCH(B1319,Dim_Supplier!$A$2:$A$21,0))</f>
        <v>Logistics</v>
      </c>
      <c r="E1319" s="8" t="str">
        <f aca="false">INDEX(Dim_Supplier!$B$2:$B$21,MATCH(B1319,Dim_Supplier!$A$2:$A$21,0))</f>
        <v>Blue Water Customs Brokerage</v>
      </c>
      <c r="F1319" s="5" t="s">
        <v>154</v>
      </c>
      <c r="G1319" s="5" t="s">
        <v>120</v>
      </c>
      <c r="H1319" s="8" t="n">
        <f aca="false">INDEX(Lookup_Tables!$B$2:$B$5,MATCH(D1319,Lookup_Tables!$A$2:$A$5,0))</f>
        <v>5</v>
      </c>
      <c r="I1319" s="9" t="n">
        <f aca="false">C1319+H1319</f>
        <v>45840</v>
      </c>
      <c r="J1319" s="5" t="n">
        <v>0</v>
      </c>
      <c r="K1319" s="9" t="n">
        <f aca="false">I1319+J1319</f>
        <v>45840</v>
      </c>
      <c r="L1319" s="5" t="n">
        <v>41</v>
      </c>
      <c r="M1319" s="10" t="n">
        <f aca="false">INDEX(Dim_Supplier!$F$2:$F$21,MATCH(B1319,Dim_Supplier!$A$2:$A$21,0))</f>
        <v>175</v>
      </c>
      <c r="N1319" s="11" t="n">
        <v>0.0354</v>
      </c>
      <c r="O1319" s="10" t="n">
        <f aca="false">M1319*(1+N1319)</f>
        <v>181.195</v>
      </c>
      <c r="P1319" s="10" t="n">
        <f aca="false">O1319*L1319</f>
        <v>7428.995</v>
      </c>
      <c r="Q1319" s="5" t="s">
        <v>113</v>
      </c>
      <c r="R1319" s="5" t="n">
        <v>0</v>
      </c>
      <c r="S1319" s="5" t="n">
        <v>60</v>
      </c>
      <c r="T1319" s="12" t="n">
        <f aca="false">(O1319-M1319)/M1319</f>
        <v>0.0354000000000001</v>
      </c>
      <c r="U1319" s="8" t="n">
        <f aca="false">IF(AND(K1319&lt;=I1319,R1319=0),1,0)</f>
        <v>1</v>
      </c>
      <c r="V1319" s="10" t="n">
        <f aca="false">IF(Q1319="No",P1319,0)</f>
        <v>0</v>
      </c>
    </row>
    <row r="1320" customFormat="false" ht="15" hidden="false" customHeight="false" outlineLevel="0" collapsed="false">
      <c r="A1320" s="5" t="s">
        <v>1454</v>
      </c>
      <c r="B1320" s="5" t="s">
        <v>77</v>
      </c>
      <c r="C1320" s="7" t="n">
        <v>45447</v>
      </c>
      <c r="D1320" s="8" t="str">
        <f aca="false">INDEX(Dim_Supplier!$C$2:$C$21,MATCH(B1320,Dim_Supplier!$A$2:$A$21,0))</f>
        <v>MRO</v>
      </c>
      <c r="E1320" s="8" t="str">
        <f aca="false">INDEX(Dim_Supplier!$B$2:$B$21,MATCH(B1320,Dim_Supplier!$A$2:$A$21,0))</f>
        <v>Apex Industrial Supply</v>
      </c>
      <c r="F1320" s="5" t="s">
        <v>132</v>
      </c>
      <c r="G1320" s="5" t="s">
        <v>125</v>
      </c>
      <c r="H1320" s="8" t="n">
        <f aca="false">INDEX(Lookup_Tables!$B$2:$B$5,MATCH(D1320,Lookup_Tables!$A$2:$A$5,0))</f>
        <v>10</v>
      </c>
      <c r="I1320" s="9" t="n">
        <f aca="false">C1320+H1320</f>
        <v>45457</v>
      </c>
      <c r="J1320" s="5" t="n">
        <v>0</v>
      </c>
      <c r="K1320" s="9" t="n">
        <f aca="false">I1320+J1320</f>
        <v>45457</v>
      </c>
      <c r="L1320" s="5" t="n">
        <v>107</v>
      </c>
      <c r="M1320" s="10" t="n">
        <f aca="false">INDEX(Dim_Supplier!$F$2:$F$21,MATCH(B1320,Dim_Supplier!$A$2:$A$21,0))</f>
        <v>24.6</v>
      </c>
      <c r="N1320" s="11" t="n">
        <v>0.0374</v>
      </c>
      <c r="O1320" s="10" t="n">
        <f aca="false">M1320*(1+N1320)</f>
        <v>25.52004</v>
      </c>
      <c r="P1320" s="10" t="n">
        <f aca="false">O1320*L1320</f>
        <v>2730.64428</v>
      </c>
      <c r="Q1320" s="5" t="s">
        <v>113</v>
      </c>
      <c r="R1320" s="5" t="n">
        <v>0</v>
      </c>
      <c r="S1320" s="5" t="n">
        <v>60</v>
      </c>
      <c r="T1320" s="12" t="n">
        <f aca="false">(O1320-M1320)/M1320</f>
        <v>0.0374000000000002</v>
      </c>
      <c r="U1320" s="8" t="n">
        <f aca="false">IF(AND(K1320&lt;=I1320,R1320=0),1,0)</f>
        <v>1</v>
      </c>
      <c r="V1320" s="10" t="n">
        <f aca="false">IF(Q1320="No",P1320,0)</f>
        <v>0</v>
      </c>
    </row>
    <row r="1321" customFormat="false" ht="15" hidden="false" customHeight="false" outlineLevel="0" collapsed="false">
      <c r="A1321" s="5" t="s">
        <v>1455</v>
      </c>
      <c r="B1321" s="5" t="s">
        <v>84</v>
      </c>
      <c r="C1321" s="7" t="n">
        <v>45771</v>
      </c>
      <c r="D1321" s="8" t="str">
        <f aca="false">INDEX(Dim_Supplier!$C$2:$C$21,MATCH(B1321,Dim_Supplier!$A$2:$A$21,0))</f>
        <v>Logistics</v>
      </c>
      <c r="E1321" s="8" t="str">
        <f aca="false">INDEX(Dim_Supplier!$B$2:$B$21,MATCH(B1321,Dim_Supplier!$A$2:$A$21,0))</f>
        <v>Trans-Canada Carriers</v>
      </c>
      <c r="F1321" s="5" t="s">
        <v>146</v>
      </c>
      <c r="G1321" s="5" t="s">
        <v>112</v>
      </c>
      <c r="H1321" s="8" t="n">
        <f aca="false">INDEX(Lookup_Tables!$B$2:$B$5,MATCH(D1321,Lookup_Tables!$A$2:$A$5,0))</f>
        <v>5</v>
      </c>
      <c r="I1321" s="9" t="n">
        <f aca="false">C1321+H1321</f>
        <v>45776</v>
      </c>
      <c r="J1321" s="5" t="n">
        <v>4</v>
      </c>
      <c r="K1321" s="9" t="n">
        <f aca="false">I1321+J1321</f>
        <v>45780</v>
      </c>
      <c r="L1321" s="5" t="n">
        <v>5</v>
      </c>
      <c r="M1321" s="10" t="n">
        <f aca="false">INDEX(Dim_Supplier!$F$2:$F$21,MATCH(B1321,Dim_Supplier!$A$2:$A$21,0))</f>
        <v>210</v>
      </c>
      <c r="N1321" s="11" t="n">
        <v>0.1134</v>
      </c>
      <c r="O1321" s="10" t="n">
        <f aca="false">M1321*(1+N1321)</f>
        <v>233.814</v>
      </c>
      <c r="P1321" s="10" t="n">
        <f aca="false">O1321*L1321</f>
        <v>1169.07</v>
      </c>
      <c r="Q1321" s="5" t="s">
        <v>113</v>
      </c>
      <c r="R1321" s="5" t="n">
        <v>0</v>
      </c>
      <c r="S1321" s="5" t="n">
        <v>30</v>
      </c>
      <c r="T1321" s="12" t="n">
        <f aca="false">(O1321-M1321)/M1321</f>
        <v>0.1134</v>
      </c>
      <c r="U1321" s="8" t="n">
        <f aca="false">IF(AND(K1321&lt;=I1321,R1321=0),1,0)</f>
        <v>0</v>
      </c>
      <c r="V1321" s="10" t="n">
        <f aca="false">IF(Q1321="No",P1321,0)</f>
        <v>0</v>
      </c>
    </row>
    <row r="1322" customFormat="false" ht="15" hidden="false" customHeight="false" outlineLevel="0" collapsed="false">
      <c r="A1322" s="5" t="s">
        <v>1456</v>
      </c>
      <c r="B1322" s="5" t="s">
        <v>86</v>
      </c>
      <c r="C1322" s="7" t="n">
        <v>45919</v>
      </c>
      <c r="D1322" s="8" t="str">
        <f aca="false">INDEX(Dim_Supplier!$C$2:$C$21,MATCH(B1322,Dim_Supplier!$A$2:$A$21,0))</f>
        <v>Logistics</v>
      </c>
      <c r="E1322" s="8" t="str">
        <f aca="false">INDEX(Dim_Supplier!$B$2:$B$21,MATCH(B1322,Dim_Supplier!$A$2:$A$21,0))</f>
        <v>Blue Water Customs Brokerage</v>
      </c>
      <c r="F1322" s="5" t="s">
        <v>185</v>
      </c>
      <c r="G1322" s="5" t="s">
        <v>129</v>
      </c>
      <c r="H1322" s="8" t="n">
        <f aca="false">INDEX(Lookup_Tables!$B$2:$B$5,MATCH(D1322,Lookup_Tables!$A$2:$A$5,0))</f>
        <v>5</v>
      </c>
      <c r="I1322" s="9" t="n">
        <f aca="false">C1322+H1322</f>
        <v>45924</v>
      </c>
      <c r="J1322" s="5" t="n">
        <v>0</v>
      </c>
      <c r="K1322" s="9" t="n">
        <f aca="false">I1322+J1322</f>
        <v>45924</v>
      </c>
      <c r="L1322" s="5" t="n">
        <v>10</v>
      </c>
      <c r="M1322" s="10" t="n">
        <f aca="false">INDEX(Dim_Supplier!$F$2:$F$21,MATCH(B1322,Dim_Supplier!$A$2:$A$21,0))</f>
        <v>175</v>
      </c>
      <c r="N1322" s="11" t="n">
        <v>0.0175</v>
      </c>
      <c r="O1322" s="10" t="n">
        <f aca="false">M1322*(1+N1322)</f>
        <v>178.0625</v>
      </c>
      <c r="P1322" s="10" t="n">
        <f aca="false">O1322*L1322</f>
        <v>1780.625</v>
      </c>
      <c r="Q1322" s="5" t="s">
        <v>113</v>
      </c>
      <c r="R1322" s="5" t="n">
        <v>0</v>
      </c>
      <c r="S1322" s="5" t="n">
        <v>60</v>
      </c>
      <c r="T1322" s="12" t="n">
        <f aca="false">(O1322-M1322)/M1322</f>
        <v>0.0175</v>
      </c>
      <c r="U1322" s="8" t="n">
        <f aca="false">IF(AND(K1322&lt;=I1322,R1322=0),1,0)</f>
        <v>1</v>
      </c>
      <c r="V1322" s="10" t="n">
        <f aca="false">IF(Q1322="No",P1322,0)</f>
        <v>0</v>
      </c>
    </row>
    <row r="1323" customFormat="false" ht="15" hidden="false" customHeight="false" outlineLevel="0" collapsed="false">
      <c r="A1323" s="5" t="s">
        <v>1457</v>
      </c>
      <c r="B1323" s="5" t="s">
        <v>88</v>
      </c>
      <c r="C1323" s="7" t="n">
        <v>45540</v>
      </c>
      <c r="D1323" s="8" t="str">
        <f aca="false">INDEX(Dim_Supplier!$C$2:$C$21,MATCH(B1323,Dim_Supplier!$A$2:$A$21,0))</f>
        <v>Logistics</v>
      </c>
      <c r="E1323" s="8" t="str">
        <f aca="false">INDEX(Dim_Supplier!$B$2:$B$21,MATCH(B1323,Dim_Supplier!$A$2:$A$21,0))</f>
        <v>Summit Last-Mile Delivery</v>
      </c>
      <c r="F1323" s="5" t="s">
        <v>237</v>
      </c>
      <c r="G1323" s="5" t="s">
        <v>112</v>
      </c>
      <c r="H1323" s="8" t="n">
        <f aca="false">INDEX(Lookup_Tables!$B$2:$B$5,MATCH(D1323,Lookup_Tables!$A$2:$A$5,0))</f>
        <v>5</v>
      </c>
      <c r="I1323" s="9" t="n">
        <f aca="false">C1323+H1323</f>
        <v>45545</v>
      </c>
      <c r="J1323" s="5" t="n">
        <v>-2</v>
      </c>
      <c r="K1323" s="9" t="n">
        <f aca="false">I1323+J1323</f>
        <v>45543</v>
      </c>
      <c r="L1323" s="5" t="n">
        <v>13</v>
      </c>
      <c r="M1323" s="10" t="n">
        <f aca="false">INDEX(Dim_Supplier!$F$2:$F$21,MATCH(B1323,Dim_Supplier!$A$2:$A$21,0))</f>
        <v>95</v>
      </c>
      <c r="N1323" s="11" t="n">
        <v>0.0242</v>
      </c>
      <c r="O1323" s="10" t="n">
        <f aca="false">M1323*(1+N1323)</f>
        <v>97.299</v>
      </c>
      <c r="P1323" s="10" t="n">
        <f aca="false">O1323*L1323</f>
        <v>1264.887</v>
      </c>
      <c r="Q1323" s="5" t="s">
        <v>113</v>
      </c>
      <c r="R1323" s="5" t="n">
        <v>0</v>
      </c>
      <c r="S1323" s="5" t="n">
        <v>30</v>
      </c>
      <c r="T1323" s="12" t="n">
        <f aca="false">(O1323-M1323)/M1323</f>
        <v>0.0242000000000001</v>
      </c>
      <c r="U1323" s="8" t="n">
        <f aca="false">IF(AND(K1323&lt;=I1323,R1323=0),1,0)</f>
        <v>1</v>
      </c>
      <c r="V1323" s="10" t="n">
        <f aca="false">IF(Q1323="No",P1323,0)</f>
        <v>0</v>
      </c>
    </row>
    <row r="1324" customFormat="false" ht="15" hidden="false" customHeight="false" outlineLevel="0" collapsed="false">
      <c r="A1324" s="5" t="s">
        <v>1458</v>
      </c>
      <c r="B1324" s="5" t="s">
        <v>86</v>
      </c>
      <c r="C1324" s="7" t="n">
        <v>45435</v>
      </c>
      <c r="D1324" s="8" t="str">
        <f aca="false">INDEX(Dim_Supplier!$C$2:$C$21,MATCH(B1324,Dim_Supplier!$A$2:$A$21,0))</f>
        <v>Logistics</v>
      </c>
      <c r="E1324" s="8" t="str">
        <f aca="false">INDEX(Dim_Supplier!$B$2:$B$21,MATCH(B1324,Dim_Supplier!$A$2:$A$21,0))</f>
        <v>Blue Water Customs Brokerage</v>
      </c>
      <c r="F1324" s="5" t="s">
        <v>237</v>
      </c>
      <c r="G1324" s="5" t="s">
        <v>129</v>
      </c>
      <c r="H1324" s="8" t="n">
        <f aca="false">INDEX(Lookup_Tables!$B$2:$B$5,MATCH(D1324,Lookup_Tables!$A$2:$A$5,0))</f>
        <v>5</v>
      </c>
      <c r="I1324" s="9" t="n">
        <f aca="false">C1324+H1324</f>
        <v>45440</v>
      </c>
      <c r="J1324" s="5" t="n">
        <v>-2</v>
      </c>
      <c r="K1324" s="9" t="n">
        <f aca="false">I1324+J1324</f>
        <v>45438</v>
      </c>
      <c r="L1324" s="5" t="n">
        <v>44</v>
      </c>
      <c r="M1324" s="10" t="n">
        <f aca="false">INDEX(Dim_Supplier!$F$2:$F$21,MATCH(B1324,Dim_Supplier!$A$2:$A$21,0))</f>
        <v>175</v>
      </c>
      <c r="N1324" s="11" t="n">
        <v>-0.0163</v>
      </c>
      <c r="O1324" s="10" t="n">
        <f aca="false">M1324*(1+N1324)</f>
        <v>172.1475</v>
      </c>
      <c r="P1324" s="10" t="n">
        <f aca="false">O1324*L1324</f>
        <v>7574.49</v>
      </c>
      <c r="Q1324" s="5" t="s">
        <v>113</v>
      </c>
      <c r="R1324" s="5" t="n">
        <v>0</v>
      </c>
      <c r="S1324" s="5" t="n">
        <v>45</v>
      </c>
      <c r="T1324" s="12" t="n">
        <f aca="false">(O1324-M1324)/M1324</f>
        <v>-0.0163</v>
      </c>
      <c r="U1324" s="8" t="n">
        <f aca="false">IF(AND(K1324&lt;=I1324,R1324=0),1,0)</f>
        <v>1</v>
      </c>
      <c r="V1324" s="10" t="n">
        <f aca="false">IF(Q1324="No",P1324,0)</f>
        <v>0</v>
      </c>
    </row>
    <row r="1325" customFormat="false" ht="15" hidden="false" customHeight="false" outlineLevel="0" collapsed="false">
      <c r="A1325" s="5" t="s">
        <v>1459</v>
      </c>
      <c r="B1325" s="5" t="s">
        <v>79</v>
      </c>
      <c r="C1325" s="7" t="n">
        <v>45303</v>
      </c>
      <c r="D1325" s="8" t="str">
        <f aca="false">INDEX(Dim_Supplier!$C$2:$C$21,MATCH(B1325,Dim_Supplier!$A$2:$A$21,0))</f>
        <v>Logistics</v>
      </c>
      <c r="E1325" s="8" t="str">
        <f aca="false">INDEX(Dim_Supplier!$B$2:$B$21,MATCH(B1325,Dim_Supplier!$A$2:$A$21,0))</f>
        <v>Niagara Freight Solutions</v>
      </c>
      <c r="F1325" s="5" t="s">
        <v>124</v>
      </c>
      <c r="G1325" s="5" t="s">
        <v>120</v>
      </c>
      <c r="H1325" s="8" t="n">
        <f aca="false">INDEX(Lookup_Tables!$B$2:$B$5,MATCH(D1325,Lookup_Tables!$A$2:$A$5,0))</f>
        <v>5</v>
      </c>
      <c r="I1325" s="9" t="n">
        <f aca="false">C1325+H1325</f>
        <v>45308</v>
      </c>
      <c r="J1325" s="5" t="n">
        <v>-4</v>
      </c>
      <c r="K1325" s="9" t="n">
        <f aca="false">I1325+J1325</f>
        <v>45304</v>
      </c>
      <c r="L1325" s="5" t="n">
        <v>39</v>
      </c>
      <c r="M1325" s="10" t="n">
        <f aca="false">INDEX(Dim_Supplier!$F$2:$F$21,MATCH(B1325,Dim_Supplier!$A$2:$A$21,0))</f>
        <v>340</v>
      </c>
      <c r="N1325" s="11" t="n">
        <v>0.0048</v>
      </c>
      <c r="O1325" s="10" t="n">
        <f aca="false">M1325*(1+N1325)</f>
        <v>341.632</v>
      </c>
      <c r="P1325" s="10" t="n">
        <f aca="false">O1325*L1325</f>
        <v>13323.648</v>
      </c>
      <c r="Q1325" s="5" t="s">
        <v>113</v>
      </c>
      <c r="R1325" s="5" t="n">
        <v>0</v>
      </c>
      <c r="S1325" s="5" t="n">
        <v>30</v>
      </c>
      <c r="T1325" s="12" t="n">
        <f aca="false">(O1325-M1325)/M1325</f>
        <v>0.00479999999999985</v>
      </c>
      <c r="U1325" s="8" t="n">
        <f aca="false">IF(AND(K1325&lt;=I1325,R1325=0),1,0)</f>
        <v>1</v>
      </c>
      <c r="V1325" s="10" t="n">
        <f aca="false">IF(Q1325="No",P1325,0)</f>
        <v>0</v>
      </c>
    </row>
    <row r="1326" customFormat="false" ht="15" hidden="false" customHeight="false" outlineLevel="0" collapsed="false">
      <c r="A1326" s="5" t="s">
        <v>1460</v>
      </c>
      <c r="B1326" s="5" t="s">
        <v>46</v>
      </c>
      <c r="C1326" s="7" t="n">
        <v>46052</v>
      </c>
      <c r="D1326" s="8" t="str">
        <f aca="false">INDEX(Dim_Supplier!$C$2:$C$21,MATCH(B1326,Dim_Supplier!$A$2:$A$21,0))</f>
        <v>Raw Materials</v>
      </c>
      <c r="E1326" s="8" t="str">
        <f aca="false">INDEX(Dim_Supplier!$B$2:$B$21,MATCH(B1326,Dim_Supplier!$A$2:$A$21,0))</f>
        <v>Niagara Alloy Supply</v>
      </c>
      <c r="F1326" s="5" t="s">
        <v>144</v>
      </c>
      <c r="G1326" s="5" t="s">
        <v>125</v>
      </c>
      <c r="H1326" s="8" t="n">
        <f aca="false">INDEX(Lookup_Tables!$B$2:$B$5,MATCH(D1326,Lookup_Tables!$A$2:$A$5,0))</f>
        <v>21</v>
      </c>
      <c r="I1326" s="9" t="n">
        <f aca="false">C1326+H1326</f>
        <v>46073</v>
      </c>
      <c r="J1326" s="5" t="n">
        <v>1</v>
      </c>
      <c r="K1326" s="9" t="n">
        <f aca="false">I1326+J1326</f>
        <v>46074</v>
      </c>
      <c r="L1326" s="5" t="n">
        <v>1644</v>
      </c>
      <c r="M1326" s="10" t="n">
        <f aca="false">INDEX(Dim_Supplier!$F$2:$F$21,MATCH(B1326,Dim_Supplier!$A$2:$A$21,0))</f>
        <v>46.5</v>
      </c>
      <c r="N1326" s="11" t="n">
        <v>0.0639</v>
      </c>
      <c r="O1326" s="10" t="n">
        <f aca="false">M1326*(1+N1326)</f>
        <v>49.47135</v>
      </c>
      <c r="P1326" s="10" t="n">
        <f aca="false">O1326*L1326</f>
        <v>81330.8994</v>
      </c>
      <c r="Q1326" s="5" t="s">
        <v>133</v>
      </c>
      <c r="R1326" s="5" t="n">
        <v>0</v>
      </c>
      <c r="S1326" s="5" t="n">
        <v>30</v>
      </c>
      <c r="T1326" s="12" t="n">
        <f aca="false">(O1326-M1326)/M1326</f>
        <v>0.0639</v>
      </c>
      <c r="U1326" s="8" t="n">
        <f aca="false">IF(AND(K1326&lt;=I1326,R1326=0),1,0)</f>
        <v>0</v>
      </c>
      <c r="V1326" s="10" t="n">
        <f aca="false">IF(Q1326="No",P1326,0)</f>
        <v>81330.8994</v>
      </c>
    </row>
    <row r="1327" customFormat="false" ht="15" hidden="false" customHeight="false" outlineLevel="0" collapsed="false">
      <c r="A1327" s="5" t="s">
        <v>1461</v>
      </c>
      <c r="B1327" s="5" t="s">
        <v>88</v>
      </c>
      <c r="C1327" s="7" t="n">
        <v>45682</v>
      </c>
      <c r="D1327" s="8" t="str">
        <f aca="false">INDEX(Dim_Supplier!$C$2:$C$21,MATCH(B1327,Dim_Supplier!$A$2:$A$21,0))</f>
        <v>Logistics</v>
      </c>
      <c r="E1327" s="8" t="str">
        <f aca="false">INDEX(Dim_Supplier!$B$2:$B$21,MATCH(B1327,Dim_Supplier!$A$2:$A$21,0))</f>
        <v>Summit Last-Mile Delivery</v>
      </c>
      <c r="F1327" s="5" t="s">
        <v>146</v>
      </c>
      <c r="G1327" s="5" t="s">
        <v>129</v>
      </c>
      <c r="H1327" s="8" t="n">
        <f aca="false">INDEX(Lookup_Tables!$B$2:$B$5,MATCH(D1327,Lookup_Tables!$A$2:$A$5,0))</f>
        <v>5</v>
      </c>
      <c r="I1327" s="9" t="n">
        <f aca="false">C1327+H1327</f>
        <v>45687</v>
      </c>
      <c r="J1327" s="5" t="n">
        <v>-2</v>
      </c>
      <c r="K1327" s="9" t="n">
        <f aca="false">I1327+J1327</f>
        <v>45685</v>
      </c>
      <c r="L1327" s="5" t="n">
        <v>11</v>
      </c>
      <c r="M1327" s="10" t="n">
        <f aca="false">INDEX(Dim_Supplier!$F$2:$F$21,MATCH(B1327,Dim_Supplier!$A$2:$A$21,0))</f>
        <v>95</v>
      </c>
      <c r="N1327" s="11" t="n">
        <v>0.0249</v>
      </c>
      <c r="O1327" s="10" t="n">
        <f aca="false">M1327*(1+N1327)</f>
        <v>97.3655</v>
      </c>
      <c r="P1327" s="10" t="n">
        <f aca="false">O1327*L1327</f>
        <v>1071.0205</v>
      </c>
      <c r="Q1327" s="5" t="s">
        <v>133</v>
      </c>
      <c r="R1327" s="5" t="n">
        <v>0</v>
      </c>
      <c r="S1327" s="5" t="n">
        <v>45</v>
      </c>
      <c r="T1327" s="12" t="n">
        <f aca="false">(O1327-M1327)/M1327</f>
        <v>0.0249</v>
      </c>
      <c r="U1327" s="8" t="n">
        <f aca="false">IF(AND(K1327&lt;=I1327,R1327=0),1,0)</f>
        <v>1</v>
      </c>
      <c r="V1327" s="10" t="n">
        <f aca="false">IF(Q1327="No",P1327,0)</f>
        <v>1071.0205</v>
      </c>
    </row>
    <row r="1328" customFormat="false" ht="15" hidden="false" customHeight="false" outlineLevel="0" collapsed="false">
      <c r="A1328" s="5" t="s">
        <v>1462</v>
      </c>
      <c r="B1328" s="5" t="s">
        <v>79</v>
      </c>
      <c r="C1328" s="7" t="n">
        <v>45522</v>
      </c>
      <c r="D1328" s="8" t="str">
        <f aca="false">INDEX(Dim_Supplier!$C$2:$C$21,MATCH(B1328,Dim_Supplier!$A$2:$A$21,0))</f>
        <v>Logistics</v>
      </c>
      <c r="E1328" s="8" t="str">
        <f aca="false">INDEX(Dim_Supplier!$B$2:$B$21,MATCH(B1328,Dim_Supplier!$A$2:$A$21,0))</f>
        <v>Niagara Freight Solutions</v>
      </c>
      <c r="F1328" s="5" t="s">
        <v>185</v>
      </c>
      <c r="G1328" s="5" t="s">
        <v>129</v>
      </c>
      <c r="H1328" s="8" t="n">
        <f aca="false">INDEX(Lookup_Tables!$B$2:$B$5,MATCH(D1328,Lookup_Tables!$A$2:$A$5,0))</f>
        <v>5</v>
      </c>
      <c r="I1328" s="9" t="n">
        <f aca="false">C1328+H1328</f>
        <v>45527</v>
      </c>
      <c r="J1328" s="5" t="n">
        <v>1</v>
      </c>
      <c r="K1328" s="9" t="n">
        <f aca="false">I1328+J1328</f>
        <v>45528</v>
      </c>
      <c r="L1328" s="5" t="n">
        <v>39</v>
      </c>
      <c r="M1328" s="10" t="n">
        <f aca="false">INDEX(Dim_Supplier!$F$2:$F$21,MATCH(B1328,Dim_Supplier!$A$2:$A$21,0))</f>
        <v>340</v>
      </c>
      <c r="N1328" s="11" t="n">
        <v>0.0271</v>
      </c>
      <c r="O1328" s="10" t="n">
        <f aca="false">M1328*(1+N1328)</f>
        <v>349.214</v>
      </c>
      <c r="P1328" s="10" t="n">
        <f aca="false">O1328*L1328</f>
        <v>13619.346</v>
      </c>
      <c r="Q1328" s="5" t="s">
        <v>113</v>
      </c>
      <c r="R1328" s="5" t="n">
        <v>0</v>
      </c>
      <c r="S1328" s="5" t="n">
        <v>60</v>
      </c>
      <c r="T1328" s="12" t="n">
        <f aca="false">(O1328-M1328)/M1328</f>
        <v>0.0270999999999998</v>
      </c>
      <c r="U1328" s="8" t="n">
        <f aca="false">IF(AND(K1328&lt;=I1328,R1328=0),1,0)</f>
        <v>0</v>
      </c>
      <c r="V1328" s="10" t="n">
        <f aca="false">IF(Q1328="No",P1328,0)</f>
        <v>0</v>
      </c>
    </row>
    <row r="1329" customFormat="false" ht="15" hidden="false" customHeight="false" outlineLevel="0" collapsed="false">
      <c r="A1329" s="5" t="s">
        <v>1463</v>
      </c>
      <c r="B1329" s="5" t="s">
        <v>66</v>
      </c>
      <c r="C1329" s="7" t="n">
        <v>46010</v>
      </c>
      <c r="D1329" s="8" t="str">
        <f aca="false">INDEX(Dim_Supplier!$C$2:$C$21,MATCH(B1329,Dim_Supplier!$A$2:$A$21,0))</f>
        <v>Packaging</v>
      </c>
      <c r="E1329" s="8" t="str">
        <f aca="false">INDEX(Dim_Supplier!$B$2:$B$21,MATCH(B1329,Dim_Supplier!$A$2:$A$21,0))</f>
        <v>EverGreen Wrap Industries</v>
      </c>
      <c r="F1329" s="5" t="s">
        <v>137</v>
      </c>
      <c r="G1329" s="5" t="s">
        <v>125</v>
      </c>
      <c r="H1329" s="8" t="n">
        <f aca="false">INDEX(Lookup_Tables!$B$2:$B$5,MATCH(D1329,Lookup_Tables!$A$2:$A$5,0))</f>
        <v>14</v>
      </c>
      <c r="I1329" s="9" t="n">
        <f aca="false">C1329+H1329</f>
        <v>46024</v>
      </c>
      <c r="J1329" s="5" t="n">
        <v>0</v>
      </c>
      <c r="K1329" s="9" t="n">
        <f aca="false">I1329+J1329</f>
        <v>46024</v>
      </c>
      <c r="L1329" s="5" t="n">
        <v>2795</v>
      </c>
      <c r="M1329" s="10" t="n">
        <f aca="false">INDEX(Dim_Supplier!$F$2:$F$21,MATCH(B1329,Dim_Supplier!$A$2:$A$21,0))</f>
        <v>6.8</v>
      </c>
      <c r="N1329" s="11" t="n">
        <v>0.0633</v>
      </c>
      <c r="O1329" s="10" t="n">
        <f aca="false">M1329*(1+N1329)</f>
        <v>7.23044</v>
      </c>
      <c r="P1329" s="10" t="n">
        <f aca="false">O1329*L1329</f>
        <v>20209.0798</v>
      </c>
      <c r="Q1329" s="5" t="s">
        <v>133</v>
      </c>
      <c r="R1329" s="5" t="n">
        <v>0</v>
      </c>
      <c r="S1329" s="5" t="n">
        <v>60</v>
      </c>
      <c r="T1329" s="12" t="n">
        <f aca="false">(O1329-M1329)/M1329</f>
        <v>0.0632999999999999</v>
      </c>
      <c r="U1329" s="8" t="n">
        <f aca="false">IF(AND(K1329&lt;=I1329,R1329=0),1,0)</f>
        <v>1</v>
      </c>
      <c r="V1329" s="10" t="n">
        <f aca="false">IF(Q1329="No",P1329,0)</f>
        <v>20209.0798</v>
      </c>
    </row>
    <row r="1330" customFormat="false" ht="15" hidden="false" customHeight="false" outlineLevel="0" collapsed="false">
      <c r="A1330" s="5" t="s">
        <v>1464</v>
      </c>
      <c r="B1330" s="5" t="s">
        <v>71</v>
      </c>
      <c r="C1330" s="7" t="n">
        <v>45628</v>
      </c>
      <c r="D1330" s="8" t="str">
        <f aca="false">INDEX(Dim_Supplier!$C$2:$C$21,MATCH(B1330,Dim_Supplier!$A$2:$A$21,0))</f>
        <v>MRO</v>
      </c>
      <c r="E1330" s="8" t="str">
        <f aca="false">INDEX(Dim_Supplier!$B$2:$B$21,MATCH(B1330,Dim_Supplier!$A$2:$A$21,0))</f>
        <v>CanSafe Equipment Ltd.</v>
      </c>
      <c r="F1330" s="5" t="s">
        <v>179</v>
      </c>
      <c r="G1330" s="5" t="s">
        <v>120</v>
      </c>
      <c r="H1330" s="8" t="n">
        <f aca="false">INDEX(Lookup_Tables!$B$2:$B$5,MATCH(D1330,Lookup_Tables!$A$2:$A$5,0))</f>
        <v>10</v>
      </c>
      <c r="I1330" s="9" t="n">
        <f aca="false">C1330+H1330</f>
        <v>45638</v>
      </c>
      <c r="J1330" s="5" t="n">
        <v>0</v>
      </c>
      <c r="K1330" s="9" t="n">
        <f aca="false">I1330+J1330</f>
        <v>45638</v>
      </c>
      <c r="L1330" s="5" t="n">
        <v>30</v>
      </c>
      <c r="M1330" s="10" t="n">
        <f aca="false">INDEX(Dim_Supplier!$F$2:$F$21,MATCH(B1330,Dim_Supplier!$A$2:$A$21,0))</f>
        <v>18.75</v>
      </c>
      <c r="N1330" s="11" t="n">
        <v>0.0291</v>
      </c>
      <c r="O1330" s="10" t="n">
        <f aca="false">M1330*(1+N1330)</f>
        <v>19.295625</v>
      </c>
      <c r="P1330" s="10" t="n">
        <f aca="false">O1330*L1330</f>
        <v>578.86875</v>
      </c>
      <c r="Q1330" s="5" t="s">
        <v>113</v>
      </c>
      <c r="R1330" s="5" t="n">
        <v>0</v>
      </c>
      <c r="S1330" s="5" t="n">
        <v>45</v>
      </c>
      <c r="T1330" s="12" t="n">
        <f aca="false">(O1330-M1330)/M1330</f>
        <v>0.0290999999999999</v>
      </c>
      <c r="U1330" s="8" t="n">
        <f aca="false">IF(AND(K1330&lt;=I1330,R1330=0),1,0)</f>
        <v>1</v>
      </c>
      <c r="V1330" s="10" t="n">
        <f aca="false">IF(Q1330="No",P1330,0)</f>
        <v>0</v>
      </c>
    </row>
    <row r="1331" customFormat="false" ht="15" hidden="false" customHeight="false" outlineLevel="0" collapsed="false">
      <c r="A1331" s="5" t="s">
        <v>1465</v>
      </c>
      <c r="B1331" s="5" t="s">
        <v>52</v>
      </c>
      <c r="C1331" s="7" t="n">
        <v>45736</v>
      </c>
      <c r="D1331" s="8" t="str">
        <f aca="false">INDEX(Dim_Supplier!$C$2:$C$21,MATCH(B1331,Dim_Supplier!$A$2:$A$21,0))</f>
        <v>Raw Materials</v>
      </c>
      <c r="E1331" s="8" t="str">
        <f aca="false">INDEX(Dim_Supplier!$B$2:$B$21,MATCH(B1331,Dim_Supplier!$A$2:$A$21,0))</f>
        <v>Laurentian Metals Inc.</v>
      </c>
      <c r="F1331" s="5" t="s">
        <v>139</v>
      </c>
      <c r="G1331" s="5" t="s">
        <v>129</v>
      </c>
      <c r="H1331" s="8" t="n">
        <f aca="false">INDEX(Lookup_Tables!$B$2:$B$5,MATCH(D1331,Lookup_Tables!$A$2:$A$5,0))</f>
        <v>21</v>
      </c>
      <c r="I1331" s="9" t="n">
        <f aca="false">C1331+H1331</f>
        <v>45757</v>
      </c>
      <c r="J1331" s="5" t="n">
        <v>1</v>
      </c>
      <c r="K1331" s="9" t="n">
        <f aca="false">I1331+J1331</f>
        <v>45758</v>
      </c>
      <c r="L1331" s="5" t="n">
        <v>1099</v>
      </c>
      <c r="M1331" s="10" t="n">
        <f aca="false">INDEX(Dim_Supplier!$F$2:$F$21,MATCH(B1331,Dim_Supplier!$A$2:$A$21,0))</f>
        <v>61.2</v>
      </c>
      <c r="N1331" s="11" t="n">
        <v>0.0194</v>
      </c>
      <c r="O1331" s="10" t="n">
        <f aca="false">M1331*(1+N1331)</f>
        <v>62.38728</v>
      </c>
      <c r="P1331" s="10" t="n">
        <f aca="false">O1331*L1331</f>
        <v>68563.62072</v>
      </c>
      <c r="Q1331" s="5" t="s">
        <v>113</v>
      </c>
      <c r="R1331" s="5" t="n">
        <v>0</v>
      </c>
      <c r="S1331" s="5" t="n">
        <v>30</v>
      </c>
      <c r="T1331" s="12" t="n">
        <f aca="false">(O1331-M1331)/M1331</f>
        <v>0.0194000000000001</v>
      </c>
      <c r="U1331" s="8" t="n">
        <f aca="false">IF(AND(K1331&lt;=I1331,R1331=0),1,0)</f>
        <v>0</v>
      </c>
      <c r="V1331" s="10" t="n">
        <f aca="false">IF(Q1331="No",P1331,0)</f>
        <v>0</v>
      </c>
    </row>
    <row r="1332" customFormat="false" ht="15" hidden="false" customHeight="false" outlineLevel="0" collapsed="false">
      <c r="A1332" s="5" t="s">
        <v>1466</v>
      </c>
      <c r="B1332" s="5" t="s">
        <v>66</v>
      </c>
      <c r="C1332" s="7" t="n">
        <v>45975</v>
      </c>
      <c r="D1332" s="8" t="str">
        <f aca="false">INDEX(Dim_Supplier!$C$2:$C$21,MATCH(B1332,Dim_Supplier!$A$2:$A$21,0))</f>
        <v>Packaging</v>
      </c>
      <c r="E1332" s="8" t="str">
        <f aca="false">INDEX(Dim_Supplier!$B$2:$B$21,MATCH(B1332,Dim_Supplier!$A$2:$A$21,0))</f>
        <v>EverGreen Wrap Industries</v>
      </c>
      <c r="F1332" s="5" t="s">
        <v>137</v>
      </c>
      <c r="G1332" s="5" t="s">
        <v>129</v>
      </c>
      <c r="H1332" s="8" t="n">
        <f aca="false">INDEX(Lookup_Tables!$B$2:$B$5,MATCH(D1332,Lookup_Tables!$A$2:$A$5,0))</f>
        <v>14</v>
      </c>
      <c r="I1332" s="9" t="n">
        <f aca="false">C1332+H1332</f>
        <v>45989</v>
      </c>
      <c r="J1332" s="5" t="n">
        <v>-3</v>
      </c>
      <c r="K1332" s="9" t="n">
        <f aca="false">I1332+J1332</f>
        <v>45986</v>
      </c>
      <c r="L1332" s="5" t="n">
        <v>1307</v>
      </c>
      <c r="M1332" s="10" t="n">
        <f aca="false">INDEX(Dim_Supplier!$F$2:$F$21,MATCH(B1332,Dim_Supplier!$A$2:$A$21,0))</f>
        <v>6.8</v>
      </c>
      <c r="N1332" s="11" t="n">
        <v>0.0441</v>
      </c>
      <c r="O1332" s="10" t="n">
        <f aca="false">M1332*(1+N1332)</f>
        <v>7.09988</v>
      </c>
      <c r="P1332" s="10" t="n">
        <f aca="false">O1332*L1332</f>
        <v>9279.54316</v>
      </c>
      <c r="Q1332" s="5" t="s">
        <v>113</v>
      </c>
      <c r="R1332" s="5" t="n">
        <v>0</v>
      </c>
      <c r="S1332" s="5" t="n">
        <v>45</v>
      </c>
      <c r="T1332" s="12" t="n">
        <f aca="false">(O1332-M1332)/M1332</f>
        <v>0.0441</v>
      </c>
      <c r="U1332" s="8" t="n">
        <f aca="false">IF(AND(K1332&lt;=I1332,R1332=0),1,0)</f>
        <v>1</v>
      </c>
      <c r="V1332" s="10" t="n">
        <f aca="false">IF(Q1332="No",P1332,0)</f>
        <v>0</v>
      </c>
    </row>
    <row r="1333" customFormat="false" ht="15" hidden="false" customHeight="false" outlineLevel="0" collapsed="false">
      <c r="A1333" s="5" t="s">
        <v>1467</v>
      </c>
      <c r="B1333" s="5" t="s">
        <v>57</v>
      </c>
      <c r="C1333" s="7" t="n">
        <v>45980</v>
      </c>
      <c r="D1333" s="8" t="str">
        <f aca="false">INDEX(Dim_Supplier!$C$2:$C$21,MATCH(B1333,Dim_Supplier!$A$2:$A$21,0))</f>
        <v>Packaging</v>
      </c>
      <c r="E1333" s="8" t="str">
        <f aca="false">INDEX(Dim_Supplier!$B$2:$B$21,MATCH(B1333,Dim_Supplier!$A$2:$A$21,0))</f>
        <v>Great Lakes Packaging Co.</v>
      </c>
      <c r="F1333" s="5" t="s">
        <v>122</v>
      </c>
      <c r="G1333" s="5" t="s">
        <v>125</v>
      </c>
      <c r="H1333" s="8" t="n">
        <f aca="false">INDEX(Lookup_Tables!$B$2:$B$5,MATCH(D1333,Lookup_Tables!$A$2:$A$5,0))</f>
        <v>14</v>
      </c>
      <c r="I1333" s="9" t="n">
        <f aca="false">C1333+H1333</f>
        <v>45994</v>
      </c>
      <c r="J1333" s="5" t="n">
        <v>-2</v>
      </c>
      <c r="K1333" s="9" t="n">
        <f aca="false">I1333+J1333</f>
        <v>45992</v>
      </c>
      <c r="L1333" s="5" t="n">
        <v>826</v>
      </c>
      <c r="M1333" s="10" t="n">
        <f aca="false">INDEX(Dim_Supplier!$F$2:$F$21,MATCH(B1333,Dim_Supplier!$A$2:$A$21,0))</f>
        <v>4.35</v>
      </c>
      <c r="N1333" s="11" t="n">
        <v>-0.0192</v>
      </c>
      <c r="O1333" s="10" t="n">
        <f aca="false">M1333*(1+N1333)</f>
        <v>4.26648</v>
      </c>
      <c r="P1333" s="10" t="n">
        <f aca="false">O1333*L1333</f>
        <v>3524.11248</v>
      </c>
      <c r="Q1333" s="5" t="s">
        <v>113</v>
      </c>
      <c r="R1333" s="5" t="n">
        <v>0</v>
      </c>
      <c r="S1333" s="5" t="n">
        <v>60</v>
      </c>
      <c r="T1333" s="12" t="n">
        <f aca="false">(O1333-M1333)/M1333</f>
        <v>-0.0192</v>
      </c>
      <c r="U1333" s="8" t="n">
        <f aca="false">IF(AND(K1333&lt;=I1333,R1333=0),1,0)</f>
        <v>1</v>
      </c>
      <c r="V1333" s="10" t="n">
        <f aca="false">IF(Q1333="No",P1333,0)</f>
        <v>0</v>
      </c>
    </row>
    <row r="1334" customFormat="false" ht="15" hidden="false" customHeight="false" outlineLevel="0" collapsed="false">
      <c r="A1334" s="5" t="s">
        <v>1468</v>
      </c>
      <c r="B1334" s="5" t="s">
        <v>68</v>
      </c>
      <c r="C1334" s="7" t="n">
        <v>45827</v>
      </c>
      <c r="D1334" s="8" t="str">
        <f aca="false">INDEX(Dim_Supplier!$C$2:$C$21,MATCH(B1334,Dim_Supplier!$A$2:$A$21,0))</f>
        <v>MRO</v>
      </c>
      <c r="E1334" s="8" t="str">
        <f aca="false">INDEX(Dim_Supplier!$B$2:$B$21,MATCH(B1334,Dim_Supplier!$A$2:$A$21,0))</f>
        <v>Precision Tool &amp; Supply</v>
      </c>
      <c r="F1334" s="5" t="s">
        <v>127</v>
      </c>
      <c r="G1334" s="5" t="s">
        <v>125</v>
      </c>
      <c r="H1334" s="8" t="n">
        <f aca="false">INDEX(Lookup_Tables!$B$2:$B$5,MATCH(D1334,Lookup_Tables!$A$2:$A$5,0))</f>
        <v>10</v>
      </c>
      <c r="I1334" s="9" t="n">
        <f aca="false">C1334+H1334</f>
        <v>45837</v>
      </c>
      <c r="J1334" s="5" t="n">
        <v>-2</v>
      </c>
      <c r="K1334" s="9" t="n">
        <f aca="false">I1334+J1334</f>
        <v>45835</v>
      </c>
      <c r="L1334" s="5" t="n">
        <v>115</v>
      </c>
      <c r="M1334" s="10" t="n">
        <f aca="false">INDEX(Dim_Supplier!$F$2:$F$21,MATCH(B1334,Dim_Supplier!$A$2:$A$21,0))</f>
        <v>22.4</v>
      </c>
      <c r="N1334" s="11" t="n">
        <v>-0.0159</v>
      </c>
      <c r="O1334" s="10" t="n">
        <f aca="false">M1334*(1+N1334)</f>
        <v>22.04384</v>
      </c>
      <c r="P1334" s="10" t="n">
        <f aca="false">O1334*L1334</f>
        <v>2535.0416</v>
      </c>
      <c r="Q1334" s="5" t="s">
        <v>113</v>
      </c>
      <c r="R1334" s="5" t="n">
        <v>0</v>
      </c>
      <c r="S1334" s="5" t="n">
        <v>45</v>
      </c>
      <c r="T1334" s="12" t="n">
        <f aca="false">(O1334-M1334)/M1334</f>
        <v>-0.0159</v>
      </c>
      <c r="U1334" s="8" t="n">
        <f aca="false">IF(AND(K1334&lt;=I1334,R1334=0),1,0)</f>
        <v>1</v>
      </c>
      <c r="V1334" s="10" t="n">
        <f aca="false">IF(Q1334="No",P1334,0)</f>
        <v>0</v>
      </c>
    </row>
    <row r="1335" customFormat="false" ht="15" hidden="false" customHeight="false" outlineLevel="0" collapsed="false">
      <c r="A1335" s="5" t="s">
        <v>1469</v>
      </c>
      <c r="B1335" s="5" t="s">
        <v>41</v>
      </c>
      <c r="C1335" s="7" t="n">
        <v>45628</v>
      </c>
      <c r="D1335" s="8" t="str">
        <f aca="false">INDEX(Dim_Supplier!$C$2:$C$21,MATCH(B1335,Dim_Supplier!$A$2:$A$21,0))</f>
        <v>Raw Materials</v>
      </c>
      <c r="E1335" s="8" t="str">
        <f aca="false">INDEX(Dim_Supplier!$B$2:$B$21,MATCH(B1335,Dim_Supplier!$A$2:$A$21,0))</f>
        <v>Ontario Steel Partners</v>
      </c>
      <c r="F1335" s="5" t="s">
        <v>148</v>
      </c>
      <c r="G1335" s="5" t="s">
        <v>120</v>
      </c>
      <c r="H1335" s="8" t="n">
        <f aca="false">INDEX(Lookup_Tables!$B$2:$B$5,MATCH(D1335,Lookup_Tables!$A$2:$A$5,0))</f>
        <v>21</v>
      </c>
      <c r="I1335" s="9" t="n">
        <f aca="false">C1335+H1335</f>
        <v>45649</v>
      </c>
      <c r="J1335" s="5" t="n">
        <v>0</v>
      </c>
      <c r="K1335" s="9" t="n">
        <f aca="false">I1335+J1335</f>
        <v>45649</v>
      </c>
      <c r="L1335" s="5" t="n">
        <v>1593</v>
      </c>
      <c r="M1335" s="10" t="n">
        <f aca="false">INDEX(Dim_Supplier!$F$2:$F$21,MATCH(B1335,Dim_Supplier!$A$2:$A$21,0))</f>
        <v>58</v>
      </c>
      <c r="N1335" s="11" t="n">
        <v>-0.0072</v>
      </c>
      <c r="O1335" s="10" t="n">
        <f aca="false">M1335*(1+N1335)</f>
        <v>57.5824</v>
      </c>
      <c r="P1335" s="10" t="n">
        <f aca="false">O1335*L1335</f>
        <v>91728.7632</v>
      </c>
      <c r="Q1335" s="5" t="s">
        <v>113</v>
      </c>
      <c r="R1335" s="5" t="n">
        <v>0</v>
      </c>
      <c r="S1335" s="5" t="n">
        <v>30</v>
      </c>
      <c r="T1335" s="12" t="n">
        <f aca="false">(O1335-M1335)/M1335</f>
        <v>-0.0072</v>
      </c>
      <c r="U1335" s="8" t="n">
        <f aca="false">IF(AND(K1335&lt;=I1335,R1335=0),1,0)</f>
        <v>1</v>
      </c>
      <c r="V1335" s="10" t="n">
        <f aca="false">IF(Q1335="No",P1335,0)</f>
        <v>0</v>
      </c>
    </row>
    <row r="1336" customFormat="false" ht="15" hidden="false" customHeight="false" outlineLevel="0" collapsed="false">
      <c r="A1336" s="5" t="s">
        <v>1470</v>
      </c>
      <c r="B1336" s="5" t="s">
        <v>75</v>
      </c>
      <c r="C1336" s="7" t="n">
        <v>45652</v>
      </c>
      <c r="D1336" s="8" t="str">
        <f aca="false">INDEX(Dim_Supplier!$C$2:$C$21,MATCH(B1336,Dim_Supplier!$A$2:$A$21,0))</f>
        <v>MRO</v>
      </c>
      <c r="E1336" s="8" t="str">
        <f aca="false">INDEX(Dim_Supplier!$B$2:$B$21,MATCH(B1336,Dim_Supplier!$A$2:$A$21,0))</f>
        <v>Sterling Lubricants Inc.</v>
      </c>
      <c r="F1336" s="5" t="s">
        <v>164</v>
      </c>
      <c r="G1336" s="5" t="s">
        <v>120</v>
      </c>
      <c r="H1336" s="8" t="n">
        <f aca="false">INDEX(Lookup_Tables!$B$2:$B$5,MATCH(D1336,Lookup_Tables!$A$2:$A$5,0))</f>
        <v>10</v>
      </c>
      <c r="I1336" s="9" t="n">
        <f aca="false">C1336+H1336</f>
        <v>45662</v>
      </c>
      <c r="J1336" s="5" t="n">
        <v>-4</v>
      </c>
      <c r="K1336" s="9" t="n">
        <f aca="false">I1336+J1336</f>
        <v>45658</v>
      </c>
      <c r="L1336" s="5" t="n">
        <v>122</v>
      </c>
      <c r="M1336" s="10" t="n">
        <f aca="false">INDEX(Dim_Supplier!$F$2:$F$21,MATCH(B1336,Dim_Supplier!$A$2:$A$21,0))</f>
        <v>27.1</v>
      </c>
      <c r="N1336" s="11" t="n">
        <v>0.0221</v>
      </c>
      <c r="O1336" s="10" t="n">
        <f aca="false">M1336*(1+N1336)</f>
        <v>27.69891</v>
      </c>
      <c r="P1336" s="10" t="n">
        <f aca="false">O1336*L1336</f>
        <v>3379.26702</v>
      </c>
      <c r="Q1336" s="5" t="s">
        <v>113</v>
      </c>
      <c r="R1336" s="5" t="n">
        <v>0</v>
      </c>
      <c r="S1336" s="5" t="n">
        <v>45</v>
      </c>
      <c r="T1336" s="12" t="n">
        <f aca="false">(O1336-M1336)/M1336</f>
        <v>0.0221</v>
      </c>
      <c r="U1336" s="8" t="n">
        <f aca="false">IF(AND(K1336&lt;=I1336,R1336=0),1,0)</f>
        <v>1</v>
      </c>
      <c r="V1336" s="10" t="n">
        <f aca="false">IF(Q1336="No",P1336,0)</f>
        <v>0</v>
      </c>
    </row>
    <row r="1337" customFormat="false" ht="15" hidden="false" customHeight="false" outlineLevel="0" collapsed="false">
      <c r="A1337" s="5" t="s">
        <v>1471</v>
      </c>
      <c r="B1337" s="5" t="s">
        <v>49</v>
      </c>
      <c r="C1337" s="7" t="n">
        <v>45863</v>
      </c>
      <c r="D1337" s="8" t="str">
        <f aca="false">INDEX(Dim_Supplier!$C$2:$C$21,MATCH(B1337,Dim_Supplier!$A$2:$A$21,0))</f>
        <v>Raw Materials</v>
      </c>
      <c r="E1337" s="8" t="str">
        <f aca="false">INDEX(Dim_Supplier!$B$2:$B$21,MATCH(B1337,Dim_Supplier!$A$2:$A$21,0))</f>
        <v>Great Lakes Polymer Co.</v>
      </c>
      <c r="F1337" s="5" t="s">
        <v>144</v>
      </c>
      <c r="G1337" s="5" t="s">
        <v>120</v>
      </c>
      <c r="H1337" s="8" t="n">
        <f aca="false">INDEX(Lookup_Tables!$B$2:$B$5,MATCH(D1337,Lookup_Tables!$A$2:$A$5,0))</f>
        <v>21</v>
      </c>
      <c r="I1337" s="9" t="n">
        <f aca="false">C1337+H1337</f>
        <v>45884</v>
      </c>
      <c r="J1337" s="5" t="n">
        <v>4</v>
      </c>
      <c r="K1337" s="9" t="n">
        <f aca="false">I1337+J1337</f>
        <v>45888</v>
      </c>
      <c r="L1337" s="5" t="n">
        <v>1699</v>
      </c>
      <c r="M1337" s="10" t="n">
        <f aca="false">INDEX(Dim_Supplier!$F$2:$F$21,MATCH(B1337,Dim_Supplier!$A$2:$A$21,0))</f>
        <v>32.75</v>
      </c>
      <c r="N1337" s="11" t="n">
        <v>0.0866</v>
      </c>
      <c r="O1337" s="10" t="n">
        <f aca="false">M1337*(1+N1337)</f>
        <v>35.58615</v>
      </c>
      <c r="P1337" s="10" t="n">
        <f aca="false">O1337*L1337</f>
        <v>60460.86885</v>
      </c>
      <c r="Q1337" s="5" t="s">
        <v>133</v>
      </c>
      <c r="R1337" s="5" t="n">
        <v>0</v>
      </c>
      <c r="S1337" s="5" t="n">
        <v>60</v>
      </c>
      <c r="T1337" s="12" t="n">
        <f aca="false">(O1337-M1337)/M1337</f>
        <v>0.0866000000000001</v>
      </c>
      <c r="U1337" s="8" t="n">
        <f aca="false">IF(AND(K1337&lt;=I1337,R1337=0),1,0)</f>
        <v>0</v>
      </c>
      <c r="V1337" s="10" t="n">
        <f aca="false">IF(Q1337="No",P1337,0)</f>
        <v>60460.86885</v>
      </c>
    </row>
    <row r="1338" customFormat="false" ht="15" hidden="false" customHeight="false" outlineLevel="0" collapsed="false">
      <c r="A1338" s="5" t="s">
        <v>1472</v>
      </c>
      <c r="B1338" s="5" t="s">
        <v>57</v>
      </c>
      <c r="C1338" s="7" t="n">
        <v>45923</v>
      </c>
      <c r="D1338" s="8" t="str">
        <f aca="false">INDEX(Dim_Supplier!$C$2:$C$21,MATCH(B1338,Dim_Supplier!$A$2:$A$21,0))</f>
        <v>Packaging</v>
      </c>
      <c r="E1338" s="8" t="str">
        <f aca="false">INDEX(Dim_Supplier!$B$2:$B$21,MATCH(B1338,Dim_Supplier!$A$2:$A$21,0))</f>
        <v>Great Lakes Packaging Co.</v>
      </c>
      <c r="F1338" s="5" t="s">
        <v>122</v>
      </c>
      <c r="G1338" s="5" t="s">
        <v>112</v>
      </c>
      <c r="H1338" s="8" t="n">
        <f aca="false">INDEX(Lookup_Tables!$B$2:$B$5,MATCH(D1338,Lookup_Tables!$A$2:$A$5,0))</f>
        <v>14</v>
      </c>
      <c r="I1338" s="9" t="n">
        <f aca="false">C1338+H1338</f>
        <v>45937</v>
      </c>
      <c r="J1338" s="5" t="n">
        <v>-4</v>
      </c>
      <c r="K1338" s="9" t="n">
        <f aca="false">I1338+J1338</f>
        <v>45933</v>
      </c>
      <c r="L1338" s="5" t="n">
        <v>1240</v>
      </c>
      <c r="M1338" s="10" t="n">
        <f aca="false">INDEX(Dim_Supplier!$F$2:$F$21,MATCH(B1338,Dim_Supplier!$A$2:$A$21,0))</f>
        <v>4.35</v>
      </c>
      <c r="N1338" s="11" t="n">
        <v>0.0256</v>
      </c>
      <c r="O1338" s="10" t="n">
        <f aca="false">M1338*(1+N1338)</f>
        <v>4.46136</v>
      </c>
      <c r="P1338" s="10" t="n">
        <f aca="false">O1338*L1338</f>
        <v>5532.0864</v>
      </c>
      <c r="Q1338" s="5" t="s">
        <v>113</v>
      </c>
      <c r="R1338" s="5" t="n">
        <v>0</v>
      </c>
      <c r="S1338" s="5" t="n">
        <v>30</v>
      </c>
      <c r="T1338" s="12" t="n">
        <f aca="false">(O1338-M1338)/M1338</f>
        <v>0.0256000000000001</v>
      </c>
      <c r="U1338" s="8" t="n">
        <f aca="false">IF(AND(K1338&lt;=I1338,R1338=0),1,0)</f>
        <v>1</v>
      </c>
      <c r="V1338" s="10" t="n">
        <f aca="false">IF(Q1338="No",P1338,0)</f>
        <v>0</v>
      </c>
    </row>
    <row r="1339" customFormat="false" ht="15" hidden="false" customHeight="false" outlineLevel="0" collapsed="false">
      <c r="A1339" s="5" t="s">
        <v>1473</v>
      </c>
      <c r="B1339" s="5" t="s">
        <v>52</v>
      </c>
      <c r="C1339" s="7" t="n">
        <v>45683</v>
      </c>
      <c r="D1339" s="8" t="str">
        <f aca="false">INDEX(Dim_Supplier!$C$2:$C$21,MATCH(B1339,Dim_Supplier!$A$2:$A$21,0))</f>
        <v>Raw Materials</v>
      </c>
      <c r="E1339" s="8" t="str">
        <f aca="false">INDEX(Dim_Supplier!$B$2:$B$21,MATCH(B1339,Dim_Supplier!$A$2:$A$21,0))</f>
        <v>Laurentian Metals Inc.</v>
      </c>
      <c r="F1339" s="5" t="s">
        <v>115</v>
      </c>
      <c r="G1339" s="5" t="s">
        <v>120</v>
      </c>
      <c r="H1339" s="8" t="n">
        <f aca="false">INDEX(Lookup_Tables!$B$2:$B$5,MATCH(D1339,Lookup_Tables!$A$2:$A$5,0))</f>
        <v>21</v>
      </c>
      <c r="I1339" s="9" t="n">
        <f aca="false">C1339+H1339</f>
        <v>45704</v>
      </c>
      <c r="J1339" s="5" t="n">
        <v>-2</v>
      </c>
      <c r="K1339" s="9" t="n">
        <f aca="false">I1339+J1339</f>
        <v>45702</v>
      </c>
      <c r="L1339" s="5" t="n">
        <v>790</v>
      </c>
      <c r="M1339" s="10" t="n">
        <f aca="false">INDEX(Dim_Supplier!$F$2:$F$21,MATCH(B1339,Dim_Supplier!$A$2:$A$21,0))</f>
        <v>61.2</v>
      </c>
      <c r="N1339" s="11" t="n">
        <v>0.0019</v>
      </c>
      <c r="O1339" s="10" t="n">
        <f aca="false">M1339*(1+N1339)</f>
        <v>61.31628</v>
      </c>
      <c r="P1339" s="10" t="n">
        <f aca="false">O1339*L1339</f>
        <v>48439.8612</v>
      </c>
      <c r="Q1339" s="5" t="s">
        <v>113</v>
      </c>
      <c r="R1339" s="5" t="n">
        <v>0</v>
      </c>
      <c r="S1339" s="5" t="n">
        <v>45</v>
      </c>
      <c r="T1339" s="12" t="n">
        <f aca="false">(O1339-M1339)/M1339</f>
        <v>0.00190000000000005</v>
      </c>
      <c r="U1339" s="8" t="n">
        <f aca="false">IF(AND(K1339&lt;=I1339,R1339=0),1,0)</f>
        <v>1</v>
      </c>
      <c r="V1339" s="10" t="n">
        <f aca="false">IF(Q1339="No",P1339,0)</f>
        <v>0</v>
      </c>
    </row>
    <row r="1340" customFormat="false" ht="15" hidden="false" customHeight="false" outlineLevel="0" collapsed="false">
      <c r="A1340" s="5" t="s">
        <v>1474</v>
      </c>
      <c r="B1340" s="5" t="s">
        <v>88</v>
      </c>
      <c r="C1340" s="7" t="n">
        <v>45622</v>
      </c>
      <c r="D1340" s="8" t="str">
        <f aca="false">INDEX(Dim_Supplier!$C$2:$C$21,MATCH(B1340,Dim_Supplier!$A$2:$A$21,0))</f>
        <v>Logistics</v>
      </c>
      <c r="E1340" s="8" t="str">
        <f aca="false">INDEX(Dim_Supplier!$B$2:$B$21,MATCH(B1340,Dim_Supplier!$A$2:$A$21,0))</f>
        <v>Summit Last-Mile Delivery</v>
      </c>
      <c r="F1340" s="5" t="s">
        <v>124</v>
      </c>
      <c r="G1340" s="5" t="s">
        <v>129</v>
      </c>
      <c r="H1340" s="8" t="n">
        <f aca="false">INDEX(Lookup_Tables!$B$2:$B$5,MATCH(D1340,Lookup_Tables!$A$2:$A$5,0))</f>
        <v>5</v>
      </c>
      <c r="I1340" s="9" t="n">
        <f aca="false">C1340+H1340</f>
        <v>45627</v>
      </c>
      <c r="J1340" s="5" t="n">
        <v>0</v>
      </c>
      <c r="K1340" s="9" t="n">
        <f aca="false">I1340+J1340</f>
        <v>45627</v>
      </c>
      <c r="L1340" s="5" t="n">
        <v>33</v>
      </c>
      <c r="M1340" s="10" t="n">
        <f aca="false">INDEX(Dim_Supplier!$F$2:$F$21,MATCH(B1340,Dim_Supplier!$A$2:$A$21,0))</f>
        <v>95</v>
      </c>
      <c r="N1340" s="11" t="n">
        <v>0.056</v>
      </c>
      <c r="O1340" s="10" t="n">
        <f aca="false">M1340*(1+N1340)</f>
        <v>100.32</v>
      </c>
      <c r="P1340" s="10" t="n">
        <f aca="false">O1340*L1340</f>
        <v>3310.56</v>
      </c>
      <c r="Q1340" s="5" t="s">
        <v>113</v>
      </c>
      <c r="R1340" s="5" t="n">
        <v>0</v>
      </c>
      <c r="S1340" s="5" t="n">
        <v>45</v>
      </c>
      <c r="T1340" s="12" t="n">
        <f aca="false">(O1340-M1340)/M1340</f>
        <v>0.0560000000000001</v>
      </c>
      <c r="U1340" s="8" t="n">
        <f aca="false">IF(AND(K1340&lt;=I1340,R1340=0),1,0)</f>
        <v>1</v>
      </c>
      <c r="V1340" s="10" t="n">
        <f aca="false">IF(Q1340="No",P1340,0)</f>
        <v>0</v>
      </c>
    </row>
    <row r="1341" customFormat="false" ht="15" hidden="false" customHeight="false" outlineLevel="0" collapsed="false">
      <c r="A1341" s="5" t="s">
        <v>1475</v>
      </c>
      <c r="B1341" s="5" t="s">
        <v>68</v>
      </c>
      <c r="C1341" s="7" t="n">
        <v>45699</v>
      </c>
      <c r="D1341" s="8" t="str">
        <f aca="false">INDEX(Dim_Supplier!$C$2:$C$21,MATCH(B1341,Dim_Supplier!$A$2:$A$21,0))</f>
        <v>MRO</v>
      </c>
      <c r="E1341" s="8" t="str">
        <f aca="false">INDEX(Dim_Supplier!$B$2:$B$21,MATCH(B1341,Dim_Supplier!$A$2:$A$21,0))</f>
        <v>Precision Tool &amp; Supply</v>
      </c>
      <c r="F1341" s="5" t="s">
        <v>132</v>
      </c>
      <c r="G1341" s="5" t="s">
        <v>129</v>
      </c>
      <c r="H1341" s="8" t="n">
        <f aca="false">INDEX(Lookup_Tables!$B$2:$B$5,MATCH(D1341,Lookup_Tables!$A$2:$A$5,0))</f>
        <v>10</v>
      </c>
      <c r="I1341" s="9" t="n">
        <f aca="false">C1341+H1341</f>
        <v>45709</v>
      </c>
      <c r="J1341" s="5" t="n">
        <v>-3</v>
      </c>
      <c r="K1341" s="9" t="n">
        <f aca="false">I1341+J1341</f>
        <v>45706</v>
      </c>
      <c r="L1341" s="5" t="n">
        <v>158</v>
      </c>
      <c r="M1341" s="10" t="n">
        <f aca="false">INDEX(Dim_Supplier!$F$2:$F$21,MATCH(B1341,Dim_Supplier!$A$2:$A$21,0))</f>
        <v>22.4</v>
      </c>
      <c r="N1341" s="11" t="n">
        <v>0.0183</v>
      </c>
      <c r="O1341" s="10" t="n">
        <f aca="false">M1341*(1+N1341)</f>
        <v>22.80992</v>
      </c>
      <c r="P1341" s="10" t="n">
        <f aca="false">O1341*L1341</f>
        <v>3603.96736</v>
      </c>
      <c r="Q1341" s="5" t="s">
        <v>113</v>
      </c>
      <c r="R1341" s="5" t="n">
        <v>0</v>
      </c>
      <c r="S1341" s="5" t="n">
        <v>60</v>
      </c>
      <c r="T1341" s="12" t="n">
        <f aca="false">(O1341-M1341)/M1341</f>
        <v>0.0183</v>
      </c>
      <c r="U1341" s="8" t="n">
        <f aca="false">IF(AND(K1341&lt;=I1341,R1341=0),1,0)</f>
        <v>1</v>
      </c>
      <c r="V1341" s="10" t="n">
        <f aca="false">IF(Q1341="No",P1341,0)</f>
        <v>0</v>
      </c>
    </row>
    <row r="1342" customFormat="false" ht="15" hidden="false" customHeight="false" outlineLevel="0" collapsed="false">
      <c r="A1342" s="5" t="s">
        <v>1476</v>
      </c>
      <c r="B1342" s="5" t="s">
        <v>46</v>
      </c>
      <c r="C1342" s="7" t="n">
        <v>45640</v>
      </c>
      <c r="D1342" s="8" t="str">
        <f aca="false">INDEX(Dim_Supplier!$C$2:$C$21,MATCH(B1342,Dim_Supplier!$A$2:$A$21,0))</f>
        <v>Raw Materials</v>
      </c>
      <c r="E1342" s="8" t="str">
        <f aca="false">INDEX(Dim_Supplier!$B$2:$B$21,MATCH(B1342,Dim_Supplier!$A$2:$A$21,0))</f>
        <v>Niagara Alloy Supply</v>
      </c>
      <c r="F1342" s="5" t="s">
        <v>144</v>
      </c>
      <c r="G1342" s="5" t="s">
        <v>120</v>
      </c>
      <c r="H1342" s="8" t="n">
        <f aca="false">INDEX(Lookup_Tables!$B$2:$B$5,MATCH(D1342,Lookup_Tables!$A$2:$A$5,0))</f>
        <v>21</v>
      </c>
      <c r="I1342" s="9" t="n">
        <f aca="false">C1342+H1342</f>
        <v>45661</v>
      </c>
      <c r="J1342" s="5" t="n">
        <v>-4</v>
      </c>
      <c r="K1342" s="9" t="n">
        <f aca="false">I1342+J1342</f>
        <v>45657</v>
      </c>
      <c r="L1342" s="5" t="n">
        <v>312</v>
      </c>
      <c r="M1342" s="10" t="n">
        <f aca="false">INDEX(Dim_Supplier!$F$2:$F$21,MATCH(B1342,Dim_Supplier!$A$2:$A$21,0))</f>
        <v>46.5</v>
      </c>
      <c r="N1342" s="11" t="n">
        <v>0.0572</v>
      </c>
      <c r="O1342" s="10" t="n">
        <f aca="false">M1342*(1+N1342)</f>
        <v>49.1598</v>
      </c>
      <c r="P1342" s="10" t="n">
        <f aca="false">O1342*L1342</f>
        <v>15337.8576</v>
      </c>
      <c r="Q1342" s="5" t="s">
        <v>113</v>
      </c>
      <c r="R1342" s="5" t="n">
        <v>0</v>
      </c>
      <c r="S1342" s="5" t="n">
        <v>60</v>
      </c>
      <c r="T1342" s="12" t="n">
        <f aca="false">(O1342-M1342)/M1342</f>
        <v>0.0571999999999999</v>
      </c>
      <c r="U1342" s="8" t="n">
        <f aca="false">IF(AND(K1342&lt;=I1342,R1342=0),1,0)</f>
        <v>1</v>
      </c>
      <c r="V1342" s="10" t="n">
        <f aca="false">IF(Q1342="No",P1342,0)</f>
        <v>0</v>
      </c>
    </row>
    <row r="1343" customFormat="false" ht="15" hidden="false" customHeight="false" outlineLevel="0" collapsed="false">
      <c r="A1343" s="5" t="s">
        <v>1477</v>
      </c>
      <c r="B1343" s="5" t="s">
        <v>79</v>
      </c>
      <c r="C1343" s="7" t="n">
        <v>45920</v>
      </c>
      <c r="D1343" s="8" t="str">
        <f aca="false">INDEX(Dim_Supplier!$C$2:$C$21,MATCH(B1343,Dim_Supplier!$A$2:$A$21,0))</f>
        <v>Logistics</v>
      </c>
      <c r="E1343" s="8" t="str">
        <f aca="false">INDEX(Dim_Supplier!$B$2:$B$21,MATCH(B1343,Dim_Supplier!$A$2:$A$21,0))</f>
        <v>Niagara Freight Solutions</v>
      </c>
      <c r="F1343" s="5" t="s">
        <v>185</v>
      </c>
      <c r="G1343" s="5" t="s">
        <v>129</v>
      </c>
      <c r="H1343" s="8" t="n">
        <f aca="false">INDEX(Lookup_Tables!$B$2:$B$5,MATCH(D1343,Lookup_Tables!$A$2:$A$5,0))</f>
        <v>5</v>
      </c>
      <c r="I1343" s="9" t="n">
        <f aca="false">C1343+H1343</f>
        <v>45925</v>
      </c>
      <c r="J1343" s="5" t="n">
        <v>-3</v>
      </c>
      <c r="K1343" s="9" t="n">
        <f aca="false">I1343+J1343</f>
        <v>45922</v>
      </c>
      <c r="L1343" s="5" t="n">
        <v>3</v>
      </c>
      <c r="M1343" s="10" t="n">
        <f aca="false">INDEX(Dim_Supplier!$F$2:$F$21,MATCH(B1343,Dim_Supplier!$A$2:$A$21,0))</f>
        <v>340</v>
      </c>
      <c r="N1343" s="11" t="n">
        <v>0.0228</v>
      </c>
      <c r="O1343" s="10" t="n">
        <f aca="false">M1343*(1+N1343)</f>
        <v>347.752</v>
      </c>
      <c r="P1343" s="10" t="n">
        <f aca="false">O1343*L1343</f>
        <v>1043.256</v>
      </c>
      <c r="Q1343" s="5" t="s">
        <v>113</v>
      </c>
      <c r="R1343" s="5" t="n">
        <v>0</v>
      </c>
      <c r="S1343" s="5" t="n">
        <v>60</v>
      </c>
      <c r="T1343" s="12" t="n">
        <f aca="false">(O1343-M1343)/M1343</f>
        <v>0.0227999999999999</v>
      </c>
      <c r="U1343" s="8" t="n">
        <f aca="false">IF(AND(K1343&lt;=I1343,R1343=0),1,0)</f>
        <v>1</v>
      </c>
      <c r="V1343" s="10" t="n">
        <f aca="false">IF(Q1343="No",P1343,0)</f>
        <v>0</v>
      </c>
    </row>
    <row r="1344" customFormat="false" ht="15" hidden="false" customHeight="false" outlineLevel="0" collapsed="false">
      <c r="A1344" s="5" t="s">
        <v>1478</v>
      </c>
      <c r="B1344" s="5" t="s">
        <v>41</v>
      </c>
      <c r="C1344" s="7" t="n">
        <v>45521</v>
      </c>
      <c r="D1344" s="8" t="str">
        <f aca="false">INDEX(Dim_Supplier!$C$2:$C$21,MATCH(B1344,Dim_Supplier!$A$2:$A$21,0))</f>
        <v>Raw Materials</v>
      </c>
      <c r="E1344" s="8" t="str">
        <f aca="false">INDEX(Dim_Supplier!$B$2:$B$21,MATCH(B1344,Dim_Supplier!$A$2:$A$21,0))</f>
        <v>Ontario Steel Partners</v>
      </c>
      <c r="F1344" s="5" t="s">
        <v>115</v>
      </c>
      <c r="G1344" s="5" t="s">
        <v>112</v>
      </c>
      <c r="H1344" s="8" t="n">
        <f aca="false">INDEX(Lookup_Tables!$B$2:$B$5,MATCH(D1344,Lookup_Tables!$A$2:$A$5,0))</f>
        <v>21</v>
      </c>
      <c r="I1344" s="9" t="n">
        <f aca="false">C1344+H1344</f>
        <v>45542</v>
      </c>
      <c r="J1344" s="5" t="n">
        <v>-1</v>
      </c>
      <c r="K1344" s="9" t="n">
        <f aca="false">I1344+J1344</f>
        <v>45541</v>
      </c>
      <c r="L1344" s="5" t="n">
        <v>1762</v>
      </c>
      <c r="M1344" s="10" t="n">
        <f aca="false">INDEX(Dim_Supplier!$F$2:$F$21,MATCH(B1344,Dim_Supplier!$A$2:$A$21,0))</f>
        <v>58</v>
      </c>
      <c r="N1344" s="11" t="n">
        <v>-0.0052</v>
      </c>
      <c r="O1344" s="10" t="n">
        <f aca="false">M1344*(1+N1344)</f>
        <v>57.6984</v>
      </c>
      <c r="P1344" s="10" t="n">
        <f aca="false">O1344*L1344</f>
        <v>101664.5808</v>
      </c>
      <c r="Q1344" s="5" t="s">
        <v>113</v>
      </c>
      <c r="R1344" s="5" t="n">
        <v>0</v>
      </c>
      <c r="S1344" s="5" t="n">
        <v>30</v>
      </c>
      <c r="T1344" s="12" t="n">
        <f aca="false">(O1344-M1344)/M1344</f>
        <v>-0.00520000000000001</v>
      </c>
      <c r="U1344" s="8" t="n">
        <f aca="false">IF(AND(K1344&lt;=I1344,R1344=0),1,0)</f>
        <v>1</v>
      </c>
      <c r="V1344" s="10" t="n">
        <f aca="false">IF(Q1344="No",P1344,0)</f>
        <v>0</v>
      </c>
    </row>
    <row r="1345" customFormat="false" ht="15" hidden="false" customHeight="false" outlineLevel="0" collapsed="false">
      <c r="A1345" s="5" t="s">
        <v>1479</v>
      </c>
      <c r="B1345" s="5" t="s">
        <v>41</v>
      </c>
      <c r="C1345" s="7" t="n">
        <v>45918</v>
      </c>
      <c r="D1345" s="8" t="str">
        <f aca="false">INDEX(Dim_Supplier!$C$2:$C$21,MATCH(B1345,Dim_Supplier!$A$2:$A$21,0))</f>
        <v>Raw Materials</v>
      </c>
      <c r="E1345" s="8" t="str">
        <f aca="false">INDEX(Dim_Supplier!$B$2:$B$21,MATCH(B1345,Dim_Supplier!$A$2:$A$21,0))</f>
        <v>Ontario Steel Partners</v>
      </c>
      <c r="F1345" s="5" t="s">
        <v>142</v>
      </c>
      <c r="G1345" s="5" t="s">
        <v>125</v>
      </c>
      <c r="H1345" s="8" t="n">
        <f aca="false">INDEX(Lookup_Tables!$B$2:$B$5,MATCH(D1345,Lookup_Tables!$A$2:$A$5,0))</f>
        <v>21</v>
      </c>
      <c r="I1345" s="9" t="n">
        <f aca="false">C1345+H1345</f>
        <v>45939</v>
      </c>
      <c r="J1345" s="5" t="n">
        <v>-4</v>
      </c>
      <c r="K1345" s="9" t="n">
        <f aca="false">I1345+J1345</f>
        <v>45935</v>
      </c>
      <c r="L1345" s="5" t="n">
        <v>1263</v>
      </c>
      <c r="M1345" s="10" t="n">
        <f aca="false">INDEX(Dim_Supplier!$F$2:$F$21,MATCH(B1345,Dim_Supplier!$A$2:$A$21,0))</f>
        <v>58</v>
      </c>
      <c r="N1345" s="11" t="n">
        <v>0.023</v>
      </c>
      <c r="O1345" s="10" t="n">
        <f aca="false">M1345*(1+N1345)</f>
        <v>59.334</v>
      </c>
      <c r="P1345" s="10" t="n">
        <f aca="false">O1345*L1345</f>
        <v>74938.842</v>
      </c>
      <c r="Q1345" s="5" t="s">
        <v>113</v>
      </c>
      <c r="R1345" s="5" t="n">
        <v>0</v>
      </c>
      <c r="S1345" s="5" t="n">
        <v>45</v>
      </c>
      <c r="T1345" s="12" t="n">
        <f aca="false">(O1345-M1345)/M1345</f>
        <v>0.0229999999999999</v>
      </c>
      <c r="U1345" s="8" t="n">
        <f aca="false">IF(AND(K1345&lt;=I1345,R1345=0),1,0)</f>
        <v>1</v>
      </c>
      <c r="V1345" s="10" t="n">
        <f aca="false">IF(Q1345="No",P1345,0)</f>
        <v>0</v>
      </c>
    </row>
    <row r="1346" customFormat="false" ht="15" hidden="false" customHeight="false" outlineLevel="0" collapsed="false">
      <c r="A1346" s="5" t="s">
        <v>1480</v>
      </c>
      <c r="B1346" s="5" t="s">
        <v>60</v>
      </c>
      <c r="C1346" s="7" t="n">
        <v>45881</v>
      </c>
      <c r="D1346" s="8" t="str">
        <f aca="false">INDEX(Dim_Supplier!$C$2:$C$21,MATCH(B1346,Dim_Supplier!$A$2:$A$21,0))</f>
        <v>Packaging</v>
      </c>
      <c r="E1346" s="8" t="str">
        <f aca="false">INDEX(Dim_Supplier!$B$2:$B$21,MATCH(B1346,Dim_Supplier!$A$2:$A$21,0))</f>
        <v>Maple Leaf Box &amp; Crate</v>
      </c>
      <c r="F1346" s="5" t="s">
        <v>137</v>
      </c>
      <c r="G1346" s="5" t="s">
        <v>120</v>
      </c>
      <c r="H1346" s="8" t="n">
        <f aca="false">INDEX(Lookup_Tables!$B$2:$B$5,MATCH(D1346,Lookup_Tables!$A$2:$A$5,0))</f>
        <v>14</v>
      </c>
      <c r="I1346" s="9" t="n">
        <f aca="false">C1346+H1346</f>
        <v>45895</v>
      </c>
      <c r="J1346" s="5" t="n">
        <v>-3</v>
      </c>
      <c r="K1346" s="9" t="n">
        <f aca="false">I1346+J1346</f>
        <v>45892</v>
      </c>
      <c r="L1346" s="5" t="n">
        <v>2659</v>
      </c>
      <c r="M1346" s="10" t="n">
        <f aca="false">INDEX(Dim_Supplier!$F$2:$F$21,MATCH(B1346,Dim_Supplier!$A$2:$A$21,0))</f>
        <v>3.1</v>
      </c>
      <c r="N1346" s="11" t="n">
        <v>-0.0146</v>
      </c>
      <c r="O1346" s="10" t="n">
        <f aca="false">M1346*(1+N1346)</f>
        <v>3.05474</v>
      </c>
      <c r="P1346" s="10" t="n">
        <f aca="false">O1346*L1346</f>
        <v>8122.55366</v>
      </c>
      <c r="Q1346" s="5" t="s">
        <v>113</v>
      </c>
      <c r="R1346" s="5" t="n">
        <v>0</v>
      </c>
      <c r="S1346" s="5" t="n">
        <v>60</v>
      </c>
      <c r="T1346" s="12" t="n">
        <f aca="false">(O1346-M1346)/M1346</f>
        <v>-0.0146</v>
      </c>
      <c r="U1346" s="8" t="n">
        <f aca="false">IF(AND(K1346&lt;=I1346,R1346=0),1,0)</f>
        <v>1</v>
      </c>
      <c r="V1346" s="10" t="n">
        <f aca="false">IF(Q1346="No",P1346,0)</f>
        <v>0</v>
      </c>
    </row>
    <row r="1347" customFormat="false" ht="15" hidden="false" customHeight="false" outlineLevel="0" collapsed="false">
      <c r="A1347" s="5" t="s">
        <v>1481</v>
      </c>
      <c r="B1347" s="5" t="s">
        <v>52</v>
      </c>
      <c r="C1347" s="7" t="n">
        <v>45845</v>
      </c>
      <c r="D1347" s="8" t="str">
        <f aca="false">INDEX(Dim_Supplier!$C$2:$C$21,MATCH(B1347,Dim_Supplier!$A$2:$A$21,0))</f>
        <v>Raw Materials</v>
      </c>
      <c r="E1347" s="8" t="str">
        <f aca="false">INDEX(Dim_Supplier!$B$2:$B$21,MATCH(B1347,Dim_Supplier!$A$2:$A$21,0))</f>
        <v>Laurentian Metals Inc.</v>
      </c>
      <c r="F1347" s="5" t="s">
        <v>139</v>
      </c>
      <c r="G1347" s="5" t="s">
        <v>129</v>
      </c>
      <c r="H1347" s="8" t="n">
        <f aca="false">INDEX(Lookup_Tables!$B$2:$B$5,MATCH(D1347,Lookup_Tables!$A$2:$A$5,0))</f>
        <v>21</v>
      </c>
      <c r="I1347" s="9" t="n">
        <f aca="false">C1347+H1347</f>
        <v>45866</v>
      </c>
      <c r="J1347" s="5" t="n">
        <v>-2</v>
      </c>
      <c r="K1347" s="9" t="n">
        <f aca="false">I1347+J1347</f>
        <v>45864</v>
      </c>
      <c r="L1347" s="5" t="n">
        <v>1861</v>
      </c>
      <c r="M1347" s="10" t="n">
        <f aca="false">INDEX(Dim_Supplier!$F$2:$F$21,MATCH(B1347,Dim_Supplier!$A$2:$A$21,0))</f>
        <v>61.2</v>
      </c>
      <c r="N1347" s="11" t="n">
        <v>0.0172</v>
      </c>
      <c r="O1347" s="10" t="n">
        <f aca="false">M1347*(1+N1347)</f>
        <v>62.25264</v>
      </c>
      <c r="P1347" s="10" t="n">
        <f aca="false">O1347*L1347</f>
        <v>115852.16304</v>
      </c>
      <c r="Q1347" s="5" t="s">
        <v>113</v>
      </c>
      <c r="R1347" s="5" t="n">
        <v>0</v>
      </c>
      <c r="S1347" s="5" t="n">
        <v>45</v>
      </c>
      <c r="T1347" s="12" t="n">
        <f aca="false">(O1347-M1347)/M1347</f>
        <v>0.0172000000000001</v>
      </c>
      <c r="U1347" s="8" t="n">
        <f aca="false">IF(AND(K1347&lt;=I1347,R1347=0),1,0)</f>
        <v>1</v>
      </c>
      <c r="V1347" s="10" t="n">
        <f aca="false">IF(Q1347="No",P1347,0)</f>
        <v>0</v>
      </c>
    </row>
    <row r="1348" customFormat="false" ht="15" hidden="false" customHeight="false" outlineLevel="0" collapsed="false">
      <c r="A1348" s="5" t="s">
        <v>1482</v>
      </c>
      <c r="B1348" s="5" t="s">
        <v>68</v>
      </c>
      <c r="C1348" s="7" t="n">
        <v>45390</v>
      </c>
      <c r="D1348" s="8" t="str">
        <f aca="false">INDEX(Dim_Supplier!$C$2:$C$21,MATCH(B1348,Dim_Supplier!$A$2:$A$21,0))</f>
        <v>MRO</v>
      </c>
      <c r="E1348" s="8" t="str">
        <f aca="false">INDEX(Dim_Supplier!$B$2:$B$21,MATCH(B1348,Dim_Supplier!$A$2:$A$21,0))</f>
        <v>Precision Tool &amp; Supply</v>
      </c>
      <c r="F1348" s="5" t="s">
        <v>132</v>
      </c>
      <c r="G1348" s="5" t="s">
        <v>125</v>
      </c>
      <c r="H1348" s="8" t="n">
        <f aca="false">INDEX(Lookup_Tables!$B$2:$B$5,MATCH(D1348,Lookup_Tables!$A$2:$A$5,0))</f>
        <v>10</v>
      </c>
      <c r="I1348" s="9" t="n">
        <f aca="false">C1348+H1348</f>
        <v>45400</v>
      </c>
      <c r="J1348" s="5" t="n">
        <v>-4</v>
      </c>
      <c r="K1348" s="9" t="n">
        <f aca="false">I1348+J1348</f>
        <v>45396</v>
      </c>
      <c r="L1348" s="5" t="n">
        <v>159</v>
      </c>
      <c r="M1348" s="10" t="n">
        <f aca="false">INDEX(Dim_Supplier!$F$2:$F$21,MATCH(B1348,Dim_Supplier!$A$2:$A$21,0))</f>
        <v>22.4</v>
      </c>
      <c r="N1348" s="11" t="n">
        <v>0.0079</v>
      </c>
      <c r="O1348" s="10" t="n">
        <f aca="false">M1348*(1+N1348)</f>
        <v>22.57696</v>
      </c>
      <c r="P1348" s="10" t="n">
        <f aca="false">O1348*L1348</f>
        <v>3589.73664</v>
      </c>
      <c r="Q1348" s="5" t="s">
        <v>113</v>
      </c>
      <c r="R1348" s="5" t="n">
        <v>0</v>
      </c>
      <c r="S1348" s="5" t="n">
        <v>45</v>
      </c>
      <c r="T1348" s="12" t="n">
        <f aca="false">(O1348-M1348)/M1348</f>
        <v>0.00790000000000005</v>
      </c>
      <c r="U1348" s="8" t="n">
        <f aca="false">IF(AND(K1348&lt;=I1348,R1348=0),1,0)</f>
        <v>1</v>
      </c>
      <c r="V1348" s="10" t="n">
        <f aca="false">IF(Q1348="No",P1348,0)</f>
        <v>0</v>
      </c>
    </row>
    <row r="1349" customFormat="false" ht="15" hidden="false" customHeight="false" outlineLevel="0" collapsed="false">
      <c r="A1349" s="5" t="s">
        <v>1483</v>
      </c>
      <c r="B1349" s="5" t="s">
        <v>88</v>
      </c>
      <c r="C1349" s="7" t="n">
        <v>46132</v>
      </c>
      <c r="D1349" s="8" t="str">
        <f aca="false">INDEX(Dim_Supplier!$C$2:$C$21,MATCH(B1349,Dim_Supplier!$A$2:$A$21,0))</f>
        <v>Logistics</v>
      </c>
      <c r="E1349" s="8" t="str">
        <f aca="false">INDEX(Dim_Supplier!$B$2:$B$21,MATCH(B1349,Dim_Supplier!$A$2:$A$21,0))</f>
        <v>Summit Last-Mile Delivery</v>
      </c>
      <c r="F1349" s="5" t="s">
        <v>154</v>
      </c>
      <c r="G1349" s="5" t="s">
        <v>125</v>
      </c>
      <c r="H1349" s="8" t="n">
        <f aca="false">INDEX(Lookup_Tables!$B$2:$B$5,MATCH(D1349,Lookup_Tables!$A$2:$A$5,0))</f>
        <v>5</v>
      </c>
      <c r="I1349" s="9" t="n">
        <f aca="false">C1349+H1349</f>
        <v>46137</v>
      </c>
      <c r="J1349" s="5" t="n">
        <v>-1</v>
      </c>
      <c r="K1349" s="9" t="n">
        <f aca="false">I1349+J1349</f>
        <v>46136</v>
      </c>
      <c r="L1349" s="5" t="n">
        <v>30</v>
      </c>
      <c r="M1349" s="10" t="n">
        <f aca="false">INDEX(Dim_Supplier!$F$2:$F$21,MATCH(B1349,Dim_Supplier!$A$2:$A$21,0))</f>
        <v>95</v>
      </c>
      <c r="N1349" s="11" t="n">
        <v>0.0778</v>
      </c>
      <c r="O1349" s="10" t="n">
        <f aca="false">M1349*(1+N1349)</f>
        <v>102.391</v>
      </c>
      <c r="P1349" s="10" t="n">
        <f aca="false">O1349*L1349</f>
        <v>3071.73</v>
      </c>
      <c r="Q1349" s="5" t="s">
        <v>113</v>
      </c>
      <c r="R1349" s="5" t="n">
        <v>0</v>
      </c>
      <c r="S1349" s="5" t="n">
        <v>30</v>
      </c>
      <c r="T1349" s="12" t="n">
        <f aca="false">(O1349-M1349)/M1349</f>
        <v>0.0778000000000001</v>
      </c>
      <c r="U1349" s="8" t="n">
        <f aca="false">IF(AND(K1349&lt;=I1349,R1349=0),1,0)</f>
        <v>1</v>
      </c>
      <c r="V1349" s="10" t="n">
        <f aca="false">IF(Q1349="No",P1349,0)</f>
        <v>0</v>
      </c>
    </row>
    <row r="1350" customFormat="false" ht="15" hidden="false" customHeight="false" outlineLevel="0" collapsed="false">
      <c r="A1350" s="5" t="s">
        <v>1484</v>
      </c>
      <c r="B1350" s="5" t="s">
        <v>86</v>
      </c>
      <c r="C1350" s="7" t="n">
        <v>45467</v>
      </c>
      <c r="D1350" s="8" t="str">
        <f aca="false">INDEX(Dim_Supplier!$C$2:$C$21,MATCH(B1350,Dim_Supplier!$A$2:$A$21,0))</f>
        <v>Logistics</v>
      </c>
      <c r="E1350" s="8" t="str">
        <f aca="false">INDEX(Dim_Supplier!$B$2:$B$21,MATCH(B1350,Dim_Supplier!$A$2:$A$21,0))</f>
        <v>Blue Water Customs Brokerage</v>
      </c>
      <c r="F1350" s="5" t="s">
        <v>124</v>
      </c>
      <c r="G1350" s="5" t="s">
        <v>125</v>
      </c>
      <c r="H1350" s="8" t="n">
        <f aca="false">INDEX(Lookup_Tables!$B$2:$B$5,MATCH(D1350,Lookup_Tables!$A$2:$A$5,0))</f>
        <v>5</v>
      </c>
      <c r="I1350" s="9" t="n">
        <f aca="false">C1350+H1350</f>
        <v>45472</v>
      </c>
      <c r="J1350" s="5" t="n">
        <v>-3</v>
      </c>
      <c r="K1350" s="9" t="n">
        <f aca="false">I1350+J1350</f>
        <v>45469</v>
      </c>
      <c r="L1350" s="5" t="n">
        <v>23</v>
      </c>
      <c r="M1350" s="10" t="n">
        <f aca="false">INDEX(Dim_Supplier!$F$2:$F$21,MATCH(B1350,Dim_Supplier!$A$2:$A$21,0))</f>
        <v>175</v>
      </c>
      <c r="N1350" s="11" t="n">
        <v>0.0075</v>
      </c>
      <c r="O1350" s="10" t="n">
        <f aca="false">M1350*(1+N1350)</f>
        <v>176.3125</v>
      </c>
      <c r="P1350" s="10" t="n">
        <f aca="false">O1350*L1350</f>
        <v>4055.1875</v>
      </c>
      <c r="Q1350" s="5" t="s">
        <v>113</v>
      </c>
      <c r="R1350" s="5" t="n">
        <v>0</v>
      </c>
      <c r="S1350" s="5" t="n">
        <v>30</v>
      </c>
      <c r="T1350" s="12" t="n">
        <f aca="false">(O1350-M1350)/M1350</f>
        <v>0.0075</v>
      </c>
      <c r="U1350" s="8" t="n">
        <f aca="false">IF(AND(K1350&lt;=I1350,R1350=0),1,0)</f>
        <v>1</v>
      </c>
      <c r="V1350" s="10" t="n">
        <f aca="false">IF(Q1350="No",P1350,0)</f>
        <v>0</v>
      </c>
    </row>
    <row r="1351" customFormat="false" ht="15" hidden="false" customHeight="false" outlineLevel="0" collapsed="false">
      <c r="A1351" s="5" t="s">
        <v>1485</v>
      </c>
      <c r="B1351" s="5" t="s">
        <v>57</v>
      </c>
      <c r="C1351" s="7" t="n">
        <v>46028</v>
      </c>
      <c r="D1351" s="8" t="str">
        <f aca="false">INDEX(Dim_Supplier!$C$2:$C$21,MATCH(B1351,Dim_Supplier!$A$2:$A$21,0))</f>
        <v>Packaging</v>
      </c>
      <c r="E1351" s="8" t="str">
        <f aca="false">INDEX(Dim_Supplier!$B$2:$B$21,MATCH(B1351,Dim_Supplier!$A$2:$A$21,0))</f>
        <v>Great Lakes Packaging Co.</v>
      </c>
      <c r="F1351" s="5" t="s">
        <v>119</v>
      </c>
      <c r="G1351" s="5" t="s">
        <v>120</v>
      </c>
      <c r="H1351" s="8" t="n">
        <f aca="false">INDEX(Lookup_Tables!$B$2:$B$5,MATCH(D1351,Lookup_Tables!$A$2:$A$5,0))</f>
        <v>14</v>
      </c>
      <c r="I1351" s="9" t="n">
        <f aca="false">C1351+H1351</f>
        <v>46042</v>
      </c>
      <c r="J1351" s="5" t="n">
        <v>0</v>
      </c>
      <c r="K1351" s="9" t="n">
        <f aca="false">I1351+J1351</f>
        <v>46042</v>
      </c>
      <c r="L1351" s="5" t="n">
        <v>4520</v>
      </c>
      <c r="M1351" s="10" t="n">
        <f aca="false">INDEX(Dim_Supplier!$F$2:$F$21,MATCH(B1351,Dim_Supplier!$A$2:$A$21,0))</f>
        <v>4.35</v>
      </c>
      <c r="N1351" s="11" t="n">
        <v>-0.0005</v>
      </c>
      <c r="O1351" s="10" t="n">
        <f aca="false">M1351*(1+N1351)</f>
        <v>4.347825</v>
      </c>
      <c r="P1351" s="10" t="n">
        <f aca="false">O1351*L1351</f>
        <v>19652.169</v>
      </c>
      <c r="Q1351" s="5" t="s">
        <v>113</v>
      </c>
      <c r="R1351" s="5" t="n">
        <v>0</v>
      </c>
      <c r="S1351" s="5" t="n">
        <v>30</v>
      </c>
      <c r="T1351" s="12" t="n">
        <f aca="false">(O1351-M1351)/M1351</f>
        <v>-0.000499999999999856</v>
      </c>
      <c r="U1351" s="8" t="n">
        <f aca="false">IF(AND(K1351&lt;=I1351,R1351=0),1,0)</f>
        <v>1</v>
      </c>
      <c r="V1351" s="10" t="n">
        <f aca="false">IF(Q1351="No",P1351,0)</f>
        <v>0</v>
      </c>
    </row>
    <row r="1352" customFormat="false" ht="15" hidden="false" customHeight="false" outlineLevel="0" collapsed="false">
      <c r="A1352" s="5" t="s">
        <v>1486</v>
      </c>
      <c r="B1352" s="5" t="s">
        <v>60</v>
      </c>
      <c r="C1352" s="7" t="n">
        <v>45969</v>
      </c>
      <c r="D1352" s="8" t="str">
        <f aca="false">INDEX(Dim_Supplier!$C$2:$C$21,MATCH(B1352,Dim_Supplier!$A$2:$A$21,0))</f>
        <v>Packaging</v>
      </c>
      <c r="E1352" s="8" t="str">
        <f aca="false">INDEX(Dim_Supplier!$B$2:$B$21,MATCH(B1352,Dim_Supplier!$A$2:$A$21,0))</f>
        <v>Maple Leaf Box &amp; Crate</v>
      </c>
      <c r="F1352" s="5" t="s">
        <v>137</v>
      </c>
      <c r="G1352" s="5" t="s">
        <v>120</v>
      </c>
      <c r="H1352" s="8" t="n">
        <f aca="false">INDEX(Lookup_Tables!$B$2:$B$5,MATCH(D1352,Lookup_Tables!$A$2:$A$5,0))</f>
        <v>14</v>
      </c>
      <c r="I1352" s="9" t="n">
        <f aca="false">C1352+H1352</f>
        <v>45983</v>
      </c>
      <c r="J1352" s="5" t="n">
        <v>-4</v>
      </c>
      <c r="K1352" s="9" t="n">
        <f aca="false">I1352+J1352</f>
        <v>45979</v>
      </c>
      <c r="L1352" s="5" t="n">
        <v>3207</v>
      </c>
      <c r="M1352" s="10" t="n">
        <f aca="false">INDEX(Dim_Supplier!$F$2:$F$21,MATCH(B1352,Dim_Supplier!$A$2:$A$21,0))</f>
        <v>3.1</v>
      </c>
      <c r="N1352" s="11" t="n">
        <v>0.0328</v>
      </c>
      <c r="O1352" s="10" t="n">
        <f aca="false">M1352*(1+N1352)</f>
        <v>3.20168</v>
      </c>
      <c r="P1352" s="10" t="n">
        <f aca="false">O1352*L1352</f>
        <v>10267.78776</v>
      </c>
      <c r="Q1352" s="5" t="s">
        <v>113</v>
      </c>
      <c r="R1352" s="5" t="n">
        <v>0</v>
      </c>
      <c r="S1352" s="5" t="n">
        <v>45</v>
      </c>
      <c r="T1352" s="12" t="n">
        <f aca="false">(O1352-M1352)/M1352</f>
        <v>0.0328</v>
      </c>
      <c r="U1352" s="8" t="n">
        <f aca="false">IF(AND(K1352&lt;=I1352,R1352=0),1,0)</f>
        <v>1</v>
      </c>
      <c r="V1352" s="10" t="n">
        <f aca="false">IF(Q1352="No",P1352,0)</f>
        <v>0</v>
      </c>
    </row>
    <row r="1353" customFormat="false" ht="15" hidden="false" customHeight="false" outlineLevel="0" collapsed="false">
      <c r="A1353" s="5" t="s">
        <v>1487</v>
      </c>
      <c r="B1353" s="5" t="s">
        <v>60</v>
      </c>
      <c r="C1353" s="7" t="n">
        <v>46076</v>
      </c>
      <c r="D1353" s="8" t="str">
        <f aca="false">INDEX(Dim_Supplier!$C$2:$C$21,MATCH(B1353,Dim_Supplier!$A$2:$A$21,0))</f>
        <v>Packaging</v>
      </c>
      <c r="E1353" s="8" t="str">
        <f aca="false">INDEX(Dim_Supplier!$B$2:$B$21,MATCH(B1353,Dim_Supplier!$A$2:$A$21,0))</f>
        <v>Maple Leaf Box &amp; Crate</v>
      </c>
      <c r="F1353" s="5" t="s">
        <v>122</v>
      </c>
      <c r="G1353" s="5" t="s">
        <v>120</v>
      </c>
      <c r="H1353" s="8" t="n">
        <f aca="false">INDEX(Lookup_Tables!$B$2:$B$5,MATCH(D1353,Lookup_Tables!$A$2:$A$5,0))</f>
        <v>14</v>
      </c>
      <c r="I1353" s="9" t="n">
        <f aca="false">C1353+H1353</f>
        <v>46090</v>
      </c>
      <c r="J1353" s="5" t="n">
        <v>2</v>
      </c>
      <c r="K1353" s="9" t="n">
        <f aca="false">I1353+J1353</f>
        <v>46092</v>
      </c>
      <c r="L1353" s="5" t="n">
        <v>933</v>
      </c>
      <c r="M1353" s="10" t="n">
        <f aca="false">INDEX(Dim_Supplier!$F$2:$F$21,MATCH(B1353,Dim_Supplier!$A$2:$A$21,0))</f>
        <v>3.1</v>
      </c>
      <c r="N1353" s="11" t="n">
        <v>-0.0004</v>
      </c>
      <c r="O1353" s="10" t="n">
        <f aca="false">M1353*(1+N1353)</f>
        <v>3.09876</v>
      </c>
      <c r="P1353" s="10" t="n">
        <f aca="false">O1353*L1353</f>
        <v>2891.14308</v>
      </c>
      <c r="Q1353" s="5" t="s">
        <v>113</v>
      </c>
      <c r="R1353" s="5" t="n">
        <v>0</v>
      </c>
      <c r="S1353" s="5" t="n">
        <v>30</v>
      </c>
      <c r="T1353" s="12" t="n">
        <f aca="false">(O1353-M1353)/M1353</f>
        <v>-0.000399999999999899</v>
      </c>
      <c r="U1353" s="8" t="n">
        <f aca="false">IF(AND(K1353&lt;=I1353,R1353=0),1,0)</f>
        <v>0</v>
      </c>
      <c r="V1353" s="10" t="n">
        <f aca="false">IF(Q1353="No",P1353,0)</f>
        <v>0</v>
      </c>
    </row>
    <row r="1354" customFormat="false" ht="15" hidden="false" customHeight="false" outlineLevel="0" collapsed="false">
      <c r="A1354" s="5" t="s">
        <v>1488</v>
      </c>
      <c r="B1354" s="5" t="s">
        <v>88</v>
      </c>
      <c r="C1354" s="7" t="n">
        <v>45920</v>
      </c>
      <c r="D1354" s="8" t="str">
        <f aca="false">INDEX(Dim_Supplier!$C$2:$C$21,MATCH(B1354,Dim_Supplier!$A$2:$A$21,0))</f>
        <v>Logistics</v>
      </c>
      <c r="E1354" s="8" t="str">
        <f aca="false">INDEX(Dim_Supplier!$B$2:$B$21,MATCH(B1354,Dim_Supplier!$A$2:$A$21,0))</f>
        <v>Summit Last-Mile Delivery</v>
      </c>
      <c r="F1354" s="5" t="s">
        <v>124</v>
      </c>
      <c r="G1354" s="5" t="s">
        <v>125</v>
      </c>
      <c r="H1354" s="8" t="n">
        <f aca="false">INDEX(Lookup_Tables!$B$2:$B$5,MATCH(D1354,Lookup_Tables!$A$2:$A$5,0))</f>
        <v>5</v>
      </c>
      <c r="I1354" s="9" t="n">
        <f aca="false">C1354+H1354</f>
        <v>45925</v>
      </c>
      <c r="J1354" s="5" t="n">
        <v>-1</v>
      </c>
      <c r="K1354" s="9" t="n">
        <f aca="false">I1354+J1354</f>
        <v>45924</v>
      </c>
      <c r="L1354" s="5" t="n">
        <v>16</v>
      </c>
      <c r="M1354" s="10" t="n">
        <f aca="false">INDEX(Dim_Supplier!$F$2:$F$21,MATCH(B1354,Dim_Supplier!$A$2:$A$21,0))</f>
        <v>95</v>
      </c>
      <c r="N1354" s="11" t="n">
        <v>0.0078</v>
      </c>
      <c r="O1354" s="10" t="n">
        <f aca="false">M1354*(1+N1354)</f>
        <v>95.741</v>
      </c>
      <c r="P1354" s="10" t="n">
        <f aca="false">O1354*L1354</f>
        <v>1531.856</v>
      </c>
      <c r="Q1354" s="5" t="s">
        <v>133</v>
      </c>
      <c r="R1354" s="5" t="n">
        <v>0</v>
      </c>
      <c r="S1354" s="5" t="n">
        <v>60</v>
      </c>
      <c r="T1354" s="12" t="n">
        <f aca="false">(O1354-M1354)/M1354</f>
        <v>0.0078</v>
      </c>
      <c r="U1354" s="8" t="n">
        <f aca="false">IF(AND(K1354&lt;=I1354,R1354=0),1,0)</f>
        <v>1</v>
      </c>
      <c r="V1354" s="10" t="n">
        <f aca="false">IF(Q1354="No",P1354,0)</f>
        <v>1531.856</v>
      </c>
    </row>
    <row r="1355" customFormat="false" ht="15" hidden="false" customHeight="false" outlineLevel="0" collapsed="false">
      <c r="A1355" s="5" t="s">
        <v>1489</v>
      </c>
      <c r="B1355" s="5" t="s">
        <v>82</v>
      </c>
      <c r="C1355" s="7" t="n">
        <v>45322</v>
      </c>
      <c r="D1355" s="8" t="str">
        <f aca="false">INDEX(Dim_Supplier!$C$2:$C$21,MATCH(B1355,Dim_Supplier!$A$2:$A$21,0))</f>
        <v>Logistics</v>
      </c>
      <c r="E1355" s="8" t="str">
        <f aca="false">INDEX(Dim_Supplier!$B$2:$B$21,MATCH(B1355,Dim_Supplier!$A$2:$A$21,0))</f>
        <v>Maple Route Logistics</v>
      </c>
      <c r="F1355" s="5" t="s">
        <v>237</v>
      </c>
      <c r="G1355" s="5" t="s">
        <v>129</v>
      </c>
      <c r="H1355" s="8" t="n">
        <f aca="false">INDEX(Lookup_Tables!$B$2:$B$5,MATCH(D1355,Lookup_Tables!$A$2:$A$5,0))</f>
        <v>5</v>
      </c>
      <c r="I1355" s="9" t="n">
        <f aca="false">C1355+H1355</f>
        <v>45327</v>
      </c>
      <c r="J1355" s="5" t="n">
        <v>-1</v>
      </c>
      <c r="K1355" s="9" t="n">
        <f aca="false">I1355+J1355</f>
        <v>45326</v>
      </c>
      <c r="L1355" s="5" t="n">
        <v>26</v>
      </c>
      <c r="M1355" s="10" t="n">
        <f aca="false">INDEX(Dim_Supplier!$F$2:$F$21,MATCH(B1355,Dim_Supplier!$A$2:$A$21,0))</f>
        <v>285</v>
      </c>
      <c r="N1355" s="11" t="n">
        <v>0.0377</v>
      </c>
      <c r="O1355" s="10" t="n">
        <f aca="false">M1355*(1+N1355)</f>
        <v>295.7445</v>
      </c>
      <c r="P1355" s="10" t="n">
        <f aca="false">O1355*L1355</f>
        <v>7689.357</v>
      </c>
      <c r="Q1355" s="5" t="s">
        <v>113</v>
      </c>
      <c r="R1355" s="5" t="n">
        <v>0</v>
      </c>
      <c r="S1355" s="5" t="n">
        <v>30</v>
      </c>
      <c r="T1355" s="12" t="n">
        <f aca="false">(O1355-M1355)/M1355</f>
        <v>0.0377000000000001</v>
      </c>
      <c r="U1355" s="8" t="n">
        <f aca="false">IF(AND(K1355&lt;=I1355,R1355=0),1,0)</f>
        <v>1</v>
      </c>
      <c r="V1355" s="10" t="n">
        <f aca="false">IF(Q1355="No",P1355,0)</f>
        <v>0</v>
      </c>
    </row>
    <row r="1356" customFormat="false" ht="15" hidden="false" customHeight="false" outlineLevel="0" collapsed="false">
      <c r="A1356" s="5" t="s">
        <v>1490</v>
      </c>
      <c r="B1356" s="5" t="s">
        <v>60</v>
      </c>
      <c r="C1356" s="7" t="n">
        <v>46005</v>
      </c>
      <c r="D1356" s="8" t="str">
        <f aca="false">INDEX(Dim_Supplier!$C$2:$C$21,MATCH(B1356,Dim_Supplier!$A$2:$A$21,0))</f>
        <v>Packaging</v>
      </c>
      <c r="E1356" s="8" t="str">
        <f aca="false">INDEX(Dim_Supplier!$B$2:$B$21,MATCH(B1356,Dim_Supplier!$A$2:$A$21,0))</f>
        <v>Maple Leaf Box &amp; Crate</v>
      </c>
      <c r="F1356" s="5" t="s">
        <v>137</v>
      </c>
      <c r="G1356" s="5" t="s">
        <v>112</v>
      </c>
      <c r="H1356" s="8" t="n">
        <f aca="false">INDEX(Lookup_Tables!$B$2:$B$5,MATCH(D1356,Lookup_Tables!$A$2:$A$5,0))</f>
        <v>14</v>
      </c>
      <c r="I1356" s="9" t="n">
        <f aca="false">C1356+H1356</f>
        <v>46019</v>
      </c>
      <c r="J1356" s="5" t="n">
        <v>0</v>
      </c>
      <c r="K1356" s="9" t="n">
        <f aca="false">I1356+J1356</f>
        <v>46019</v>
      </c>
      <c r="L1356" s="5" t="n">
        <v>3049</v>
      </c>
      <c r="M1356" s="10" t="n">
        <f aca="false">INDEX(Dim_Supplier!$F$2:$F$21,MATCH(B1356,Dim_Supplier!$A$2:$A$21,0))</f>
        <v>3.1</v>
      </c>
      <c r="N1356" s="11" t="n">
        <v>0.0296</v>
      </c>
      <c r="O1356" s="10" t="n">
        <f aca="false">M1356*(1+N1356)</f>
        <v>3.19176</v>
      </c>
      <c r="P1356" s="10" t="n">
        <f aca="false">O1356*L1356</f>
        <v>9731.67624</v>
      </c>
      <c r="Q1356" s="5" t="s">
        <v>113</v>
      </c>
      <c r="R1356" s="5" t="n">
        <v>0</v>
      </c>
      <c r="S1356" s="5" t="n">
        <v>60</v>
      </c>
      <c r="T1356" s="12" t="n">
        <f aca="false">(O1356-M1356)/M1356</f>
        <v>0.0296000000000001</v>
      </c>
      <c r="U1356" s="8" t="n">
        <f aca="false">IF(AND(K1356&lt;=I1356,R1356=0),1,0)</f>
        <v>1</v>
      </c>
      <c r="V1356" s="10" t="n">
        <f aca="false">IF(Q1356="No",P1356,0)</f>
        <v>0</v>
      </c>
    </row>
    <row r="1357" customFormat="false" ht="15" hidden="false" customHeight="false" outlineLevel="0" collapsed="false">
      <c r="A1357" s="5" t="s">
        <v>1491</v>
      </c>
      <c r="B1357" s="5" t="s">
        <v>66</v>
      </c>
      <c r="C1357" s="7" t="n">
        <v>45480</v>
      </c>
      <c r="D1357" s="8" t="str">
        <f aca="false">INDEX(Dim_Supplier!$C$2:$C$21,MATCH(B1357,Dim_Supplier!$A$2:$A$21,0))</f>
        <v>Packaging</v>
      </c>
      <c r="E1357" s="8" t="str">
        <f aca="false">INDEX(Dim_Supplier!$B$2:$B$21,MATCH(B1357,Dim_Supplier!$A$2:$A$21,0))</f>
        <v>EverGreen Wrap Industries</v>
      </c>
      <c r="F1357" s="5" t="s">
        <v>119</v>
      </c>
      <c r="G1357" s="5" t="s">
        <v>125</v>
      </c>
      <c r="H1357" s="8" t="n">
        <f aca="false">INDEX(Lookup_Tables!$B$2:$B$5,MATCH(D1357,Lookup_Tables!$A$2:$A$5,0))</f>
        <v>14</v>
      </c>
      <c r="I1357" s="9" t="n">
        <f aca="false">C1357+H1357</f>
        <v>45494</v>
      </c>
      <c r="J1357" s="5" t="n">
        <v>0</v>
      </c>
      <c r="K1357" s="9" t="n">
        <f aca="false">I1357+J1357</f>
        <v>45494</v>
      </c>
      <c r="L1357" s="5" t="n">
        <v>1168</v>
      </c>
      <c r="M1357" s="10" t="n">
        <f aca="false">INDEX(Dim_Supplier!$F$2:$F$21,MATCH(B1357,Dim_Supplier!$A$2:$A$21,0))</f>
        <v>6.8</v>
      </c>
      <c r="N1357" s="11" t="n">
        <v>0.0777</v>
      </c>
      <c r="O1357" s="10" t="n">
        <f aca="false">M1357*(1+N1357)</f>
        <v>7.32836</v>
      </c>
      <c r="P1357" s="10" t="n">
        <f aca="false">O1357*L1357</f>
        <v>8559.52448</v>
      </c>
      <c r="Q1357" s="5" t="s">
        <v>113</v>
      </c>
      <c r="R1357" s="5" t="n">
        <v>0</v>
      </c>
      <c r="S1357" s="5" t="n">
        <v>45</v>
      </c>
      <c r="T1357" s="12" t="n">
        <f aca="false">(O1357-M1357)/M1357</f>
        <v>0.0777000000000002</v>
      </c>
      <c r="U1357" s="8" t="n">
        <f aca="false">IF(AND(K1357&lt;=I1357,R1357=0),1,0)</f>
        <v>1</v>
      </c>
      <c r="V1357" s="10" t="n">
        <f aca="false">IF(Q1357="No",P1357,0)</f>
        <v>0</v>
      </c>
    </row>
    <row r="1358" customFormat="false" ht="15" hidden="false" customHeight="false" outlineLevel="0" collapsed="false">
      <c r="A1358" s="5" t="s">
        <v>1492</v>
      </c>
      <c r="B1358" s="5" t="s">
        <v>41</v>
      </c>
      <c r="C1358" s="7" t="n">
        <v>45912</v>
      </c>
      <c r="D1358" s="8" t="str">
        <f aca="false">INDEX(Dim_Supplier!$C$2:$C$21,MATCH(B1358,Dim_Supplier!$A$2:$A$21,0))</f>
        <v>Raw Materials</v>
      </c>
      <c r="E1358" s="8" t="str">
        <f aca="false">INDEX(Dim_Supplier!$B$2:$B$21,MATCH(B1358,Dim_Supplier!$A$2:$A$21,0))</f>
        <v>Ontario Steel Partners</v>
      </c>
      <c r="F1358" s="5" t="s">
        <v>148</v>
      </c>
      <c r="G1358" s="5" t="s">
        <v>129</v>
      </c>
      <c r="H1358" s="8" t="n">
        <f aca="false">INDEX(Lookup_Tables!$B$2:$B$5,MATCH(D1358,Lookup_Tables!$A$2:$A$5,0))</f>
        <v>21</v>
      </c>
      <c r="I1358" s="9" t="n">
        <f aca="false">C1358+H1358</f>
        <v>45933</v>
      </c>
      <c r="J1358" s="5" t="n">
        <v>-3</v>
      </c>
      <c r="K1358" s="9" t="n">
        <f aca="false">I1358+J1358</f>
        <v>45930</v>
      </c>
      <c r="L1358" s="5" t="n">
        <v>103</v>
      </c>
      <c r="M1358" s="10" t="n">
        <f aca="false">INDEX(Dim_Supplier!$F$2:$F$21,MATCH(B1358,Dim_Supplier!$A$2:$A$21,0))</f>
        <v>58</v>
      </c>
      <c r="N1358" s="11" t="n">
        <v>0.0018</v>
      </c>
      <c r="O1358" s="10" t="n">
        <f aca="false">M1358*(1+N1358)</f>
        <v>58.1044</v>
      </c>
      <c r="P1358" s="10" t="n">
        <f aca="false">O1358*L1358</f>
        <v>5984.7532</v>
      </c>
      <c r="Q1358" s="5" t="s">
        <v>133</v>
      </c>
      <c r="R1358" s="5" t="n">
        <v>0</v>
      </c>
      <c r="S1358" s="5" t="n">
        <v>30</v>
      </c>
      <c r="T1358" s="12" t="n">
        <f aca="false">(O1358-M1358)/M1358</f>
        <v>0.00179999999999997</v>
      </c>
      <c r="U1358" s="8" t="n">
        <f aca="false">IF(AND(K1358&lt;=I1358,R1358=0),1,0)</f>
        <v>1</v>
      </c>
      <c r="V1358" s="10" t="n">
        <f aca="false">IF(Q1358="No",P1358,0)</f>
        <v>5984.7532</v>
      </c>
    </row>
    <row r="1359" customFormat="false" ht="15" hidden="false" customHeight="false" outlineLevel="0" collapsed="false">
      <c r="A1359" s="5" t="s">
        <v>1493</v>
      </c>
      <c r="B1359" s="5" t="s">
        <v>60</v>
      </c>
      <c r="C1359" s="7" t="n">
        <v>45320</v>
      </c>
      <c r="D1359" s="8" t="str">
        <f aca="false">INDEX(Dim_Supplier!$C$2:$C$21,MATCH(B1359,Dim_Supplier!$A$2:$A$21,0))</f>
        <v>Packaging</v>
      </c>
      <c r="E1359" s="8" t="str">
        <f aca="false">INDEX(Dim_Supplier!$B$2:$B$21,MATCH(B1359,Dim_Supplier!$A$2:$A$21,0))</f>
        <v>Maple Leaf Box &amp; Crate</v>
      </c>
      <c r="F1359" s="5" t="s">
        <v>122</v>
      </c>
      <c r="G1359" s="5" t="s">
        <v>120</v>
      </c>
      <c r="H1359" s="8" t="n">
        <f aca="false">INDEX(Lookup_Tables!$B$2:$B$5,MATCH(D1359,Lookup_Tables!$A$2:$A$5,0))</f>
        <v>14</v>
      </c>
      <c r="I1359" s="9" t="n">
        <f aca="false">C1359+H1359</f>
        <v>45334</v>
      </c>
      <c r="J1359" s="5" t="n">
        <v>2</v>
      </c>
      <c r="K1359" s="9" t="n">
        <f aca="false">I1359+J1359</f>
        <v>45336</v>
      </c>
      <c r="L1359" s="5" t="n">
        <v>2044</v>
      </c>
      <c r="M1359" s="10" t="n">
        <f aca="false">INDEX(Dim_Supplier!$F$2:$F$21,MATCH(B1359,Dim_Supplier!$A$2:$A$21,0))</f>
        <v>3.1</v>
      </c>
      <c r="N1359" s="11" t="n">
        <v>0.0014</v>
      </c>
      <c r="O1359" s="10" t="n">
        <f aca="false">M1359*(1+N1359)</f>
        <v>3.10434</v>
      </c>
      <c r="P1359" s="10" t="n">
        <f aca="false">O1359*L1359</f>
        <v>6345.27096</v>
      </c>
      <c r="Q1359" s="5" t="s">
        <v>113</v>
      </c>
      <c r="R1359" s="5" t="n">
        <v>0</v>
      </c>
      <c r="S1359" s="5" t="n">
        <v>45</v>
      </c>
      <c r="T1359" s="12" t="n">
        <f aca="false">(O1359-M1359)/M1359</f>
        <v>0.0014</v>
      </c>
      <c r="U1359" s="8" t="n">
        <f aca="false">IF(AND(K1359&lt;=I1359,R1359=0),1,0)</f>
        <v>0</v>
      </c>
      <c r="V1359" s="10" t="n">
        <f aca="false">IF(Q1359="No",P1359,0)</f>
        <v>0</v>
      </c>
    </row>
    <row r="1360" customFormat="false" ht="15" hidden="false" customHeight="false" outlineLevel="0" collapsed="false">
      <c r="A1360" s="5" t="s">
        <v>1494</v>
      </c>
      <c r="B1360" s="5" t="s">
        <v>88</v>
      </c>
      <c r="C1360" s="7" t="n">
        <v>45391</v>
      </c>
      <c r="D1360" s="8" t="str">
        <f aca="false">INDEX(Dim_Supplier!$C$2:$C$21,MATCH(B1360,Dim_Supplier!$A$2:$A$21,0))</f>
        <v>Logistics</v>
      </c>
      <c r="E1360" s="8" t="str">
        <f aca="false">INDEX(Dim_Supplier!$B$2:$B$21,MATCH(B1360,Dim_Supplier!$A$2:$A$21,0))</f>
        <v>Summit Last-Mile Delivery</v>
      </c>
      <c r="F1360" s="5" t="s">
        <v>154</v>
      </c>
      <c r="G1360" s="5" t="s">
        <v>120</v>
      </c>
      <c r="H1360" s="8" t="n">
        <f aca="false">INDEX(Lookup_Tables!$B$2:$B$5,MATCH(D1360,Lookup_Tables!$A$2:$A$5,0))</f>
        <v>5</v>
      </c>
      <c r="I1360" s="9" t="n">
        <f aca="false">C1360+H1360</f>
        <v>45396</v>
      </c>
      <c r="J1360" s="5" t="n">
        <v>-4</v>
      </c>
      <c r="K1360" s="9" t="n">
        <f aca="false">I1360+J1360</f>
        <v>45392</v>
      </c>
      <c r="L1360" s="5" t="n">
        <v>46</v>
      </c>
      <c r="M1360" s="10" t="n">
        <f aca="false">INDEX(Dim_Supplier!$F$2:$F$21,MATCH(B1360,Dim_Supplier!$A$2:$A$21,0))</f>
        <v>95</v>
      </c>
      <c r="N1360" s="11" t="n">
        <v>0.0211</v>
      </c>
      <c r="O1360" s="10" t="n">
        <f aca="false">M1360*(1+N1360)</f>
        <v>97.0045</v>
      </c>
      <c r="P1360" s="10" t="n">
        <f aca="false">O1360*L1360</f>
        <v>4462.207</v>
      </c>
      <c r="Q1360" s="5" t="s">
        <v>133</v>
      </c>
      <c r="R1360" s="5" t="n">
        <v>0</v>
      </c>
      <c r="S1360" s="5" t="n">
        <v>45</v>
      </c>
      <c r="T1360" s="12" t="n">
        <f aca="false">(O1360-M1360)/M1360</f>
        <v>0.0210999999999999</v>
      </c>
      <c r="U1360" s="8" t="n">
        <f aca="false">IF(AND(K1360&lt;=I1360,R1360=0),1,0)</f>
        <v>1</v>
      </c>
      <c r="V1360" s="10" t="n">
        <f aca="false">IF(Q1360="No",P1360,0)</f>
        <v>4462.207</v>
      </c>
    </row>
    <row r="1361" customFormat="false" ht="15" hidden="false" customHeight="false" outlineLevel="0" collapsed="false">
      <c r="A1361" s="5" t="s">
        <v>1495</v>
      </c>
      <c r="B1361" s="5" t="s">
        <v>79</v>
      </c>
      <c r="C1361" s="7" t="n">
        <v>45747</v>
      </c>
      <c r="D1361" s="8" t="str">
        <f aca="false">INDEX(Dim_Supplier!$C$2:$C$21,MATCH(B1361,Dim_Supplier!$A$2:$A$21,0))</f>
        <v>Logistics</v>
      </c>
      <c r="E1361" s="8" t="str">
        <f aca="false">INDEX(Dim_Supplier!$B$2:$B$21,MATCH(B1361,Dim_Supplier!$A$2:$A$21,0))</f>
        <v>Niagara Freight Solutions</v>
      </c>
      <c r="F1361" s="5" t="s">
        <v>124</v>
      </c>
      <c r="G1361" s="5" t="s">
        <v>129</v>
      </c>
      <c r="H1361" s="8" t="n">
        <f aca="false">INDEX(Lookup_Tables!$B$2:$B$5,MATCH(D1361,Lookup_Tables!$A$2:$A$5,0))</f>
        <v>5</v>
      </c>
      <c r="I1361" s="9" t="n">
        <f aca="false">C1361+H1361</f>
        <v>45752</v>
      </c>
      <c r="J1361" s="5" t="n">
        <v>2</v>
      </c>
      <c r="K1361" s="9" t="n">
        <f aca="false">I1361+J1361</f>
        <v>45754</v>
      </c>
      <c r="L1361" s="5" t="n">
        <v>8</v>
      </c>
      <c r="M1361" s="10" t="n">
        <f aca="false">INDEX(Dim_Supplier!$F$2:$F$21,MATCH(B1361,Dim_Supplier!$A$2:$A$21,0))</f>
        <v>340</v>
      </c>
      <c r="N1361" s="11" t="n">
        <v>-0.0066</v>
      </c>
      <c r="O1361" s="10" t="n">
        <f aca="false">M1361*(1+N1361)</f>
        <v>337.756</v>
      </c>
      <c r="P1361" s="10" t="n">
        <f aca="false">O1361*L1361</f>
        <v>2702.048</v>
      </c>
      <c r="Q1361" s="5" t="s">
        <v>113</v>
      </c>
      <c r="R1361" s="5" t="n">
        <v>0</v>
      </c>
      <c r="S1361" s="5" t="n">
        <v>30</v>
      </c>
      <c r="T1361" s="12" t="n">
        <f aca="false">(O1361-M1361)/M1361</f>
        <v>-0.00660000000000008</v>
      </c>
      <c r="U1361" s="8" t="n">
        <f aca="false">IF(AND(K1361&lt;=I1361,R1361=0),1,0)</f>
        <v>0</v>
      </c>
      <c r="V1361" s="10" t="n">
        <f aca="false">IF(Q1361="No",P1361,0)</f>
        <v>0</v>
      </c>
    </row>
    <row r="1362" customFormat="false" ht="15" hidden="false" customHeight="false" outlineLevel="0" collapsed="false">
      <c r="A1362" s="5" t="s">
        <v>1496</v>
      </c>
      <c r="B1362" s="5" t="s">
        <v>57</v>
      </c>
      <c r="C1362" s="7" t="n">
        <v>45476</v>
      </c>
      <c r="D1362" s="8" t="str">
        <f aca="false">INDEX(Dim_Supplier!$C$2:$C$21,MATCH(B1362,Dim_Supplier!$A$2:$A$21,0))</f>
        <v>Packaging</v>
      </c>
      <c r="E1362" s="8" t="str">
        <f aca="false">INDEX(Dim_Supplier!$B$2:$B$21,MATCH(B1362,Dim_Supplier!$A$2:$A$21,0))</f>
        <v>Great Lakes Packaging Co.</v>
      </c>
      <c r="F1362" s="5" t="s">
        <v>122</v>
      </c>
      <c r="G1362" s="5" t="s">
        <v>112</v>
      </c>
      <c r="H1362" s="8" t="n">
        <f aca="false">INDEX(Lookup_Tables!$B$2:$B$5,MATCH(D1362,Lookup_Tables!$A$2:$A$5,0))</f>
        <v>14</v>
      </c>
      <c r="I1362" s="9" t="n">
        <f aca="false">C1362+H1362</f>
        <v>45490</v>
      </c>
      <c r="J1362" s="5" t="n">
        <v>-1</v>
      </c>
      <c r="K1362" s="9" t="n">
        <f aca="false">I1362+J1362</f>
        <v>45489</v>
      </c>
      <c r="L1362" s="5" t="n">
        <v>1771</v>
      </c>
      <c r="M1362" s="10" t="n">
        <f aca="false">INDEX(Dim_Supplier!$F$2:$F$21,MATCH(B1362,Dim_Supplier!$A$2:$A$21,0))</f>
        <v>4.35</v>
      </c>
      <c r="N1362" s="11" t="n">
        <v>-0.0038</v>
      </c>
      <c r="O1362" s="10" t="n">
        <f aca="false">M1362*(1+N1362)</f>
        <v>4.33347</v>
      </c>
      <c r="P1362" s="10" t="n">
        <f aca="false">O1362*L1362</f>
        <v>7674.57537</v>
      </c>
      <c r="Q1362" s="5" t="s">
        <v>133</v>
      </c>
      <c r="R1362" s="5" t="n">
        <v>0</v>
      </c>
      <c r="S1362" s="5" t="n">
        <v>60</v>
      </c>
      <c r="T1362" s="12" t="n">
        <f aca="false">(O1362-M1362)/M1362</f>
        <v>-0.00380000000000009</v>
      </c>
      <c r="U1362" s="8" t="n">
        <f aca="false">IF(AND(K1362&lt;=I1362,R1362=0),1,0)</f>
        <v>1</v>
      </c>
      <c r="V1362" s="10" t="n">
        <f aca="false">IF(Q1362="No",P1362,0)</f>
        <v>7674.57537</v>
      </c>
    </row>
    <row r="1363" customFormat="false" ht="15" hidden="false" customHeight="false" outlineLevel="0" collapsed="false">
      <c r="A1363" s="5" t="s">
        <v>1497</v>
      </c>
      <c r="B1363" s="5" t="s">
        <v>86</v>
      </c>
      <c r="C1363" s="7" t="n">
        <v>45853</v>
      </c>
      <c r="D1363" s="8" t="str">
        <f aca="false">INDEX(Dim_Supplier!$C$2:$C$21,MATCH(B1363,Dim_Supplier!$A$2:$A$21,0))</f>
        <v>Logistics</v>
      </c>
      <c r="E1363" s="8" t="str">
        <f aca="false">INDEX(Dim_Supplier!$B$2:$B$21,MATCH(B1363,Dim_Supplier!$A$2:$A$21,0))</f>
        <v>Blue Water Customs Brokerage</v>
      </c>
      <c r="F1363" s="5" t="s">
        <v>237</v>
      </c>
      <c r="G1363" s="5" t="s">
        <v>125</v>
      </c>
      <c r="H1363" s="8" t="n">
        <f aca="false">INDEX(Lookup_Tables!$B$2:$B$5,MATCH(D1363,Lookup_Tables!$A$2:$A$5,0))</f>
        <v>5</v>
      </c>
      <c r="I1363" s="9" t="n">
        <f aca="false">C1363+H1363</f>
        <v>45858</v>
      </c>
      <c r="J1363" s="5" t="n">
        <v>1</v>
      </c>
      <c r="K1363" s="9" t="n">
        <f aca="false">I1363+J1363</f>
        <v>45859</v>
      </c>
      <c r="L1363" s="5" t="n">
        <v>5</v>
      </c>
      <c r="M1363" s="10" t="n">
        <f aca="false">INDEX(Dim_Supplier!$F$2:$F$21,MATCH(B1363,Dim_Supplier!$A$2:$A$21,0))</f>
        <v>175</v>
      </c>
      <c r="N1363" s="11" t="n">
        <v>-0.0002</v>
      </c>
      <c r="O1363" s="10" t="n">
        <f aca="false">M1363*(1+N1363)</f>
        <v>174.965</v>
      </c>
      <c r="P1363" s="10" t="n">
        <f aca="false">O1363*L1363</f>
        <v>874.825</v>
      </c>
      <c r="Q1363" s="5" t="s">
        <v>113</v>
      </c>
      <c r="R1363" s="5" t="n">
        <v>0</v>
      </c>
      <c r="S1363" s="5" t="n">
        <v>30</v>
      </c>
      <c r="T1363" s="12" t="n">
        <f aca="false">(O1363-M1363)/M1363</f>
        <v>-0.000199999999999981</v>
      </c>
      <c r="U1363" s="8" t="n">
        <f aca="false">IF(AND(K1363&lt;=I1363,R1363=0),1,0)</f>
        <v>0</v>
      </c>
      <c r="V1363" s="10" t="n">
        <f aca="false">IF(Q1363="No",P1363,0)</f>
        <v>0</v>
      </c>
    </row>
    <row r="1364" customFormat="false" ht="15" hidden="false" customHeight="false" outlineLevel="0" collapsed="false">
      <c r="A1364" s="5" t="s">
        <v>1498</v>
      </c>
      <c r="B1364" s="5" t="s">
        <v>79</v>
      </c>
      <c r="C1364" s="7" t="n">
        <v>45484</v>
      </c>
      <c r="D1364" s="8" t="str">
        <f aca="false">INDEX(Dim_Supplier!$C$2:$C$21,MATCH(B1364,Dim_Supplier!$A$2:$A$21,0))</f>
        <v>Logistics</v>
      </c>
      <c r="E1364" s="8" t="str">
        <f aca="false">INDEX(Dim_Supplier!$B$2:$B$21,MATCH(B1364,Dim_Supplier!$A$2:$A$21,0))</f>
        <v>Niagara Freight Solutions</v>
      </c>
      <c r="F1364" s="5" t="s">
        <v>237</v>
      </c>
      <c r="G1364" s="5" t="s">
        <v>129</v>
      </c>
      <c r="H1364" s="8" t="n">
        <f aca="false">INDEX(Lookup_Tables!$B$2:$B$5,MATCH(D1364,Lookup_Tables!$A$2:$A$5,0))</f>
        <v>5</v>
      </c>
      <c r="I1364" s="9" t="n">
        <f aca="false">C1364+H1364</f>
        <v>45489</v>
      </c>
      <c r="J1364" s="5" t="n">
        <v>-4</v>
      </c>
      <c r="K1364" s="9" t="n">
        <f aca="false">I1364+J1364</f>
        <v>45485</v>
      </c>
      <c r="L1364" s="5" t="n">
        <v>31</v>
      </c>
      <c r="M1364" s="10" t="n">
        <f aca="false">INDEX(Dim_Supplier!$F$2:$F$21,MATCH(B1364,Dim_Supplier!$A$2:$A$21,0))</f>
        <v>340</v>
      </c>
      <c r="N1364" s="11" t="n">
        <v>0.0446</v>
      </c>
      <c r="O1364" s="10" t="n">
        <f aca="false">M1364*(1+N1364)</f>
        <v>355.164</v>
      </c>
      <c r="P1364" s="10" t="n">
        <f aca="false">O1364*L1364</f>
        <v>11010.084</v>
      </c>
      <c r="Q1364" s="5" t="s">
        <v>113</v>
      </c>
      <c r="R1364" s="5" t="n">
        <v>0</v>
      </c>
      <c r="S1364" s="5" t="n">
        <v>45</v>
      </c>
      <c r="T1364" s="12" t="n">
        <f aca="false">(O1364-M1364)/M1364</f>
        <v>0.0446</v>
      </c>
      <c r="U1364" s="8" t="n">
        <f aca="false">IF(AND(K1364&lt;=I1364,R1364=0),1,0)</f>
        <v>1</v>
      </c>
      <c r="V1364" s="10" t="n">
        <f aca="false">IF(Q1364="No",P1364,0)</f>
        <v>0</v>
      </c>
    </row>
    <row r="1365" customFormat="false" ht="15" hidden="false" customHeight="false" outlineLevel="0" collapsed="false">
      <c r="A1365" s="5" t="s">
        <v>1499</v>
      </c>
      <c r="B1365" s="5" t="s">
        <v>82</v>
      </c>
      <c r="C1365" s="7" t="n">
        <v>45393</v>
      </c>
      <c r="D1365" s="8" t="str">
        <f aca="false">INDEX(Dim_Supplier!$C$2:$C$21,MATCH(B1365,Dim_Supplier!$A$2:$A$21,0))</f>
        <v>Logistics</v>
      </c>
      <c r="E1365" s="8" t="str">
        <f aca="false">INDEX(Dim_Supplier!$B$2:$B$21,MATCH(B1365,Dim_Supplier!$A$2:$A$21,0))</f>
        <v>Maple Route Logistics</v>
      </c>
      <c r="F1365" s="5" t="s">
        <v>185</v>
      </c>
      <c r="G1365" s="5" t="s">
        <v>129</v>
      </c>
      <c r="H1365" s="8" t="n">
        <f aca="false">INDEX(Lookup_Tables!$B$2:$B$5,MATCH(D1365,Lookup_Tables!$A$2:$A$5,0))</f>
        <v>5</v>
      </c>
      <c r="I1365" s="9" t="n">
        <f aca="false">C1365+H1365</f>
        <v>45398</v>
      </c>
      <c r="J1365" s="5" t="n">
        <v>-2</v>
      </c>
      <c r="K1365" s="9" t="n">
        <f aca="false">I1365+J1365</f>
        <v>45396</v>
      </c>
      <c r="L1365" s="5" t="n">
        <v>34</v>
      </c>
      <c r="M1365" s="10" t="n">
        <f aca="false">INDEX(Dim_Supplier!$F$2:$F$21,MATCH(B1365,Dim_Supplier!$A$2:$A$21,0))</f>
        <v>285</v>
      </c>
      <c r="N1365" s="11" t="n">
        <v>0.0149</v>
      </c>
      <c r="O1365" s="10" t="n">
        <f aca="false">M1365*(1+N1365)</f>
        <v>289.2465</v>
      </c>
      <c r="P1365" s="10" t="n">
        <f aca="false">O1365*L1365</f>
        <v>9834.381</v>
      </c>
      <c r="Q1365" s="5" t="s">
        <v>113</v>
      </c>
      <c r="R1365" s="5" t="n">
        <v>0</v>
      </c>
      <c r="S1365" s="5" t="n">
        <v>45</v>
      </c>
      <c r="T1365" s="12" t="n">
        <f aca="false">(O1365-M1365)/M1365</f>
        <v>0.0148999999999999</v>
      </c>
      <c r="U1365" s="8" t="n">
        <f aca="false">IF(AND(K1365&lt;=I1365,R1365=0),1,0)</f>
        <v>1</v>
      </c>
      <c r="V1365" s="10" t="n">
        <f aca="false">IF(Q1365="No",P1365,0)</f>
        <v>0</v>
      </c>
    </row>
    <row r="1366" customFormat="false" ht="15" hidden="false" customHeight="false" outlineLevel="0" collapsed="false">
      <c r="A1366" s="5" t="s">
        <v>1500</v>
      </c>
      <c r="B1366" s="5" t="s">
        <v>79</v>
      </c>
      <c r="C1366" s="7" t="n">
        <v>45950</v>
      </c>
      <c r="D1366" s="8" t="str">
        <f aca="false">INDEX(Dim_Supplier!$C$2:$C$21,MATCH(B1366,Dim_Supplier!$A$2:$A$21,0))</f>
        <v>Logistics</v>
      </c>
      <c r="E1366" s="8" t="str">
        <f aca="false">INDEX(Dim_Supplier!$B$2:$B$21,MATCH(B1366,Dim_Supplier!$A$2:$A$21,0))</f>
        <v>Niagara Freight Solutions</v>
      </c>
      <c r="F1366" s="5" t="s">
        <v>154</v>
      </c>
      <c r="G1366" s="5" t="s">
        <v>120</v>
      </c>
      <c r="H1366" s="8" t="n">
        <f aca="false">INDEX(Lookup_Tables!$B$2:$B$5,MATCH(D1366,Lookup_Tables!$A$2:$A$5,0))</f>
        <v>5</v>
      </c>
      <c r="I1366" s="9" t="n">
        <f aca="false">C1366+H1366</f>
        <v>45955</v>
      </c>
      <c r="J1366" s="5" t="n">
        <v>-3</v>
      </c>
      <c r="K1366" s="9" t="n">
        <f aca="false">I1366+J1366</f>
        <v>45952</v>
      </c>
      <c r="L1366" s="5" t="n">
        <v>13</v>
      </c>
      <c r="M1366" s="10" t="n">
        <f aca="false">INDEX(Dim_Supplier!$F$2:$F$21,MATCH(B1366,Dim_Supplier!$A$2:$A$21,0))</f>
        <v>340</v>
      </c>
      <c r="N1366" s="11" t="n">
        <v>0.0297</v>
      </c>
      <c r="O1366" s="10" t="n">
        <f aca="false">M1366*(1+N1366)</f>
        <v>350.098</v>
      </c>
      <c r="P1366" s="10" t="n">
        <f aca="false">O1366*L1366</f>
        <v>4551.274</v>
      </c>
      <c r="Q1366" s="5" t="s">
        <v>113</v>
      </c>
      <c r="R1366" s="5" t="n">
        <v>0</v>
      </c>
      <c r="S1366" s="5" t="n">
        <v>30</v>
      </c>
      <c r="T1366" s="12" t="n">
        <f aca="false">(O1366-M1366)/M1366</f>
        <v>0.0297</v>
      </c>
      <c r="U1366" s="8" t="n">
        <f aca="false">IF(AND(K1366&lt;=I1366,R1366=0),1,0)</f>
        <v>1</v>
      </c>
      <c r="V1366" s="10" t="n">
        <f aca="false">IF(Q1366="No",P1366,0)</f>
        <v>0</v>
      </c>
    </row>
    <row r="1367" customFormat="false" ht="15" hidden="false" customHeight="false" outlineLevel="0" collapsed="false">
      <c r="A1367" s="5" t="s">
        <v>1501</v>
      </c>
      <c r="B1367" s="5" t="s">
        <v>60</v>
      </c>
      <c r="C1367" s="7" t="n">
        <v>45794</v>
      </c>
      <c r="D1367" s="8" t="str">
        <f aca="false">INDEX(Dim_Supplier!$C$2:$C$21,MATCH(B1367,Dim_Supplier!$A$2:$A$21,0))</f>
        <v>Packaging</v>
      </c>
      <c r="E1367" s="8" t="str">
        <f aca="false">INDEX(Dim_Supplier!$B$2:$B$21,MATCH(B1367,Dim_Supplier!$A$2:$A$21,0))</f>
        <v>Maple Leaf Box &amp; Crate</v>
      </c>
      <c r="F1367" s="5" t="s">
        <v>117</v>
      </c>
      <c r="G1367" s="5" t="s">
        <v>125</v>
      </c>
      <c r="H1367" s="8" t="n">
        <f aca="false">INDEX(Lookup_Tables!$B$2:$B$5,MATCH(D1367,Lookup_Tables!$A$2:$A$5,0))</f>
        <v>14</v>
      </c>
      <c r="I1367" s="9" t="n">
        <f aca="false">C1367+H1367</f>
        <v>45808</v>
      </c>
      <c r="J1367" s="5" t="n">
        <v>1</v>
      </c>
      <c r="K1367" s="9" t="n">
        <f aca="false">I1367+J1367</f>
        <v>45809</v>
      </c>
      <c r="L1367" s="5" t="n">
        <v>3685</v>
      </c>
      <c r="M1367" s="10" t="n">
        <f aca="false">INDEX(Dim_Supplier!$F$2:$F$21,MATCH(B1367,Dim_Supplier!$A$2:$A$21,0))</f>
        <v>3.1</v>
      </c>
      <c r="N1367" s="11" t="n">
        <v>0.0556</v>
      </c>
      <c r="O1367" s="10" t="n">
        <f aca="false">M1367*(1+N1367)</f>
        <v>3.27236</v>
      </c>
      <c r="P1367" s="10" t="n">
        <f aca="false">O1367*L1367</f>
        <v>12058.6466</v>
      </c>
      <c r="Q1367" s="5" t="s">
        <v>113</v>
      </c>
      <c r="R1367" s="5" t="n">
        <v>0</v>
      </c>
      <c r="S1367" s="5" t="n">
        <v>45</v>
      </c>
      <c r="T1367" s="12" t="n">
        <f aca="false">(O1367-M1367)/M1367</f>
        <v>0.0556000000000001</v>
      </c>
      <c r="U1367" s="8" t="n">
        <f aca="false">IF(AND(K1367&lt;=I1367,R1367=0),1,0)</f>
        <v>0</v>
      </c>
      <c r="V1367" s="10" t="n">
        <f aca="false">IF(Q1367="No",P1367,0)</f>
        <v>0</v>
      </c>
    </row>
    <row r="1368" customFormat="false" ht="15" hidden="false" customHeight="false" outlineLevel="0" collapsed="false">
      <c r="A1368" s="5" t="s">
        <v>1502</v>
      </c>
      <c r="B1368" s="5" t="s">
        <v>79</v>
      </c>
      <c r="C1368" s="7" t="n">
        <v>46007</v>
      </c>
      <c r="D1368" s="8" t="str">
        <f aca="false">INDEX(Dim_Supplier!$C$2:$C$21,MATCH(B1368,Dim_Supplier!$A$2:$A$21,0))</f>
        <v>Logistics</v>
      </c>
      <c r="E1368" s="8" t="str">
        <f aca="false">INDEX(Dim_Supplier!$B$2:$B$21,MATCH(B1368,Dim_Supplier!$A$2:$A$21,0))</f>
        <v>Niagara Freight Solutions</v>
      </c>
      <c r="F1368" s="5" t="s">
        <v>124</v>
      </c>
      <c r="G1368" s="5" t="s">
        <v>129</v>
      </c>
      <c r="H1368" s="8" t="n">
        <f aca="false">INDEX(Lookup_Tables!$B$2:$B$5,MATCH(D1368,Lookup_Tables!$A$2:$A$5,0))</f>
        <v>5</v>
      </c>
      <c r="I1368" s="9" t="n">
        <f aca="false">C1368+H1368</f>
        <v>46012</v>
      </c>
      <c r="J1368" s="5" t="n">
        <v>-2</v>
      </c>
      <c r="K1368" s="9" t="n">
        <f aca="false">I1368+J1368</f>
        <v>46010</v>
      </c>
      <c r="L1368" s="5" t="n">
        <v>38</v>
      </c>
      <c r="M1368" s="10" t="n">
        <f aca="false">INDEX(Dim_Supplier!$F$2:$F$21,MATCH(B1368,Dim_Supplier!$A$2:$A$21,0))</f>
        <v>340</v>
      </c>
      <c r="N1368" s="11" t="n">
        <v>0.018</v>
      </c>
      <c r="O1368" s="10" t="n">
        <f aca="false">M1368*(1+N1368)</f>
        <v>346.12</v>
      </c>
      <c r="P1368" s="10" t="n">
        <f aca="false">O1368*L1368</f>
        <v>13152.56</v>
      </c>
      <c r="Q1368" s="5" t="s">
        <v>113</v>
      </c>
      <c r="R1368" s="5" t="n">
        <v>0</v>
      </c>
      <c r="S1368" s="5" t="n">
        <v>30</v>
      </c>
      <c r="T1368" s="12" t="n">
        <f aca="false">(O1368-M1368)/M1368</f>
        <v>0.018</v>
      </c>
      <c r="U1368" s="8" t="n">
        <f aca="false">IF(AND(K1368&lt;=I1368,R1368=0),1,0)</f>
        <v>1</v>
      </c>
      <c r="V1368" s="10" t="n">
        <f aca="false">IF(Q1368="No",P1368,0)</f>
        <v>0</v>
      </c>
    </row>
    <row r="1369" customFormat="false" ht="15" hidden="false" customHeight="false" outlineLevel="0" collapsed="false">
      <c r="A1369" s="5" t="s">
        <v>1503</v>
      </c>
      <c r="B1369" s="5" t="s">
        <v>57</v>
      </c>
      <c r="C1369" s="7" t="n">
        <v>45341</v>
      </c>
      <c r="D1369" s="8" t="str">
        <f aca="false">INDEX(Dim_Supplier!$C$2:$C$21,MATCH(B1369,Dim_Supplier!$A$2:$A$21,0))</f>
        <v>Packaging</v>
      </c>
      <c r="E1369" s="8" t="str">
        <f aca="false">INDEX(Dim_Supplier!$B$2:$B$21,MATCH(B1369,Dim_Supplier!$A$2:$A$21,0))</f>
        <v>Great Lakes Packaging Co.</v>
      </c>
      <c r="F1369" s="5" t="s">
        <v>122</v>
      </c>
      <c r="G1369" s="5" t="s">
        <v>129</v>
      </c>
      <c r="H1369" s="8" t="n">
        <f aca="false">INDEX(Lookup_Tables!$B$2:$B$5,MATCH(D1369,Lookup_Tables!$A$2:$A$5,0))</f>
        <v>14</v>
      </c>
      <c r="I1369" s="9" t="n">
        <f aca="false">C1369+H1369</f>
        <v>45355</v>
      </c>
      <c r="J1369" s="5" t="n">
        <v>-1</v>
      </c>
      <c r="K1369" s="9" t="n">
        <f aca="false">I1369+J1369</f>
        <v>45354</v>
      </c>
      <c r="L1369" s="5" t="n">
        <v>2042</v>
      </c>
      <c r="M1369" s="10" t="n">
        <f aca="false">INDEX(Dim_Supplier!$F$2:$F$21,MATCH(B1369,Dim_Supplier!$A$2:$A$21,0))</f>
        <v>4.35</v>
      </c>
      <c r="N1369" s="11" t="n">
        <v>0.015</v>
      </c>
      <c r="O1369" s="10" t="n">
        <f aca="false">M1369*(1+N1369)</f>
        <v>4.41525</v>
      </c>
      <c r="P1369" s="10" t="n">
        <f aca="false">O1369*L1369</f>
        <v>9015.9405</v>
      </c>
      <c r="Q1369" s="5" t="s">
        <v>113</v>
      </c>
      <c r="R1369" s="5" t="n">
        <v>0</v>
      </c>
      <c r="S1369" s="5" t="n">
        <v>60</v>
      </c>
      <c r="T1369" s="12" t="n">
        <f aca="false">(O1369-M1369)/M1369</f>
        <v>0.015</v>
      </c>
      <c r="U1369" s="8" t="n">
        <f aca="false">IF(AND(K1369&lt;=I1369,R1369=0),1,0)</f>
        <v>1</v>
      </c>
      <c r="V1369" s="10" t="n">
        <f aca="false">IF(Q1369="No",P1369,0)</f>
        <v>0</v>
      </c>
    </row>
    <row r="1370" customFormat="false" ht="15" hidden="false" customHeight="false" outlineLevel="0" collapsed="false">
      <c r="A1370" s="5" t="s">
        <v>1504</v>
      </c>
      <c r="B1370" s="5" t="s">
        <v>75</v>
      </c>
      <c r="C1370" s="7" t="n">
        <v>45736</v>
      </c>
      <c r="D1370" s="8" t="str">
        <f aca="false">INDEX(Dim_Supplier!$C$2:$C$21,MATCH(B1370,Dim_Supplier!$A$2:$A$21,0))</f>
        <v>MRO</v>
      </c>
      <c r="E1370" s="8" t="str">
        <f aca="false">INDEX(Dim_Supplier!$B$2:$B$21,MATCH(B1370,Dim_Supplier!$A$2:$A$21,0))</f>
        <v>Sterling Lubricants Inc.</v>
      </c>
      <c r="F1370" s="5" t="s">
        <v>132</v>
      </c>
      <c r="G1370" s="5" t="s">
        <v>112</v>
      </c>
      <c r="H1370" s="8" t="n">
        <f aca="false">INDEX(Lookup_Tables!$B$2:$B$5,MATCH(D1370,Lookup_Tables!$A$2:$A$5,0))</f>
        <v>10</v>
      </c>
      <c r="I1370" s="9" t="n">
        <f aca="false">C1370+H1370</f>
        <v>45746</v>
      </c>
      <c r="J1370" s="5" t="n">
        <v>-4</v>
      </c>
      <c r="K1370" s="9" t="n">
        <f aca="false">I1370+J1370</f>
        <v>45742</v>
      </c>
      <c r="L1370" s="5" t="n">
        <v>16</v>
      </c>
      <c r="M1370" s="10" t="n">
        <f aca="false">INDEX(Dim_Supplier!$F$2:$F$21,MATCH(B1370,Dim_Supplier!$A$2:$A$21,0))</f>
        <v>27.1</v>
      </c>
      <c r="N1370" s="11" t="n">
        <v>0.0183</v>
      </c>
      <c r="O1370" s="10" t="n">
        <f aca="false">M1370*(1+N1370)</f>
        <v>27.59593</v>
      </c>
      <c r="P1370" s="10" t="n">
        <f aca="false">O1370*L1370</f>
        <v>441.53488</v>
      </c>
      <c r="Q1370" s="5" t="s">
        <v>133</v>
      </c>
      <c r="R1370" s="5" t="n">
        <v>0</v>
      </c>
      <c r="S1370" s="5" t="n">
        <v>60</v>
      </c>
      <c r="T1370" s="12" t="n">
        <f aca="false">(O1370-M1370)/M1370</f>
        <v>0.0183000000000001</v>
      </c>
      <c r="U1370" s="8" t="n">
        <f aca="false">IF(AND(K1370&lt;=I1370,R1370=0),1,0)</f>
        <v>1</v>
      </c>
      <c r="V1370" s="10" t="n">
        <f aca="false">IF(Q1370="No",P1370,0)</f>
        <v>441.53488</v>
      </c>
    </row>
    <row r="1371" customFormat="false" ht="15" hidden="false" customHeight="false" outlineLevel="0" collapsed="false">
      <c r="A1371" s="5" t="s">
        <v>1505</v>
      </c>
      <c r="B1371" s="5" t="s">
        <v>84</v>
      </c>
      <c r="C1371" s="7" t="n">
        <v>46021</v>
      </c>
      <c r="D1371" s="8" t="str">
        <f aca="false">INDEX(Dim_Supplier!$C$2:$C$21,MATCH(B1371,Dim_Supplier!$A$2:$A$21,0))</f>
        <v>Logistics</v>
      </c>
      <c r="E1371" s="8" t="str">
        <f aca="false">INDEX(Dim_Supplier!$B$2:$B$21,MATCH(B1371,Dim_Supplier!$A$2:$A$21,0))</f>
        <v>Trans-Canada Carriers</v>
      </c>
      <c r="F1371" s="5" t="s">
        <v>146</v>
      </c>
      <c r="G1371" s="5" t="s">
        <v>129</v>
      </c>
      <c r="H1371" s="8" t="n">
        <f aca="false">INDEX(Lookup_Tables!$B$2:$B$5,MATCH(D1371,Lookup_Tables!$A$2:$A$5,0))</f>
        <v>5</v>
      </c>
      <c r="I1371" s="9" t="n">
        <f aca="false">C1371+H1371</f>
        <v>46026</v>
      </c>
      <c r="J1371" s="5" t="n">
        <v>3</v>
      </c>
      <c r="K1371" s="9" t="n">
        <f aca="false">I1371+J1371</f>
        <v>46029</v>
      </c>
      <c r="L1371" s="5" t="n">
        <v>37</v>
      </c>
      <c r="M1371" s="10" t="n">
        <f aca="false">INDEX(Dim_Supplier!$F$2:$F$21,MATCH(B1371,Dim_Supplier!$A$2:$A$21,0))</f>
        <v>210</v>
      </c>
      <c r="N1371" s="11" t="n">
        <v>0.1072</v>
      </c>
      <c r="O1371" s="10" t="n">
        <f aca="false">M1371*(1+N1371)</f>
        <v>232.512</v>
      </c>
      <c r="P1371" s="10" t="n">
        <f aca="false">O1371*L1371</f>
        <v>8602.944</v>
      </c>
      <c r="Q1371" s="5" t="s">
        <v>133</v>
      </c>
      <c r="R1371" s="5" t="n">
        <v>2</v>
      </c>
      <c r="S1371" s="5" t="n">
        <v>30</v>
      </c>
      <c r="T1371" s="12" t="n">
        <f aca="false">(O1371-M1371)/M1371</f>
        <v>0.1072</v>
      </c>
      <c r="U1371" s="8" t="n">
        <f aca="false">IF(AND(K1371&lt;=I1371,R1371=0),1,0)</f>
        <v>0</v>
      </c>
      <c r="V1371" s="10" t="n">
        <f aca="false">IF(Q1371="No",P1371,0)</f>
        <v>8602.944</v>
      </c>
    </row>
    <row r="1372" customFormat="false" ht="15" hidden="false" customHeight="false" outlineLevel="0" collapsed="false">
      <c r="A1372" s="5" t="s">
        <v>1506</v>
      </c>
      <c r="B1372" s="5" t="s">
        <v>75</v>
      </c>
      <c r="C1372" s="7" t="n">
        <v>45589</v>
      </c>
      <c r="D1372" s="8" t="str">
        <f aca="false">INDEX(Dim_Supplier!$C$2:$C$21,MATCH(B1372,Dim_Supplier!$A$2:$A$21,0))</f>
        <v>MRO</v>
      </c>
      <c r="E1372" s="8" t="str">
        <f aca="false">INDEX(Dim_Supplier!$B$2:$B$21,MATCH(B1372,Dim_Supplier!$A$2:$A$21,0))</f>
        <v>Sterling Lubricants Inc.</v>
      </c>
      <c r="F1372" s="5" t="s">
        <v>127</v>
      </c>
      <c r="G1372" s="5" t="s">
        <v>112</v>
      </c>
      <c r="H1372" s="8" t="n">
        <f aca="false">INDEX(Lookup_Tables!$B$2:$B$5,MATCH(D1372,Lookup_Tables!$A$2:$A$5,0))</f>
        <v>10</v>
      </c>
      <c r="I1372" s="9" t="n">
        <f aca="false">C1372+H1372</f>
        <v>45599</v>
      </c>
      <c r="J1372" s="5" t="n">
        <v>-4</v>
      </c>
      <c r="K1372" s="9" t="n">
        <f aca="false">I1372+J1372</f>
        <v>45595</v>
      </c>
      <c r="L1372" s="5" t="n">
        <v>89</v>
      </c>
      <c r="M1372" s="10" t="n">
        <f aca="false">INDEX(Dim_Supplier!$F$2:$F$21,MATCH(B1372,Dim_Supplier!$A$2:$A$21,0))</f>
        <v>27.1</v>
      </c>
      <c r="N1372" s="11" t="n">
        <v>-0.0175</v>
      </c>
      <c r="O1372" s="10" t="n">
        <f aca="false">M1372*(1+N1372)</f>
        <v>26.62575</v>
      </c>
      <c r="P1372" s="10" t="n">
        <f aca="false">O1372*L1372</f>
        <v>2369.69175</v>
      </c>
      <c r="Q1372" s="5" t="s">
        <v>133</v>
      </c>
      <c r="R1372" s="5" t="n">
        <v>0</v>
      </c>
      <c r="S1372" s="5" t="n">
        <v>60</v>
      </c>
      <c r="T1372" s="12" t="n">
        <f aca="false">(O1372-M1372)/M1372</f>
        <v>-0.0174999999999999</v>
      </c>
      <c r="U1372" s="8" t="n">
        <f aca="false">IF(AND(K1372&lt;=I1372,R1372=0),1,0)</f>
        <v>1</v>
      </c>
      <c r="V1372" s="10" t="n">
        <f aca="false">IF(Q1372="No",P1372,0)</f>
        <v>2369.69175</v>
      </c>
    </row>
    <row r="1373" customFormat="false" ht="15" hidden="false" customHeight="false" outlineLevel="0" collapsed="false">
      <c r="A1373" s="5" t="s">
        <v>1507</v>
      </c>
      <c r="B1373" s="5" t="s">
        <v>60</v>
      </c>
      <c r="C1373" s="7" t="n">
        <v>46149</v>
      </c>
      <c r="D1373" s="8" t="str">
        <f aca="false">INDEX(Dim_Supplier!$C$2:$C$21,MATCH(B1373,Dim_Supplier!$A$2:$A$21,0))</f>
        <v>Packaging</v>
      </c>
      <c r="E1373" s="8" t="str">
        <f aca="false">INDEX(Dim_Supplier!$B$2:$B$21,MATCH(B1373,Dim_Supplier!$A$2:$A$21,0))</f>
        <v>Maple Leaf Box &amp; Crate</v>
      </c>
      <c r="F1373" s="5" t="s">
        <v>137</v>
      </c>
      <c r="G1373" s="5" t="s">
        <v>129</v>
      </c>
      <c r="H1373" s="8" t="n">
        <f aca="false">INDEX(Lookup_Tables!$B$2:$B$5,MATCH(D1373,Lookup_Tables!$A$2:$A$5,0))</f>
        <v>14</v>
      </c>
      <c r="I1373" s="9" t="n">
        <f aca="false">C1373+H1373</f>
        <v>46163</v>
      </c>
      <c r="J1373" s="5" t="n">
        <v>1</v>
      </c>
      <c r="K1373" s="9" t="n">
        <f aca="false">I1373+J1373</f>
        <v>46164</v>
      </c>
      <c r="L1373" s="5" t="n">
        <v>2615</v>
      </c>
      <c r="M1373" s="10" t="n">
        <f aca="false">INDEX(Dim_Supplier!$F$2:$F$21,MATCH(B1373,Dim_Supplier!$A$2:$A$21,0))</f>
        <v>3.1</v>
      </c>
      <c r="N1373" s="11" t="n">
        <v>0.0624</v>
      </c>
      <c r="O1373" s="10" t="n">
        <f aca="false">M1373*(1+N1373)</f>
        <v>3.29344</v>
      </c>
      <c r="P1373" s="10" t="n">
        <f aca="false">O1373*L1373</f>
        <v>8612.3456</v>
      </c>
      <c r="Q1373" s="5" t="s">
        <v>133</v>
      </c>
      <c r="R1373" s="5" t="n">
        <v>0</v>
      </c>
      <c r="S1373" s="5" t="n">
        <v>45</v>
      </c>
      <c r="T1373" s="12" t="n">
        <f aca="false">(O1373-M1373)/M1373</f>
        <v>0.0623999999999999</v>
      </c>
      <c r="U1373" s="8" t="n">
        <f aca="false">IF(AND(K1373&lt;=I1373,R1373=0),1,0)</f>
        <v>0</v>
      </c>
      <c r="V1373" s="10" t="n">
        <f aca="false">IF(Q1373="No",P1373,0)</f>
        <v>8612.3456</v>
      </c>
    </row>
    <row r="1374" customFormat="false" ht="15" hidden="false" customHeight="false" outlineLevel="0" collapsed="false">
      <c r="A1374" s="5" t="s">
        <v>1508</v>
      </c>
      <c r="B1374" s="5" t="s">
        <v>82</v>
      </c>
      <c r="C1374" s="7" t="n">
        <v>45933</v>
      </c>
      <c r="D1374" s="8" t="str">
        <f aca="false">INDEX(Dim_Supplier!$C$2:$C$21,MATCH(B1374,Dim_Supplier!$A$2:$A$21,0))</f>
        <v>Logistics</v>
      </c>
      <c r="E1374" s="8" t="str">
        <f aca="false">INDEX(Dim_Supplier!$B$2:$B$21,MATCH(B1374,Dim_Supplier!$A$2:$A$21,0))</f>
        <v>Maple Route Logistics</v>
      </c>
      <c r="F1374" s="5" t="s">
        <v>146</v>
      </c>
      <c r="G1374" s="5" t="s">
        <v>112</v>
      </c>
      <c r="H1374" s="8" t="n">
        <f aca="false">INDEX(Lookup_Tables!$B$2:$B$5,MATCH(D1374,Lookup_Tables!$A$2:$A$5,0))</f>
        <v>5</v>
      </c>
      <c r="I1374" s="9" t="n">
        <f aca="false">C1374+H1374</f>
        <v>45938</v>
      </c>
      <c r="J1374" s="5" t="n">
        <v>2</v>
      </c>
      <c r="K1374" s="9" t="n">
        <f aca="false">I1374+J1374</f>
        <v>45940</v>
      </c>
      <c r="L1374" s="5" t="n">
        <v>18</v>
      </c>
      <c r="M1374" s="10" t="n">
        <f aca="false">INDEX(Dim_Supplier!$F$2:$F$21,MATCH(B1374,Dim_Supplier!$A$2:$A$21,0))</f>
        <v>285</v>
      </c>
      <c r="N1374" s="11" t="n">
        <v>0.0193</v>
      </c>
      <c r="O1374" s="10" t="n">
        <f aca="false">M1374*(1+N1374)</f>
        <v>290.5005</v>
      </c>
      <c r="P1374" s="10" t="n">
        <f aca="false">O1374*L1374</f>
        <v>5229.009</v>
      </c>
      <c r="Q1374" s="5" t="s">
        <v>113</v>
      </c>
      <c r="R1374" s="5" t="n">
        <v>1</v>
      </c>
      <c r="S1374" s="5" t="n">
        <v>30</v>
      </c>
      <c r="T1374" s="12" t="n">
        <f aca="false">(O1374-M1374)/M1374</f>
        <v>0.0193000000000002</v>
      </c>
      <c r="U1374" s="8" t="n">
        <f aca="false">IF(AND(K1374&lt;=I1374,R1374=0),1,0)</f>
        <v>0</v>
      </c>
      <c r="V1374" s="10" t="n">
        <f aca="false">IF(Q1374="No",P1374,0)</f>
        <v>0</v>
      </c>
    </row>
    <row r="1375" customFormat="false" ht="15" hidden="false" customHeight="false" outlineLevel="0" collapsed="false">
      <c r="A1375" s="5" t="s">
        <v>1509</v>
      </c>
      <c r="B1375" s="5" t="s">
        <v>82</v>
      </c>
      <c r="C1375" s="7" t="n">
        <v>45486</v>
      </c>
      <c r="D1375" s="8" t="str">
        <f aca="false">INDEX(Dim_Supplier!$C$2:$C$21,MATCH(B1375,Dim_Supplier!$A$2:$A$21,0))</f>
        <v>Logistics</v>
      </c>
      <c r="E1375" s="8" t="str">
        <f aca="false">INDEX(Dim_Supplier!$B$2:$B$21,MATCH(B1375,Dim_Supplier!$A$2:$A$21,0))</f>
        <v>Maple Route Logistics</v>
      </c>
      <c r="F1375" s="5" t="s">
        <v>237</v>
      </c>
      <c r="G1375" s="5" t="s">
        <v>120</v>
      </c>
      <c r="H1375" s="8" t="n">
        <f aca="false">INDEX(Lookup_Tables!$B$2:$B$5,MATCH(D1375,Lookup_Tables!$A$2:$A$5,0))</f>
        <v>5</v>
      </c>
      <c r="I1375" s="9" t="n">
        <f aca="false">C1375+H1375</f>
        <v>45491</v>
      </c>
      <c r="J1375" s="5" t="n">
        <v>-3</v>
      </c>
      <c r="K1375" s="9" t="n">
        <f aca="false">I1375+J1375</f>
        <v>45488</v>
      </c>
      <c r="L1375" s="5" t="n">
        <v>26</v>
      </c>
      <c r="M1375" s="10" t="n">
        <f aca="false">INDEX(Dim_Supplier!$F$2:$F$21,MATCH(B1375,Dim_Supplier!$A$2:$A$21,0))</f>
        <v>285</v>
      </c>
      <c r="N1375" s="11" t="n">
        <v>0.0135</v>
      </c>
      <c r="O1375" s="10" t="n">
        <f aca="false">M1375*(1+N1375)</f>
        <v>288.8475</v>
      </c>
      <c r="P1375" s="10" t="n">
        <f aca="false">O1375*L1375</f>
        <v>7510.035</v>
      </c>
      <c r="Q1375" s="5" t="s">
        <v>113</v>
      </c>
      <c r="R1375" s="5" t="n">
        <v>0</v>
      </c>
      <c r="S1375" s="5" t="n">
        <v>30</v>
      </c>
      <c r="T1375" s="12" t="n">
        <f aca="false">(O1375-M1375)/M1375</f>
        <v>0.0135000000000001</v>
      </c>
      <c r="U1375" s="8" t="n">
        <f aca="false">IF(AND(K1375&lt;=I1375,R1375=0),1,0)</f>
        <v>1</v>
      </c>
      <c r="V1375" s="10" t="n">
        <f aca="false">IF(Q1375="No",P1375,0)</f>
        <v>0</v>
      </c>
    </row>
    <row r="1376" customFormat="false" ht="15" hidden="false" customHeight="false" outlineLevel="0" collapsed="false">
      <c r="A1376" s="5" t="s">
        <v>1510</v>
      </c>
      <c r="B1376" s="5" t="s">
        <v>75</v>
      </c>
      <c r="C1376" s="7" t="n">
        <v>45364</v>
      </c>
      <c r="D1376" s="8" t="str">
        <f aca="false">INDEX(Dim_Supplier!$C$2:$C$21,MATCH(B1376,Dim_Supplier!$A$2:$A$21,0))</f>
        <v>MRO</v>
      </c>
      <c r="E1376" s="8" t="str">
        <f aca="false">INDEX(Dim_Supplier!$B$2:$B$21,MATCH(B1376,Dim_Supplier!$A$2:$A$21,0))</f>
        <v>Sterling Lubricants Inc.</v>
      </c>
      <c r="F1376" s="5" t="s">
        <v>127</v>
      </c>
      <c r="G1376" s="5" t="s">
        <v>129</v>
      </c>
      <c r="H1376" s="8" t="n">
        <f aca="false">INDEX(Lookup_Tables!$B$2:$B$5,MATCH(D1376,Lookup_Tables!$A$2:$A$5,0))</f>
        <v>10</v>
      </c>
      <c r="I1376" s="9" t="n">
        <f aca="false">C1376+H1376</f>
        <v>45374</v>
      </c>
      <c r="J1376" s="5" t="n">
        <v>-1</v>
      </c>
      <c r="K1376" s="9" t="n">
        <f aca="false">I1376+J1376</f>
        <v>45373</v>
      </c>
      <c r="L1376" s="5" t="n">
        <v>22</v>
      </c>
      <c r="M1376" s="10" t="n">
        <f aca="false">INDEX(Dim_Supplier!$F$2:$F$21,MATCH(B1376,Dim_Supplier!$A$2:$A$21,0))</f>
        <v>27.1</v>
      </c>
      <c r="N1376" s="11" t="n">
        <v>0.0498</v>
      </c>
      <c r="O1376" s="10" t="n">
        <f aca="false">M1376*(1+N1376)</f>
        <v>28.44958</v>
      </c>
      <c r="P1376" s="10" t="n">
        <f aca="false">O1376*L1376</f>
        <v>625.89076</v>
      </c>
      <c r="Q1376" s="5" t="s">
        <v>113</v>
      </c>
      <c r="R1376" s="5" t="n">
        <v>0</v>
      </c>
      <c r="S1376" s="5" t="n">
        <v>60</v>
      </c>
      <c r="T1376" s="12" t="n">
        <f aca="false">(O1376-M1376)/M1376</f>
        <v>0.0498000000000001</v>
      </c>
      <c r="U1376" s="8" t="n">
        <f aca="false">IF(AND(K1376&lt;=I1376,R1376=0),1,0)</f>
        <v>1</v>
      </c>
      <c r="V1376" s="10" t="n">
        <f aca="false">IF(Q1376="No",P1376,0)</f>
        <v>0</v>
      </c>
    </row>
    <row r="1377" customFormat="false" ht="15" hidden="false" customHeight="false" outlineLevel="0" collapsed="false">
      <c r="A1377" s="5" t="s">
        <v>1511</v>
      </c>
      <c r="B1377" s="5" t="s">
        <v>54</v>
      </c>
      <c r="C1377" s="7" t="n">
        <v>45989</v>
      </c>
      <c r="D1377" s="8" t="str">
        <f aca="false">INDEX(Dim_Supplier!$C$2:$C$21,MATCH(B1377,Dim_Supplier!$A$2:$A$21,0))</f>
        <v>Raw Materials</v>
      </c>
      <c r="E1377" s="8" t="str">
        <f aca="false">INDEX(Dim_Supplier!$B$2:$B$21,MATCH(B1377,Dim_Supplier!$A$2:$A$21,0))</f>
        <v>Northern Resin Solutions</v>
      </c>
      <c r="F1377" s="5" t="s">
        <v>142</v>
      </c>
      <c r="G1377" s="5" t="s">
        <v>120</v>
      </c>
      <c r="H1377" s="8" t="n">
        <f aca="false">INDEX(Lookup_Tables!$B$2:$B$5,MATCH(D1377,Lookup_Tables!$A$2:$A$5,0))</f>
        <v>21</v>
      </c>
      <c r="I1377" s="9" t="n">
        <f aca="false">C1377+H1377</f>
        <v>46010</v>
      </c>
      <c r="J1377" s="5" t="n">
        <v>-3</v>
      </c>
      <c r="K1377" s="9" t="n">
        <f aca="false">I1377+J1377</f>
        <v>46007</v>
      </c>
      <c r="L1377" s="5" t="n">
        <v>1267</v>
      </c>
      <c r="M1377" s="10" t="n">
        <f aca="false">INDEX(Dim_Supplier!$F$2:$F$21,MATCH(B1377,Dim_Supplier!$A$2:$A$21,0))</f>
        <v>38.9</v>
      </c>
      <c r="N1377" s="11" t="n">
        <v>0.0463</v>
      </c>
      <c r="O1377" s="10" t="n">
        <f aca="false">M1377*(1+N1377)</f>
        <v>40.70107</v>
      </c>
      <c r="P1377" s="10" t="n">
        <f aca="false">O1377*L1377</f>
        <v>51568.25569</v>
      </c>
      <c r="Q1377" s="5" t="s">
        <v>113</v>
      </c>
      <c r="R1377" s="5" t="n">
        <v>0</v>
      </c>
      <c r="S1377" s="5" t="n">
        <v>30</v>
      </c>
      <c r="T1377" s="12" t="n">
        <f aca="false">(O1377-M1377)/M1377</f>
        <v>0.0463000000000001</v>
      </c>
      <c r="U1377" s="8" t="n">
        <f aca="false">IF(AND(K1377&lt;=I1377,R1377=0),1,0)</f>
        <v>1</v>
      </c>
      <c r="V1377" s="10" t="n">
        <f aca="false">IF(Q1377="No",P1377,0)</f>
        <v>0</v>
      </c>
    </row>
    <row r="1378" customFormat="false" ht="15" hidden="false" customHeight="false" outlineLevel="0" collapsed="false">
      <c r="A1378" s="5" t="s">
        <v>1512</v>
      </c>
      <c r="B1378" s="5" t="s">
        <v>84</v>
      </c>
      <c r="C1378" s="7" t="n">
        <v>45498</v>
      </c>
      <c r="D1378" s="8" t="str">
        <f aca="false">INDEX(Dim_Supplier!$C$2:$C$21,MATCH(B1378,Dim_Supplier!$A$2:$A$21,0))</f>
        <v>Logistics</v>
      </c>
      <c r="E1378" s="8" t="str">
        <f aca="false">INDEX(Dim_Supplier!$B$2:$B$21,MATCH(B1378,Dim_Supplier!$A$2:$A$21,0))</f>
        <v>Trans-Canada Carriers</v>
      </c>
      <c r="F1378" s="5" t="s">
        <v>124</v>
      </c>
      <c r="G1378" s="5" t="s">
        <v>125</v>
      </c>
      <c r="H1378" s="8" t="n">
        <f aca="false">INDEX(Lookup_Tables!$B$2:$B$5,MATCH(D1378,Lookup_Tables!$A$2:$A$5,0))</f>
        <v>5</v>
      </c>
      <c r="I1378" s="9" t="n">
        <f aca="false">C1378+H1378</f>
        <v>45503</v>
      </c>
      <c r="J1378" s="5" t="n">
        <v>5</v>
      </c>
      <c r="K1378" s="9" t="n">
        <f aca="false">I1378+J1378</f>
        <v>45508</v>
      </c>
      <c r="L1378" s="5" t="n">
        <v>3</v>
      </c>
      <c r="M1378" s="10" t="n">
        <f aca="false">INDEX(Dim_Supplier!$F$2:$F$21,MATCH(B1378,Dim_Supplier!$A$2:$A$21,0))</f>
        <v>210</v>
      </c>
      <c r="N1378" s="11" t="n">
        <v>0.153</v>
      </c>
      <c r="O1378" s="10" t="n">
        <f aca="false">M1378*(1+N1378)</f>
        <v>242.13</v>
      </c>
      <c r="P1378" s="10" t="n">
        <f aca="false">O1378*L1378</f>
        <v>726.39</v>
      </c>
      <c r="Q1378" s="5" t="s">
        <v>113</v>
      </c>
      <c r="R1378" s="5" t="n">
        <v>0</v>
      </c>
      <c r="S1378" s="5" t="n">
        <v>30</v>
      </c>
      <c r="T1378" s="12" t="n">
        <f aca="false">(O1378-M1378)/M1378</f>
        <v>0.153</v>
      </c>
      <c r="U1378" s="8" t="n">
        <f aca="false">IF(AND(K1378&lt;=I1378,R1378=0),1,0)</f>
        <v>0</v>
      </c>
      <c r="V1378" s="10" t="n">
        <f aca="false">IF(Q1378="No",P1378,0)</f>
        <v>0</v>
      </c>
    </row>
    <row r="1379" customFormat="false" ht="15" hidden="false" customHeight="false" outlineLevel="0" collapsed="false">
      <c r="A1379" s="5" t="s">
        <v>1513</v>
      </c>
      <c r="B1379" s="5" t="s">
        <v>82</v>
      </c>
      <c r="C1379" s="7" t="n">
        <v>45480</v>
      </c>
      <c r="D1379" s="8" t="str">
        <f aca="false">INDEX(Dim_Supplier!$C$2:$C$21,MATCH(B1379,Dim_Supplier!$A$2:$A$21,0))</f>
        <v>Logistics</v>
      </c>
      <c r="E1379" s="8" t="str">
        <f aca="false">INDEX(Dim_Supplier!$B$2:$B$21,MATCH(B1379,Dim_Supplier!$A$2:$A$21,0))</f>
        <v>Maple Route Logistics</v>
      </c>
      <c r="F1379" s="5" t="s">
        <v>124</v>
      </c>
      <c r="G1379" s="5" t="s">
        <v>129</v>
      </c>
      <c r="H1379" s="8" t="n">
        <f aca="false">INDEX(Lookup_Tables!$B$2:$B$5,MATCH(D1379,Lookup_Tables!$A$2:$A$5,0))</f>
        <v>5</v>
      </c>
      <c r="I1379" s="9" t="n">
        <f aca="false">C1379+H1379</f>
        <v>45485</v>
      </c>
      <c r="J1379" s="5" t="n">
        <v>-1</v>
      </c>
      <c r="K1379" s="9" t="n">
        <f aca="false">I1379+J1379</f>
        <v>45484</v>
      </c>
      <c r="L1379" s="5" t="n">
        <v>29</v>
      </c>
      <c r="M1379" s="10" t="n">
        <f aca="false">INDEX(Dim_Supplier!$F$2:$F$21,MATCH(B1379,Dim_Supplier!$A$2:$A$21,0))</f>
        <v>285</v>
      </c>
      <c r="N1379" s="11" t="n">
        <v>0.0576</v>
      </c>
      <c r="O1379" s="10" t="n">
        <f aca="false">M1379*(1+N1379)</f>
        <v>301.416</v>
      </c>
      <c r="P1379" s="10" t="n">
        <f aca="false">O1379*L1379</f>
        <v>8741.064</v>
      </c>
      <c r="Q1379" s="5" t="s">
        <v>113</v>
      </c>
      <c r="R1379" s="5" t="n">
        <v>0</v>
      </c>
      <c r="S1379" s="5" t="n">
        <v>45</v>
      </c>
      <c r="T1379" s="12" t="n">
        <f aca="false">(O1379-M1379)/M1379</f>
        <v>0.0576000000000002</v>
      </c>
      <c r="U1379" s="8" t="n">
        <f aca="false">IF(AND(K1379&lt;=I1379,R1379=0),1,0)</f>
        <v>1</v>
      </c>
      <c r="V1379" s="10" t="n">
        <f aca="false">IF(Q1379="No",P1379,0)</f>
        <v>0</v>
      </c>
    </row>
    <row r="1380" customFormat="false" ht="15" hidden="false" customHeight="false" outlineLevel="0" collapsed="false">
      <c r="A1380" s="5" t="s">
        <v>1514</v>
      </c>
      <c r="B1380" s="5" t="s">
        <v>75</v>
      </c>
      <c r="C1380" s="7" t="n">
        <v>45807</v>
      </c>
      <c r="D1380" s="8" t="str">
        <f aca="false">INDEX(Dim_Supplier!$C$2:$C$21,MATCH(B1380,Dim_Supplier!$A$2:$A$21,0))</f>
        <v>MRO</v>
      </c>
      <c r="E1380" s="8" t="str">
        <f aca="false">INDEX(Dim_Supplier!$B$2:$B$21,MATCH(B1380,Dim_Supplier!$A$2:$A$21,0))</f>
        <v>Sterling Lubricants Inc.</v>
      </c>
      <c r="F1380" s="5" t="s">
        <v>164</v>
      </c>
      <c r="G1380" s="5" t="s">
        <v>112</v>
      </c>
      <c r="H1380" s="8" t="n">
        <f aca="false">INDEX(Lookup_Tables!$B$2:$B$5,MATCH(D1380,Lookup_Tables!$A$2:$A$5,0))</f>
        <v>10</v>
      </c>
      <c r="I1380" s="9" t="n">
        <f aca="false">C1380+H1380</f>
        <v>45817</v>
      </c>
      <c r="J1380" s="5" t="n">
        <v>-3</v>
      </c>
      <c r="K1380" s="9" t="n">
        <f aca="false">I1380+J1380</f>
        <v>45814</v>
      </c>
      <c r="L1380" s="5" t="n">
        <v>8</v>
      </c>
      <c r="M1380" s="10" t="n">
        <f aca="false">INDEX(Dim_Supplier!$F$2:$F$21,MATCH(B1380,Dim_Supplier!$A$2:$A$21,0))</f>
        <v>27.1</v>
      </c>
      <c r="N1380" s="11" t="n">
        <v>0.0141</v>
      </c>
      <c r="O1380" s="10" t="n">
        <f aca="false">M1380*(1+N1380)</f>
        <v>27.48211</v>
      </c>
      <c r="P1380" s="10" t="n">
        <f aca="false">O1380*L1380</f>
        <v>219.85688</v>
      </c>
      <c r="Q1380" s="5" t="s">
        <v>133</v>
      </c>
      <c r="R1380" s="5" t="n">
        <v>0</v>
      </c>
      <c r="S1380" s="5" t="n">
        <v>60</v>
      </c>
      <c r="T1380" s="12" t="n">
        <f aca="false">(O1380-M1380)/M1380</f>
        <v>0.0141</v>
      </c>
      <c r="U1380" s="8" t="n">
        <f aca="false">IF(AND(K1380&lt;=I1380,R1380=0),1,0)</f>
        <v>1</v>
      </c>
      <c r="V1380" s="10" t="n">
        <f aca="false">IF(Q1380="No",P1380,0)</f>
        <v>219.85688</v>
      </c>
    </row>
    <row r="1381" customFormat="false" ht="15" hidden="false" customHeight="false" outlineLevel="0" collapsed="false">
      <c r="A1381" s="5" t="s">
        <v>1515</v>
      </c>
      <c r="B1381" s="5" t="s">
        <v>86</v>
      </c>
      <c r="C1381" s="7" t="n">
        <v>45650</v>
      </c>
      <c r="D1381" s="8" t="str">
        <f aca="false">INDEX(Dim_Supplier!$C$2:$C$21,MATCH(B1381,Dim_Supplier!$A$2:$A$21,0))</f>
        <v>Logistics</v>
      </c>
      <c r="E1381" s="8" t="str">
        <f aca="false">INDEX(Dim_Supplier!$B$2:$B$21,MATCH(B1381,Dim_Supplier!$A$2:$A$21,0))</f>
        <v>Blue Water Customs Brokerage</v>
      </c>
      <c r="F1381" s="5" t="s">
        <v>237</v>
      </c>
      <c r="G1381" s="5" t="s">
        <v>112</v>
      </c>
      <c r="H1381" s="8" t="n">
        <f aca="false">INDEX(Lookup_Tables!$B$2:$B$5,MATCH(D1381,Lookup_Tables!$A$2:$A$5,0))</f>
        <v>5</v>
      </c>
      <c r="I1381" s="9" t="n">
        <f aca="false">C1381+H1381</f>
        <v>45655</v>
      </c>
      <c r="J1381" s="5" t="n">
        <v>-1</v>
      </c>
      <c r="K1381" s="9" t="n">
        <f aca="false">I1381+J1381</f>
        <v>45654</v>
      </c>
      <c r="L1381" s="5" t="n">
        <v>25</v>
      </c>
      <c r="M1381" s="10" t="n">
        <f aca="false">INDEX(Dim_Supplier!$F$2:$F$21,MATCH(B1381,Dim_Supplier!$A$2:$A$21,0))</f>
        <v>175</v>
      </c>
      <c r="N1381" s="11" t="n">
        <v>0.006</v>
      </c>
      <c r="O1381" s="10" t="n">
        <f aca="false">M1381*(1+N1381)</f>
        <v>176.05</v>
      </c>
      <c r="P1381" s="10" t="n">
        <f aca="false">O1381*L1381</f>
        <v>4401.25</v>
      </c>
      <c r="Q1381" s="5" t="s">
        <v>113</v>
      </c>
      <c r="R1381" s="5" t="n">
        <v>0</v>
      </c>
      <c r="S1381" s="5" t="n">
        <v>30</v>
      </c>
      <c r="T1381" s="12" t="n">
        <f aca="false">(O1381-M1381)/M1381</f>
        <v>0.00600000000000007</v>
      </c>
      <c r="U1381" s="8" t="n">
        <f aca="false">IF(AND(K1381&lt;=I1381,R1381=0),1,0)</f>
        <v>1</v>
      </c>
      <c r="V1381" s="10" t="n">
        <f aca="false">IF(Q1381="No",P1381,0)</f>
        <v>0</v>
      </c>
    </row>
    <row r="1382" customFormat="false" ht="15" hidden="false" customHeight="false" outlineLevel="0" collapsed="false">
      <c r="A1382" s="5" t="s">
        <v>1516</v>
      </c>
      <c r="B1382" s="5" t="s">
        <v>52</v>
      </c>
      <c r="C1382" s="7" t="n">
        <v>45491</v>
      </c>
      <c r="D1382" s="8" t="str">
        <f aca="false">INDEX(Dim_Supplier!$C$2:$C$21,MATCH(B1382,Dim_Supplier!$A$2:$A$21,0))</f>
        <v>Raw Materials</v>
      </c>
      <c r="E1382" s="8" t="str">
        <f aca="false">INDEX(Dim_Supplier!$B$2:$B$21,MATCH(B1382,Dim_Supplier!$A$2:$A$21,0))</f>
        <v>Laurentian Metals Inc.</v>
      </c>
      <c r="F1382" s="5" t="s">
        <v>139</v>
      </c>
      <c r="G1382" s="5" t="s">
        <v>125</v>
      </c>
      <c r="H1382" s="8" t="n">
        <f aca="false">INDEX(Lookup_Tables!$B$2:$B$5,MATCH(D1382,Lookup_Tables!$A$2:$A$5,0))</f>
        <v>21</v>
      </c>
      <c r="I1382" s="9" t="n">
        <f aca="false">C1382+H1382</f>
        <v>45512</v>
      </c>
      <c r="J1382" s="5" t="n">
        <v>-1</v>
      </c>
      <c r="K1382" s="9" t="n">
        <f aca="false">I1382+J1382</f>
        <v>45511</v>
      </c>
      <c r="L1382" s="5" t="n">
        <v>1827</v>
      </c>
      <c r="M1382" s="10" t="n">
        <f aca="false">INDEX(Dim_Supplier!$F$2:$F$21,MATCH(B1382,Dim_Supplier!$A$2:$A$21,0))</f>
        <v>61.2</v>
      </c>
      <c r="N1382" s="11" t="n">
        <v>0.0234</v>
      </c>
      <c r="O1382" s="10" t="n">
        <f aca="false">M1382*(1+N1382)</f>
        <v>62.63208</v>
      </c>
      <c r="P1382" s="10" t="n">
        <f aca="false">O1382*L1382</f>
        <v>114428.81016</v>
      </c>
      <c r="Q1382" s="5" t="s">
        <v>113</v>
      </c>
      <c r="R1382" s="5" t="n">
        <v>0</v>
      </c>
      <c r="S1382" s="5" t="n">
        <v>45</v>
      </c>
      <c r="T1382" s="12" t="n">
        <f aca="false">(O1382-M1382)/M1382</f>
        <v>0.0234000000000001</v>
      </c>
      <c r="U1382" s="8" t="n">
        <f aca="false">IF(AND(K1382&lt;=I1382,R1382=0),1,0)</f>
        <v>1</v>
      </c>
      <c r="V1382" s="10" t="n">
        <f aca="false">IF(Q1382="No",P1382,0)</f>
        <v>0</v>
      </c>
    </row>
    <row r="1383" customFormat="false" ht="15" hidden="false" customHeight="false" outlineLevel="0" collapsed="false">
      <c r="A1383" s="5" t="s">
        <v>1517</v>
      </c>
      <c r="B1383" s="5" t="s">
        <v>46</v>
      </c>
      <c r="C1383" s="7" t="n">
        <v>45617</v>
      </c>
      <c r="D1383" s="8" t="str">
        <f aca="false">INDEX(Dim_Supplier!$C$2:$C$21,MATCH(B1383,Dim_Supplier!$A$2:$A$21,0))</f>
        <v>Raw Materials</v>
      </c>
      <c r="E1383" s="8" t="str">
        <f aca="false">INDEX(Dim_Supplier!$B$2:$B$21,MATCH(B1383,Dim_Supplier!$A$2:$A$21,0))</f>
        <v>Niagara Alloy Supply</v>
      </c>
      <c r="F1383" s="5" t="s">
        <v>148</v>
      </c>
      <c r="G1383" s="5" t="s">
        <v>129</v>
      </c>
      <c r="H1383" s="8" t="n">
        <f aca="false">INDEX(Lookup_Tables!$B$2:$B$5,MATCH(D1383,Lookup_Tables!$A$2:$A$5,0))</f>
        <v>21</v>
      </c>
      <c r="I1383" s="9" t="n">
        <f aca="false">C1383+H1383</f>
        <v>45638</v>
      </c>
      <c r="J1383" s="5" t="n">
        <v>-2</v>
      </c>
      <c r="K1383" s="9" t="n">
        <f aca="false">I1383+J1383</f>
        <v>45636</v>
      </c>
      <c r="L1383" s="5" t="n">
        <v>1194</v>
      </c>
      <c r="M1383" s="10" t="n">
        <f aca="false">INDEX(Dim_Supplier!$F$2:$F$21,MATCH(B1383,Dim_Supplier!$A$2:$A$21,0))</f>
        <v>46.5</v>
      </c>
      <c r="N1383" s="11" t="n">
        <v>0.0112</v>
      </c>
      <c r="O1383" s="10" t="n">
        <f aca="false">M1383*(1+N1383)</f>
        <v>47.0208</v>
      </c>
      <c r="P1383" s="10" t="n">
        <f aca="false">O1383*L1383</f>
        <v>56142.8352</v>
      </c>
      <c r="Q1383" s="5" t="s">
        <v>113</v>
      </c>
      <c r="R1383" s="5" t="n">
        <v>0</v>
      </c>
      <c r="S1383" s="5" t="n">
        <v>45</v>
      </c>
      <c r="T1383" s="12" t="n">
        <f aca="false">(O1383-M1383)/M1383</f>
        <v>0.0112</v>
      </c>
      <c r="U1383" s="8" t="n">
        <f aca="false">IF(AND(K1383&lt;=I1383,R1383=0),1,0)</f>
        <v>1</v>
      </c>
      <c r="V1383" s="10" t="n">
        <f aca="false">IF(Q1383="No",P1383,0)</f>
        <v>0</v>
      </c>
    </row>
    <row r="1384" customFormat="false" ht="15" hidden="false" customHeight="false" outlineLevel="0" collapsed="false">
      <c r="A1384" s="5" t="s">
        <v>1518</v>
      </c>
      <c r="B1384" s="5" t="s">
        <v>57</v>
      </c>
      <c r="C1384" s="7" t="n">
        <v>45331</v>
      </c>
      <c r="D1384" s="8" t="str">
        <f aca="false">INDEX(Dim_Supplier!$C$2:$C$21,MATCH(B1384,Dim_Supplier!$A$2:$A$21,0))</f>
        <v>Packaging</v>
      </c>
      <c r="E1384" s="8" t="str">
        <f aca="false">INDEX(Dim_Supplier!$B$2:$B$21,MATCH(B1384,Dim_Supplier!$A$2:$A$21,0))</f>
        <v>Great Lakes Packaging Co.</v>
      </c>
      <c r="F1384" s="5" t="s">
        <v>158</v>
      </c>
      <c r="G1384" s="5" t="s">
        <v>129</v>
      </c>
      <c r="H1384" s="8" t="n">
        <f aca="false">INDEX(Lookup_Tables!$B$2:$B$5,MATCH(D1384,Lookup_Tables!$A$2:$A$5,0))</f>
        <v>14</v>
      </c>
      <c r="I1384" s="9" t="n">
        <f aca="false">C1384+H1384</f>
        <v>45345</v>
      </c>
      <c r="J1384" s="5" t="n">
        <v>-3</v>
      </c>
      <c r="K1384" s="9" t="n">
        <f aca="false">I1384+J1384</f>
        <v>45342</v>
      </c>
      <c r="L1384" s="5" t="n">
        <v>528</v>
      </c>
      <c r="M1384" s="10" t="n">
        <f aca="false">INDEX(Dim_Supplier!$F$2:$F$21,MATCH(B1384,Dim_Supplier!$A$2:$A$21,0))</f>
        <v>4.35</v>
      </c>
      <c r="N1384" s="11" t="n">
        <v>0.008</v>
      </c>
      <c r="O1384" s="10" t="n">
        <f aca="false">M1384*(1+N1384)</f>
        <v>4.3848</v>
      </c>
      <c r="P1384" s="10" t="n">
        <f aca="false">O1384*L1384</f>
        <v>2315.1744</v>
      </c>
      <c r="Q1384" s="5" t="s">
        <v>113</v>
      </c>
      <c r="R1384" s="5" t="n">
        <v>0</v>
      </c>
      <c r="S1384" s="5" t="n">
        <v>45</v>
      </c>
      <c r="T1384" s="12" t="n">
        <f aca="false">(O1384-M1384)/M1384</f>
        <v>0.00799999999999994</v>
      </c>
      <c r="U1384" s="8" t="n">
        <f aca="false">IF(AND(K1384&lt;=I1384,R1384=0),1,0)</f>
        <v>1</v>
      </c>
      <c r="V1384" s="10" t="n">
        <f aca="false">IF(Q1384="No",P1384,0)</f>
        <v>0</v>
      </c>
    </row>
    <row r="1385" customFormat="false" ht="15" hidden="false" customHeight="false" outlineLevel="0" collapsed="false">
      <c r="A1385" s="5" t="s">
        <v>1519</v>
      </c>
      <c r="B1385" s="5" t="s">
        <v>46</v>
      </c>
      <c r="C1385" s="7" t="n">
        <v>45521</v>
      </c>
      <c r="D1385" s="8" t="str">
        <f aca="false">INDEX(Dim_Supplier!$C$2:$C$21,MATCH(B1385,Dim_Supplier!$A$2:$A$21,0))</f>
        <v>Raw Materials</v>
      </c>
      <c r="E1385" s="8" t="str">
        <f aca="false">INDEX(Dim_Supplier!$B$2:$B$21,MATCH(B1385,Dim_Supplier!$A$2:$A$21,0))</f>
        <v>Niagara Alloy Supply</v>
      </c>
      <c r="F1385" s="5" t="s">
        <v>148</v>
      </c>
      <c r="G1385" s="5" t="s">
        <v>129</v>
      </c>
      <c r="H1385" s="8" t="n">
        <f aca="false">INDEX(Lookup_Tables!$B$2:$B$5,MATCH(D1385,Lookup_Tables!$A$2:$A$5,0))</f>
        <v>21</v>
      </c>
      <c r="I1385" s="9" t="n">
        <f aca="false">C1385+H1385</f>
        <v>45542</v>
      </c>
      <c r="J1385" s="5" t="n">
        <v>3</v>
      </c>
      <c r="K1385" s="9" t="n">
        <f aca="false">I1385+J1385</f>
        <v>45545</v>
      </c>
      <c r="L1385" s="5" t="n">
        <v>1075</v>
      </c>
      <c r="M1385" s="10" t="n">
        <f aca="false">INDEX(Dim_Supplier!$F$2:$F$21,MATCH(B1385,Dim_Supplier!$A$2:$A$21,0))</f>
        <v>46.5</v>
      </c>
      <c r="N1385" s="11" t="n">
        <v>0.0346</v>
      </c>
      <c r="O1385" s="10" t="n">
        <f aca="false">M1385*(1+N1385)</f>
        <v>48.1089</v>
      </c>
      <c r="P1385" s="10" t="n">
        <f aca="false">O1385*L1385</f>
        <v>51717.0675</v>
      </c>
      <c r="Q1385" s="5" t="s">
        <v>133</v>
      </c>
      <c r="R1385" s="5" t="n">
        <v>0</v>
      </c>
      <c r="S1385" s="5" t="n">
        <v>30</v>
      </c>
      <c r="T1385" s="12" t="n">
        <f aca="false">(O1385-M1385)/M1385</f>
        <v>0.0346</v>
      </c>
      <c r="U1385" s="8" t="n">
        <f aca="false">IF(AND(K1385&lt;=I1385,R1385=0),1,0)</f>
        <v>0</v>
      </c>
      <c r="V1385" s="10" t="n">
        <f aca="false">IF(Q1385="No",P1385,0)</f>
        <v>51717.0675</v>
      </c>
    </row>
    <row r="1386" customFormat="false" ht="15" hidden="false" customHeight="false" outlineLevel="0" collapsed="false">
      <c r="A1386" s="5" t="s">
        <v>1520</v>
      </c>
      <c r="B1386" s="5" t="s">
        <v>71</v>
      </c>
      <c r="C1386" s="7" t="n">
        <v>45752</v>
      </c>
      <c r="D1386" s="8" t="str">
        <f aca="false">INDEX(Dim_Supplier!$C$2:$C$21,MATCH(B1386,Dim_Supplier!$A$2:$A$21,0))</f>
        <v>MRO</v>
      </c>
      <c r="E1386" s="8" t="str">
        <f aca="false">INDEX(Dim_Supplier!$B$2:$B$21,MATCH(B1386,Dim_Supplier!$A$2:$A$21,0))</f>
        <v>CanSafe Equipment Ltd.</v>
      </c>
      <c r="F1386" s="5" t="s">
        <v>164</v>
      </c>
      <c r="G1386" s="5" t="s">
        <v>125</v>
      </c>
      <c r="H1386" s="8" t="n">
        <f aca="false">INDEX(Lookup_Tables!$B$2:$B$5,MATCH(D1386,Lookup_Tables!$A$2:$A$5,0))</f>
        <v>10</v>
      </c>
      <c r="I1386" s="9" t="n">
        <f aca="false">C1386+H1386</f>
        <v>45762</v>
      </c>
      <c r="J1386" s="5" t="n">
        <v>-2</v>
      </c>
      <c r="K1386" s="9" t="n">
        <f aca="false">I1386+J1386</f>
        <v>45760</v>
      </c>
      <c r="L1386" s="5" t="n">
        <v>167</v>
      </c>
      <c r="M1386" s="10" t="n">
        <f aca="false">INDEX(Dim_Supplier!$F$2:$F$21,MATCH(B1386,Dim_Supplier!$A$2:$A$21,0))</f>
        <v>18.75</v>
      </c>
      <c r="N1386" s="11" t="n">
        <v>0.018</v>
      </c>
      <c r="O1386" s="10" t="n">
        <f aca="false">M1386*(1+N1386)</f>
        <v>19.0875</v>
      </c>
      <c r="P1386" s="10" t="n">
        <f aca="false">O1386*L1386</f>
        <v>3187.6125</v>
      </c>
      <c r="Q1386" s="5" t="s">
        <v>113</v>
      </c>
      <c r="R1386" s="5" t="n">
        <v>0</v>
      </c>
      <c r="S1386" s="5" t="n">
        <v>30</v>
      </c>
      <c r="T1386" s="12" t="n">
        <f aca="false">(O1386-M1386)/M1386</f>
        <v>0.0179999999999999</v>
      </c>
      <c r="U1386" s="8" t="n">
        <f aca="false">IF(AND(K1386&lt;=I1386,R1386=0),1,0)</f>
        <v>1</v>
      </c>
      <c r="V1386" s="10" t="n">
        <f aca="false">IF(Q1386="No",P1386,0)</f>
        <v>0</v>
      </c>
    </row>
    <row r="1387" customFormat="false" ht="15" hidden="false" customHeight="false" outlineLevel="0" collapsed="false">
      <c r="A1387" s="5" t="s">
        <v>1521</v>
      </c>
      <c r="B1387" s="5" t="s">
        <v>68</v>
      </c>
      <c r="C1387" s="7" t="n">
        <v>45660</v>
      </c>
      <c r="D1387" s="8" t="str">
        <f aca="false">INDEX(Dim_Supplier!$C$2:$C$21,MATCH(B1387,Dim_Supplier!$A$2:$A$21,0))</f>
        <v>MRO</v>
      </c>
      <c r="E1387" s="8" t="str">
        <f aca="false">INDEX(Dim_Supplier!$B$2:$B$21,MATCH(B1387,Dim_Supplier!$A$2:$A$21,0))</f>
        <v>Precision Tool &amp; Supply</v>
      </c>
      <c r="F1387" s="5" t="s">
        <v>164</v>
      </c>
      <c r="G1387" s="5" t="s">
        <v>112</v>
      </c>
      <c r="H1387" s="8" t="n">
        <f aca="false">INDEX(Lookup_Tables!$B$2:$B$5,MATCH(D1387,Lookup_Tables!$A$2:$A$5,0))</f>
        <v>10</v>
      </c>
      <c r="I1387" s="9" t="n">
        <f aca="false">C1387+H1387</f>
        <v>45670</v>
      </c>
      <c r="J1387" s="5" t="n">
        <v>-4</v>
      </c>
      <c r="K1387" s="9" t="n">
        <f aca="false">I1387+J1387</f>
        <v>45666</v>
      </c>
      <c r="L1387" s="5" t="n">
        <v>104</v>
      </c>
      <c r="M1387" s="10" t="n">
        <f aca="false">INDEX(Dim_Supplier!$F$2:$F$21,MATCH(B1387,Dim_Supplier!$A$2:$A$21,0))</f>
        <v>22.4</v>
      </c>
      <c r="N1387" s="11" t="n">
        <v>0.0415</v>
      </c>
      <c r="O1387" s="10" t="n">
        <f aca="false">M1387*(1+N1387)</f>
        <v>23.3296</v>
      </c>
      <c r="P1387" s="10" t="n">
        <f aca="false">O1387*L1387</f>
        <v>2426.2784</v>
      </c>
      <c r="Q1387" s="5" t="s">
        <v>133</v>
      </c>
      <c r="R1387" s="5" t="n">
        <v>0</v>
      </c>
      <c r="S1387" s="5" t="n">
        <v>30</v>
      </c>
      <c r="T1387" s="12" t="n">
        <f aca="false">(O1387-M1387)/M1387</f>
        <v>0.0415</v>
      </c>
      <c r="U1387" s="8" t="n">
        <f aca="false">IF(AND(K1387&lt;=I1387,R1387=0),1,0)</f>
        <v>1</v>
      </c>
      <c r="V1387" s="10" t="n">
        <f aca="false">IF(Q1387="No",P1387,0)</f>
        <v>2426.2784</v>
      </c>
    </row>
    <row r="1388" customFormat="false" ht="15" hidden="false" customHeight="false" outlineLevel="0" collapsed="false">
      <c r="A1388" s="5" t="s">
        <v>1522</v>
      </c>
      <c r="B1388" s="5" t="s">
        <v>41</v>
      </c>
      <c r="C1388" s="7" t="n">
        <v>46116</v>
      </c>
      <c r="D1388" s="8" t="str">
        <f aca="false">INDEX(Dim_Supplier!$C$2:$C$21,MATCH(B1388,Dim_Supplier!$A$2:$A$21,0))</f>
        <v>Raw Materials</v>
      </c>
      <c r="E1388" s="8" t="str">
        <f aca="false">INDEX(Dim_Supplier!$B$2:$B$21,MATCH(B1388,Dim_Supplier!$A$2:$A$21,0))</f>
        <v>Ontario Steel Partners</v>
      </c>
      <c r="F1388" s="5" t="s">
        <v>139</v>
      </c>
      <c r="G1388" s="5" t="s">
        <v>112</v>
      </c>
      <c r="H1388" s="8" t="n">
        <f aca="false">INDEX(Lookup_Tables!$B$2:$B$5,MATCH(D1388,Lookup_Tables!$A$2:$A$5,0))</f>
        <v>21</v>
      </c>
      <c r="I1388" s="9" t="n">
        <f aca="false">C1388+H1388</f>
        <v>46137</v>
      </c>
      <c r="J1388" s="5" t="n">
        <v>-1</v>
      </c>
      <c r="K1388" s="9" t="n">
        <f aca="false">I1388+J1388</f>
        <v>46136</v>
      </c>
      <c r="L1388" s="5" t="n">
        <v>1901</v>
      </c>
      <c r="M1388" s="10" t="n">
        <f aca="false">INDEX(Dim_Supplier!$F$2:$F$21,MATCH(B1388,Dim_Supplier!$A$2:$A$21,0))</f>
        <v>58</v>
      </c>
      <c r="N1388" s="11" t="n">
        <v>0.0154</v>
      </c>
      <c r="O1388" s="10" t="n">
        <f aca="false">M1388*(1+N1388)</f>
        <v>58.8932</v>
      </c>
      <c r="P1388" s="10" t="n">
        <f aca="false">O1388*L1388</f>
        <v>111955.9732</v>
      </c>
      <c r="Q1388" s="5" t="s">
        <v>113</v>
      </c>
      <c r="R1388" s="5" t="n">
        <v>0</v>
      </c>
      <c r="S1388" s="5" t="n">
        <v>30</v>
      </c>
      <c r="T1388" s="12" t="n">
        <f aca="false">(O1388-M1388)/M1388</f>
        <v>0.0154000000000001</v>
      </c>
      <c r="U1388" s="8" t="n">
        <f aca="false">IF(AND(K1388&lt;=I1388,R1388=0),1,0)</f>
        <v>1</v>
      </c>
      <c r="V1388" s="10" t="n">
        <f aca="false">IF(Q1388="No",P1388,0)</f>
        <v>0</v>
      </c>
    </row>
    <row r="1389" customFormat="false" ht="15" hidden="false" customHeight="false" outlineLevel="0" collapsed="false">
      <c r="A1389" s="5" t="s">
        <v>1523</v>
      </c>
      <c r="B1389" s="5" t="s">
        <v>82</v>
      </c>
      <c r="C1389" s="7" t="n">
        <v>45653</v>
      </c>
      <c r="D1389" s="8" t="str">
        <f aca="false">INDEX(Dim_Supplier!$C$2:$C$21,MATCH(B1389,Dim_Supplier!$A$2:$A$21,0))</f>
        <v>Logistics</v>
      </c>
      <c r="E1389" s="8" t="str">
        <f aca="false">INDEX(Dim_Supplier!$B$2:$B$21,MATCH(B1389,Dim_Supplier!$A$2:$A$21,0))</f>
        <v>Maple Route Logistics</v>
      </c>
      <c r="F1389" s="5" t="s">
        <v>154</v>
      </c>
      <c r="G1389" s="5" t="s">
        <v>125</v>
      </c>
      <c r="H1389" s="8" t="n">
        <f aca="false">INDEX(Lookup_Tables!$B$2:$B$5,MATCH(D1389,Lookup_Tables!$A$2:$A$5,0))</f>
        <v>5</v>
      </c>
      <c r="I1389" s="9" t="n">
        <f aca="false">C1389+H1389</f>
        <v>45658</v>
      </c>
      <c r="J1389" s="5" t="n">
        <v>-3</v>
      </c>
      <c r="K1389" s="9" t="n">
        <f aca="false">I1389+J1389</f>
        <v>45655</v>
      </c>
      <c r="L1389" s="5" t="n">
        <v>47</v>
      </c>
      <c r="M1389" s="10" t="n">
        <f aca="false">INDEX(Dim_Supplier!$F$2:$F$21,MATCH(B1389,Dim_Supplier!$A$2:$A$21,0))</f>
        <v>285</v>
      </c>
      <c r="N1389" s="11" t="n">
        <v>0.0399</v>
      </c>
      <c r="O1389" s="10" t="n">
        <f aca="false">M1389*(1+N1389)</f>
        <v>296.3715</v>
      </c>
      <c r="P1389" s="10" t="n">
        <f aca="false">O1389*L1389</f>
        <v>13929.4605</v>
      </c>
      <c r="Q1389" s="5" t="s">
        <v>113</v>
      </c>
      <c r="R1389" s="5" t="n">
        <v>0</v>
      </c>
      <c r="S1389" s="5" t="n">
        <v>30</v>
      </c>
      <c r="T1389" s="12" t="n">
        <f aca="false">(O1389-M1389)/M1389</f>
        <v>0.0399000000000001</v>
      </c>
      <c r="U1389" s="8" t="n">
        <f aca="false">IF(AND(K1389&lt;=I1389,R1389=0),1,0)</f>
        <v>1</v>
      </c>
      <c r="V1389" s="10" t="n">
        <f aca="false">IF(Q1389="No",P1389,0)</f>
        <v>0</v>
      </c>
    </row>
    <row r="1390" customFormat="false" ht="15" hidden="false" customHeight="false" outlineLevel="0" collapsed="false">
      <c r="A1390" s="5" t="s">
        <v>1524</v>
      </c>
      <c r="B1390" s="5" t="s">
        <v>57</v>
      </c>
      <c r="C1390" s="7" t="n">
        <v>45973</v>
      </c>
      <c r="D1390" s="8" t="str">
        <f aca="false">INDEX(Dim_Supplier!$C$2:$C$21,MATCH(B1390,Dim_Supplier!$A$2:$A$21,0))</f>
        <v>Packaging</v>
      </c>
      <c r="E1390" s="8" t="str">
        <f aca="false">INDEX(Dim_Supplier!$B$2:$B$21,MATCH(B1390,Dim_Supplier!$A$2:$A$21,0))</f>
        <v>Great Lakes Packaging Co.</v>
      </c>
      <c r="F1390" s="5" t="s">
        <v>137</v>
      </c>
      <c r="G1390" s="5" t="s">
        <v>112</v>
      </c>
      <c r="H1390" s="8" t="n">
        <f aca="false">INDEX(Lookup_Tables!$B$2:$B$5,MATCH(D1390,Lookup_Tables!$A$2:$A$5,0))</f>
        <v>14</v>
      </c>
      <c r="I1390" s="9" t="n">
        <f aca="false">C1390+H1390</f>
        <v>45987</v>
      </c>
      <c r="J1390" s="5" t="n">
        <v>-3</v>
      </c>
      <c r="K1390" s="9" t="n">
        <f aca="false">I1390+J1390</f>
        <v>45984</v>
      </c>
      <c r="L1390" s="5" t="n">
        <v>2277</v>
      </c>
      <c r="M1390" s="10" t="n">
        <f aca="false">INDEX(Dim_Supplier!$F$2:$F$21,MATCH(B1390,Dim_Supplier!$A$2:$A$21,0))</f>
        <v>4.35</v>
      </c>
      <c r="N1390" s="11" t="n">
        <v>-0.0034</v>
      </c>
      <c r="O1390" s="10" t="n">
        <f aca="false">M1390*(1+N1390)</f>
        <v>4.33521</v>
      </c>
      <c r="P1390" s="10" t="n">
        <f aca="false">O1390*L1390</f>
        <v>9871.27317</v>
      </c>
      <c r="Q1390" s="5" t="s">
        <v>113</v>
      </c>
      <c r="R1390" s="5" t="n">
        <v>0</v>
      </c>
      <c r="S1390" s="5" t="n">
        <v>60</v>
      </c>
      <c r="T1390" s="12" t="n">
        <f aca="false">(O1390-M1390)/M1390</f>
        <v>-0.00339999999999992</v>
      </c>
      <c r="U1390" s="8" t="n">
        <f aca="false">IF(AND(K1390&lt;=I1390,R1390=0),1,0)</f>
        <v>1</v>
      </c>
      <c r="V1390" s="10" t="n">
        <f aca="false">IF(Q1390="No",P1390,0)</f>
        <v>0</v>
      </c>
    </row>
    <row r="1391" customFormat="false" ht="15" hidden="false" customHeight="false" outlineLevel="0" collapsed="false">
      <c r="A1391" s="5" t="s">
        <v>1525</v>
      </c>
      <c r="B1391" s="5" t="s">
        <v>77</v>
      </c>
      <c r="C1391" s="7" t="n">
        <v>46094</v>
      </c>
      <c r="D1391" s="8" t="str">
        <f aca="false">INDEX(Dim_Supplier!$C$2:$C$21,MATCH(B1391,Dim_Supplier!$A$2:$A$21,0))</f>
        <v>MRO</v>
      </c>
      <c r="E1391" s="8" t="str">
        <f aca="false">INDEX(Dim_Supplier!$B$2:$B$21,MATCH(B1391,Dim_Supplier!$A$2:$A$21,0))</f>
        <v>Apex Industrial Supply</v>
      </c>
      <c r="F1391" s="5" t="s">
        <v>132</v>
      </c>
      <c r="G1391" s="5" t="s">
        <v>120</v>
      </c>
      <c r="H1391" s="8" t="n">
        <f aca="false">INDEX(Lookup_Tables!$B$2:$B$5,MATCH(D1391,Lookup_Tables!$A$2:$A$5,0))</f>
        <v>10</v>
      </c>
      <c r="I1391" s="9" t="n">
        <f aca="false">C1391+H1391</f>
        <v>46104</v>
      </c>
      <c r="J1391" s="5" t="n">
        <v>1</v>
      </c>
      <c r="K1391" s="9" t="n">
        <f aca="false">I1391+J1391</f>
        <v>46105</v>
      </c>
      <c r="L1391" s="5" t="n">
        <v>200</v>
      </c>
      <c r="M1391" s="10" t="n">
        <f aca="false">INDEX(Dim_Supplier!$F$2:$F$21,MATCH(B1391,Dim_Supplier!$A$2:$A$21,0))</f>
        <v>24.6</v>
      </c>
      <c r="N1391" s="11" t="n">
        <v>0.0352</v>
      </c>
      <c r="O1391" s="10" t="n">
        <f aca="false">M1391*(1+N1391)</f>
        <v>25.46592</v>
      </c>
      <c r="P1391" s="10" t="n">
        <f aca="false">O1391*L1391</f>
        <v>5093.184</v>
      </c>
      <c r="Q1391" s="5" t="s">
        <v>133</v>
      </c>
      <c r="R1391" s="5" t="n">
        <v>0</v>
      </c>
      <c r="S1391" s="5" t="n">
        <v>30</v>
      </c>
      <c r="T1391" s="12" t="n">
        <f aca="false">(O1391-M1391)/M1391</f>
        <v>0.0352</v>
      </c>
      <c r="U1391" s="8" t="n">
        <f aca="false">IF(AND(K1391&lt;=I1391,R1391=0),1,0)</f>
        <v>0</v>
      </c>
      <c r="V1391" s="10" t="n">
        <f aca="false">IF(Q1391="No",P1391,0)</f>
        <v>5093.184</v>
      </c>
    </row>
    <row r="1392" customFormat="false" ht="15" hidden="false" customHeight="false" outlineLevel="0" collapsed="false">
      <c r="A1392" s="5" t="s">
        <v>1526</v>
      </c>
      <c r="B1392" s="5" t="s">
        <v>60</v>
      </c>
      <c r="C1392" s="7" t="n">
        <v>45773</v>
      </c>
      <c r="D1392" s="8" t="str">
        <f aca="false">INDEX(Dim_Supplier!$C$2:$C$21,MATCH(B1392,Dim_Supplier!$A$2:$A$21,0))</f>
        <v>Packaging</v>
      </c>
      <c r="E1392" s="8" t="str">
        <f aca="false">INDEX(Dim_Supplier!$B$2:$B$21,MATCH(B1392,Dim_Supplier!$A$2:$A$21,0))</f>
        <v>Maple Leaf Box &amp; Crate</v>
      </c>
      <c r="F1392" s="5" t="s">
        <v>117</v>
      </c>
      <c r="G1392" s="5" t="s">
        <v>125</v>
      </c>
      <c r="H1392" s="8" t="n">
        <f aca="false">INDEX(Lookup_Tables!$B$2:$B$5,MATCH(D1392,Lookup_Tables!$A$2:$A$5,0))</f>
        <v>14</v>
      </c>
      <c r="I1392" s="9" t="n">
        <f aca="false">C1392+H1392</f>
        <v>45787</v>
      </c>
      <c r="J1392" s="5" t="n">
        <v>-2</v>
      </c>
      <c r="K1392" s="9" t="n">
        <f aca="false">I1392+J1392</f>
        <v>45785</v>
      </c>
      <c r="L1392" s="5" t="n">
        <v>3876</v>
      </c>
      <c r="M1392" s="10" t="n">
        <f aca="false">INDEX(Dim_Supplier!$F$2:$F$21,MATCH(B1392,Dim_Supplier!$A$2:$A$21,0))</f>
        <v>3.1</v>
      </c>
      <c r="N1392" s="11" t="n">
        <v>0.076</v>
      </c>
      <c r="O1392" s="10" t="n">
        <f aca="false">M1392*(1+N1392)</f>
        <v>3.3356</v>
      </c>
      <c r="P1392" s="10" t="n">
        <f aca="false">O1392*L1392</f>
        <v>12928.7856</v>
      </c>
      <c r="Q1392" s="5" t="s">
        <v>113</v>
      </c>
      <c r="R1392" s="5" t="n">
        <v>0</v>
      </c>
      <c r="S1392" s="5" t="n">
        <v>45</v>
      </c>
      <c r="T1392" s="12" t="n">
        <f aca="false">(O1392-M1392)/M1392</f>
        <v>0.0760000000000001</v>
      </c>
      <c r="U1392" s="8" t="n">
        <f aca="false">IF(AND(K1392&lt;=I1392,R1392=0),1,0)</f>
        <v>1</v>
      </c>
      <c r="V1392" s="10" t="n">
        <f aca="false">IF(Q1392="No",P1392,0)</f>
        <v>0</v>
      </c>
    </row>
    <row r="1393" customFormat="false" ht="15" hidden="false" customHeight="false" outlineLevel="0" collapsed="false">
      <c r="A1393" s="5" t="s">
        <v>1527</v>
      </c>
      <c r="B1393" s="5" t="s">
        <v>49</v>
      </c>
      <c r="C1393" s="7" t="n">
        <v>45685</v>
      </c>
      <c r="D1393" s="8" t="str">
        <f aca="false">INDEX(Dim_Supplier!$C$2:$C$21,MATCH(B1393,Dim_Supplier!$A$2:$A$21,0))</f>
        <v>Raw Materials</v>
      </c>
      <c r="E1393" s="8" t="str">
        <f aca="false">INDEX(Dim_Supplier!$B$2:$B$21,MATCH(B1393,Dim_Supplier!$A$2:$A$21,0))</f>
        <v>Great Lakes Polymer Co.</v>
      </c>
      <c r="F1393" s="5" t="s">
        <v>144</v>
      </c>
      <c r="G1393" s="5" t="s">
        <v>125</v>
      </c>
      <c r="H1393" s="8" t="n">
        <f aca="false">INDEX(Lookup_Tables!$B$2:$B$5,MATCH(D1393,Lookup_Tables!$A$2:$A$5,0))</f>
        <v>21</v>
      </c>
      <c r="I1393" s="9" t="n">
        <f aca="false">C1393+H1393</f>
        <v>45706</v>
      </c>
      <c r="J1393" s="5" t="n">
        <v>5</v>
      </c>
      <c r="K1393" s="9" t="n">
        <f aca="false">I1393+J1393</f>
        <v>45711</v>
      </c>
      <c r="L1393" s="5" t="n">
        <v>1521</v>
      </c>
      <c r="M1393" s="10" t="n">
        <f aca="false">INDEX(Dim_Supplier!$F$2:$F$21,MATCH(B1393,Dim_Supplier!$A$2:$A$21,0))</f>
        <v>32.75</v>
      </c>
      <c r="N1393" s="11" t="n">
        <v>0.1396</v>
      </c>
      <c r="O1393" s="10" t="n">
        <f aca="false">M1393*(1+N1393)</f>
        <v>37.3219</v>
      </c>
      <c r="P1393" s="10" t="n">
        <f aca="false">O1393*L1393</f>
        <v>56766.6099</v>
      </c>
      <c r="Q1393" s="5" t="s">
        <v>113</v>
      </c>
      <c r="R1393" s="5" t="n">
        <v>0</v>
      </c>
      <c r="S1393" s="5" t="n">
        <v>30</v>
      </c>
      <c r="T1393" s="12" t="n">
        <f aca="false">(O1393-M1393)/M1393</f>
        <v>0.1396</v>
      </c>
      <c r="U1393" s="8" t="n">
        <f aca="false">IF(AND(K1393&lt;=I1393,R1393=0),1,0)</f>
        <v>0</v>
      </c>
      <c r="V1393" s="10" t="n">
        <f aca="false">IF(Q1393="No",P1393,0)</f>
        <v>0</v>
      </c>
    </row>
    <row r="1394" customFormat="false" ht="15" hidden="false" customHeight="false" outlineLevel="0" collapsed="false">
      <c r="A1394" s="5" t="s">
        <v>1528</v>
      </c>
      <c r="B1394" s="5" t="s">
        <v>88</v>
      </c>
      <c r="C1394" s="7" t="n">
        <v>45988</v>
      </c>
      <c r="D1394" s="8" t="str">
        <f aca="false">INDEX(Dim_Supplier!$C$2:$C$21,MATCH(B1394,Dim_Supplier!$A$2:$A$21,0))</f>
        <v>Logistics</v>
      </c>
      <c r="E1394" s="8" t="str">
        <f aca="false">INDEX(Dim_Supplier!$B$2:$B$21,MATCH(B1394,Dim_Supplier!$A$2:$A$21,0))</f>
        <v>Summit Last-Mile Delivery</v>
      </c>
      <c r="F1394" s="5" t="s">
        <v>185</v>
      </c>
      <c r="G1394" s="5" t="s">
        <v>112</v>
      </c>
      <c r="H1394" s="8" t="n">
        <f aca="false">INDEX(Lookup_Tables!$B$2:$B$5,MATCH(D1394,Lookup_Tables!$A$2:$A$5,0))</f>
        <v>5</v>
      </c>
      <c r="I1394" s="9" t="n">
        <f aca="false">C1394+H1394</f>
        <v>45993</v>
      </c>
      <c r="J1394" s="5" t="n">
        <v>-3</v>
      </c>
      <c r="K1394" s="9" t="n">
        <f aca="false">I1394+J1394</f>
        <v>45990</v>
      </c>
      <c r="L1394" s="5" t="n">
        <v>13</v>
      </c>
      <c r="M1394" s="10" t="n">
        <f aca="false">INDEX(Dim_Supplier!$F$2:$F$21,MATCH(B1394,Dim_Supplier!$A$2:$A$21,0))</f>
        <v>95</v>
      </c>
      <c r="N1394" s="11" t="n">
        <v>0.0197</v>
      </c>
      <c r="O1394" s="10" t="n">
        <f aca="false">M1394*(1+N1394)</f>
        <v>96.8715</v>
      </c>
      <c r="P1394" s="10" t="n">
        <f aca="false">O1394*L1394</f>
        <v>1259.3295</v>
      </c>
      <c r="Q1394" s="5" t="s">
        <v>113</v>
      </c>
      <c r="R1394" s="5" t="n">
        <v>0</v>
      </c>
      <c r="S1394" s="5" t="n">
        <v>30</v>
      </c>
      <c r="T1394" s="12" t="n">
        <f aca="false">(O1394-M1394)/M1394</f>
        <v>0.0197000000000001</v>
      </c>
      <c r="U1394" s="8" t="n">
        <f aca="false">IF(AND(K1394&lt;=I1394,R1394=0),1,0)</f>
        <v>1</v>
      </c>
      <c r="V1394" s="10" t="n">
        <f aca="false">IF(Q1394="No",P1394,0)</f>
        <v>0</v>
      </c>
    </row>
    <row r="1395" customFormat="false" ht="15" hidden="false" customHeight="false" outlineLevel="0" collapsed="false">
      <c r="A1395" s="5" t="s">
        <v>1529</v>
      </c>
      <c r="B1395" s="5" t="s">
        <v>77</v>
      </c>
      <c r="C1395" s="7" t="n">
        <v>46072</v>
      </c>
      <c r="D1395" s="8" t="str">
        <f aca="false">INDEX(Dim_Supplier!$C$2:$C$21,MATCH(B1395,Dim_Supplier!$A$2:$A$21,0))</f>
        <v>MRO</v>
      </c>
      <c r="E1395" s="8" t="str">
        <f aca="false">INDEX(Dim_Supplier!$B$2:$B$21,MATCH(B1395,Dim_Supplier!$A$2:$A$21,0))</f>
        <v>Apex Industrial Supply</v>
      </c>
      <c r="F1395" s="5" t="s">
        <v>179</v>
      </c>
      <c r="G1395" s="5" t="s">
        <v>120</v>
      </c>
      <c r="H1395" s="8" t="n">
        <f aca="false">INDEX(Lookup_Tables!$B$2:$B$5,MATCH(D1395,Lookup_Tables!$A$2:$A$5,0))</f>
        <v>10</v>
      </c>
      <c r="I1395" s="9" t="n">
        <f aca="false">C1395+H1395</f>
        <v>46082</v>
      </c>
      <c r="J1395" s="5" t="n">
        <v>-4</v>
      </c>
      <c r="K1395" s="9" t="n">
        <f aca="false">I1395+J1395</f>
        <v>46078</v>
      </c>
      <c r="L1395" s="5" t="n">
        <v>140</v>
      </c>
      <c r="M1395" s="10" t="n">
        <f aca="false">INDEX(Dim_Supplier!$F$2:$F$21,MATCH(B1395,Dim_Supplier!$A$2:$A$21,0))</f>
        <v>24.6</v>
      </c>
      <c r="N1395" s="11" t="n">
        <v>0.0283</v>
      </c>
      <c r="O1395" s="10" t="n">
        <f aca="false">M1395*(1+N1395)</f>
        <v>25.29618</v>
      </c>
      <c r="P1395" s="10" t="n">
        <f aca="false">O1395*L1395</f>
        <v>3541.4652</v>
      </c>
      <c r="Q1395" s="5" t="s">
        <v>113</v>
      </c>
      <c r="R1395" s="5" t="n">
        <v>0</v>
      </c>
      <c r="S1395" s="5" t="n">
        <v>45</v>
      </c>
      <c r="T1395" s="12" t="n">
        <f aca="false">(O1395-M1395)/M1395</f>
        <v>0.0282999999999999</v>
      </c>
      <c r="U1395" s="8" t="n">
        <f aca="false">IF(AND(K1395&lt;=I1395,R1395=0),1,0)</f>
        <v>1</v>
      </c>
      <c r="V1395" s="10" t="n">
        <f aca="false">IF(Q1395="No",P1395,0)</f>
        <v>0</v>
      </c>
    </row>
    <row r="1396" customFormat="false" ht="15" hidden="false" customHeight="false" outlineLevel="0" collapsed="false">
      <c r="A1396" s="5" t="s">
        <v>1530</v>
      </c>
      <c r="B1396" s="5" t="s">
        <v>79</v>
      </c>
      <c r="C1396" s="7" t="n">
        <v>45379</v>
      </c>
      <c r="D1396" s="8" t="str">
        <f aca="false">INDEX(Dim_Supplier!$C$2:$C$21,MATCH(B1396,Dim_Supplier!$A$2:$A$21,0))</f>
        <v>Logistics</v>
      </c>
      <c r="E1396" s="8" t="str">
        <f aca="false">INDEX(Dim_Supplier!$B$2:$B$21,MATCH(B1396,Dim_Supplier!$A$2:$A$21,0))</f>
        <v>Niagara Freight Solutions</v>
      </c>
      <c r="F1396" s="5" t="s">
        <v>124</v>
      </c>
      <c r="G1396" s="5" t="s">
        <v>129</v>
      </c>
      <c r="H1396" s="8" t="n">
        <f aca="false">INDEX(Lookup_Tables!$B$2:$B$5,MATCH(D1396,Lookup_Tables!$A$2:$A$5,0))</f>
        <v>5</v>
      </c>
      <c r="I1396" s="9" t="n">
        <f aca="false">C1396+H1396</f>
        <v>45384</v>
      </c>
      <c r="J1396" s="5" t="n">
        <v>2</v>
      </c>
      <c r="K1396" s="9" t="n">
        <f aca="false">I1396+J1396</f>
        <v>45386</v>
      </c>
      <c r="L1396" s="5" t="n">
        <v>22</v>
      </c>
      <c r="M1396" s="10" t="n">
        <f aca="false">INDEX(Dim_Supplier!$F$2:$F$21,MATCH(B1396,Dim_Supplier!$A$2:$A$21,0))</f>
        <v>340</v>
      </c>
      <c r="N1396" s="11" t="n">
        <v>-0.0094</v>
      </c>
      <c r="O1396" s="10" t="n">
        <f aca="false">M1396*(1+N1396)</f>
        <v>336.804</v>
      </c>
      <c r="P1396" s="10" t="n">
        <f aca="false">O1396*L1396</f>
        <v>7409.688</v>
      </c>
      <c r="Q1396" s="5" t="s">
        <v>113</v>
      </c>
      <c r="R1396" s="5" t="n">
        <v>0</v>
      </c>
      <c r="S1396" s="5" t="n">
        <v>60</v>
      </c>
      <c r="T1396" s="12" t="n">
        <f aca="false">(O1396-M1396)/M1396</f>
        <v>-0.00939999999999991</v>
      </c>
      <c r="U1396" s="8" t="n">
        <f aca="false">IF(AND(K1396&lt;=I1396,R1396=0),1,0)</f>
        <v>0</v>
      </c>
      <c r="V1396" s="10" t="n">
        <f aca="false">IF(Q1396="No",P1396,0)</f>
        <v>0</v>
      </c>
    </row>
    <row r="1397" customFormat="false" ht="15" hidden="false" customHeight="false" outlineLevel="0" collapsed="false">
      <c r="A1397" s="5" t="s">
        <v>1531</v>
      </c>
      <c r="B1397" s="5" t="s">
        <v>52</v>
      </c>
      <c r="C1397" s="7" t="n">
        <v>45446</v>
      </c>
      <c r="D1397" s="8" t="str">
        <f aca="false">INDEX(Dim_Supplier!$C$2:$C$21,MATCH(B1397,Dim_Supplier!$A$2:$A$21,0))</f>
        <v>Raw Materials</v>
      </c>
      <c r="E1397" s="8" t="str">
        <f aca="false">INDEX(Dim_Supplier!$B$2:$B$21,MATCH(B1397,Dim_Supplier!$A$2:$A$21,0))</f>
        <v>Laurentian Metals Inc.</v>
      </c>
      <c r="F1397" s="5" t="s">
        <v>115</v>
      </c>
      <c r="G1397" s="5" t="s">
        <v>120</v>
      </c>
      <c r="H1397" s="8" t="n">
        <f aca="false">INDEX(Lookup_Tables!$B$2:$B$5,MATCH(D1397,Lookup_Tables!$A$2:$A$5,0))</f>
        <v>21</v>
      </c>
      <c r="I1397" s="9" t="n">
        <f aca="false">C1397+H1397</f>
        <v>45467</v>
      </c>
      <c r="J1397" s="5" t="n">
        <v>-2</v>
      </c>
      <c r="K1397" s="9" t="n">
        <f aca="false">I1397+J1397</f>
        <v>45465</v>
      </c>
      <c r="L1397" s="5" t="n">
        <v>1962</v>
      </c>
      <c r="M1397" s="10" t="n">
        <f aca="false">INDEX(Dim_Supplier!$F$2:$F$21,MATCH(B1397,Dim_Supplier!$A$2:$A$21,0))</f>
        <v>61.2</v>
      </c>
      <c r="N1397" s="11" t="n">
        <v>0.004</v>
      </c>
      <c r="O1397" s="10" t="n">
        <f aca="false">M1397*(1+N1397)</f>
        <v>61.4448</v>
      </c>
      <c r="P1397" s="10" t="n">
        <f aca="false">O1397*L1397</f>
        <v>120554.6976</v>
      </c>
      <c r="Q1397" s="5" t="s">
        <v>113</v>
      </c>
      <c r="R1397" s="5" t="n">
        <v>0</v>
      </c>
      <c r="S1397" s="5" t="n">
        <v>30</v>
      </c>
      <c r="T1397" s="12" t="n">
        <f aca="false">(O1397-M1397)/M1397</f>
        <v>0.00399999999999997</v>
      </c>
      <c r="U1397" s="8" t="n">
        <f aca="false">IF(AND(K1397&lt;=I1397,R1397=0),1,0)</f>
        <v>1</v>
      </c>
      <c r="V1397" s="10" t="n">
        <f aca="false">IF(Q1397="No",P1397,0)</f>
        <v>0</v>
      </c>
    </row>
    <row r="1398" customFormat="false" ht="15" hidden="false" customHeight="false" outlineLevel="0" collapsed="false">
      <c r="A1398" s="5" t="s">
        <v>1532</v>
      </c>
      <c r="B1398" s="5" t="s">
        <v>57</v>
      </c>
      <c r="C1398" s="7" t="n">
        <v>45471</v>
      </c>
      <c r="D1398" s="8" t="str">
        <f aca="false">INDEX(Dim_Supplier!$C$2:$C$21,MATCH(B1398,Dim_Supplier!$A$2:$A$21,0))</f>
        <v>Packaging</v>
      </c>
      <c r="E1398" s="8" t="str">
        <f aca="false">INDEX(Dim_Supplier!$B$2:$B$21,MATCH(B1398,Dim_Supplier!$A$2:$A$21,0))</f>
        <v>Great Lakes Packaging Co.</v>
      </c>
      <c r="F1398" s="5" t="s">
        <v>119</v>
      </c>
      <c r="G1398" s="5" t="s">
        <v>120</v>
      </c>
      <c r="H1398" s="8" t="n">
        <f aca="false">INDEX(Lookup_Tables!$B$2:$B$5,MATCH(D1398,Lookup_Tables!$A$2:$A$5,0))</f>
        <v>14</v>
      </c>
      <c r="I1398" s="9" t="n">
        <f aca="false">C1398+H1398</f>
        <v>45485</v>
      </c>
      <c r="J1398" s="5" t="n">
        <v>-1</v>
      </c>
      <c r="K1398" s="9" t="n">
        <f aca="false">I1398+J1398</f>
        <v>45484</v>
      </c>
      <c r="L1398" s="5" t="n">
        <v>1745</v>
      </c>
      <c r="M1398" s="10" t="n">
        <f aca="false">INDEX(Dim_Supplier!$F$2:$F$21,MATCH(B1398,Dim_Supplier!$A$2:$A$21,0))</f>
        <v>4.35</v>
      </c>
      <c r="N1398" s="11" t="n">
        <v>0.0253</v>
      </c>
      <c r="O1398" s="10" t="n">
        <f aca="false">M1398*(1+N1398)</f>
        <v>4.460055</v>
      </c>
      <c r="P1398" s="10" t="n">
        <f aca="false">O1398*L1398</f>
        <v>7782.795975</v>
      </c>
      <c r="Q1398" s="5" t="s">
        <v>113</v>
      </c>
      <c r="R1398" s="5" t="n">
        <v>0</v>
      </c>
      <c r="S1398" s="5" t="n">
        <v>60</v>
      </c>
      <c r="T1398" s="12" t="n">
        <f aca="false">(O1398-M1398)/M1398</f>
        <v>0.0253</v>
      </c>
      <c r="U1398" s="8" t="n">
        <f aca="false">IF(AND(K1398&lt;=I1398,R1398=0),1,0)</f>
        <v>1</v>
      </c>
      <c r="V1398" s="10" t="n">
        <f aca="false">IF(Q1398="No",P1398,0)</f>
        <v>0</v>
      </c>
    </row>
    <row r="1399" customFormat="false" ht="15" hidden="false" customHeight="false" outlineLevel="0" collapsed="false">
      <c r="A1399" s="5" t="s">
        <v>1533</v>
      </c>
      <c r="B1399" s="5" t="s">
        <v>60</v>
      </c>
      <c r="C1399" s="7" t="n">
        <v>45867</v>
      </c>
      <c r="D1399" s="8" t="str">
        <f aca="false">INDEX(Dim_Supplier!$C$2:$C$21,MATCH(B1399,Dim_Supplier!$A$2:$A$21,0))</f>
        <v>Packaging</v>
      </c>
      <c r="E1399" s="8" t="str">
        <f aca="false">INDEX(Dim_Supplier!$B$2:$B$21,MATCH(B1399,Dim_Supplier!$A$2:$A$21,0))</f>
        <v>Maple Leaf Box &amp; Crate</v>
      </c>
      <c r="F1399" s="5" t="s">
        <v>122</v>
      </c>
      <c r="G1399" s="5" t="s">
        <v>125</v>
      </c>
      <c r="H1399" s="8" t="n">
        <f aca="false">INDEX(Lookup_Tables!$B$2:$B$5,MATCH(D1399,Lookup_Tables!$A$2:$A$5,0))</f>
        <v>14</v>
      </c>
      <c r="I1399" s="9" t="n">
        <f aca="false">C1399+H1399</f>
        <v>45881</v>
      </c>
      <c r="J1399" s="5" t="n">
        <v>-2</v>
      </c>
      <c r="K1399" s="9" t="n">
        <f aca="false">I1399+J1399</f>
        <v>45879</v>
      </c>
      <c r="L1399" s="5" t="n">
        <v>2543</v>
      </c>
      <c r="M1399" s="10" t="n">
        <f aca="false">INDEX(Dim_Supplier!$F$2:$F$21,MATCH(B1399,Dim_Supplier!$A$2:$A$21,0))</f>
        <v>3.1</v>
      </c>
      <c r="N1399" s="11" t="n">
        <v>0.0245</v>
      </c>
      <c r="O1399" s="10" t="n">
        <f aca="false">M1399*(1+N1399)</f>
        <v>3.17595</v>
      </c>
      <c r="P1399" s="10" t="n">
        <f aca="false">O1399*L1399</f>
        <v>8076.44085</v>
      </c>
      <c r="Q1399" s="5" t="s">
        <v>133</v>
      </c>
      <c r="R1399" s="5" t="n">
        <v>0</v>
      </c>
      <c r="S1399" s="5" t="n">
        <v>30</v>
      </c>
      <c r="T1399" s="12" t="n">
        <f aca="false">(O1399-M1399)/M1399</f>
        <v>0.0244999999999999</v>
      </c>
      <c r="U1399" s="8" t="n">
        <f aca="false">IF(AND(K1399&lt;=I1399,R1399=0),1,0)</f>
        <v>1</v>
      </c>
      <c r="V1399" s="10" t="n">
        <f aca="false">IF(Q1399="No",P1399,0)</f>
        <v>8076.44085</v>
      </c>
    </row>
    <row r="1400" customFormat="false" ht="15" hidden="false" customHeight="false" outlineLevel="0" collapsed="false">
      <c r="A1400" s="5" t="s">
        <v>1534</v>
      </c>
      <c r="B1400" s="5" t="s">
        <v>62</v>
      </c>
      <c r="C1400" s="7" t="n">
        <v>46065</v>
      </c>
      <c r="D1400" s="8" t="str">
        <f aca="false">INDEX(Dim_Supplier!$C$2:$C$21,MATCH(B1400,Dim_Supplier!$A$2:$A$21,0))</f>
        <v>Packaging</v>
      </c>
      <c r="E1400" s="8" t="str">
        <f aca="false">INDEX(Dim_Supplier!$B$2:$B$21,MATCH(B1400,Dim_Supplier!$A$2:$A$21,0))</f>
        <v>Trillium Packaging Solutions</v>
      </c>
      <c r="F1400" s="5" t="s">
        <v>117</v>
      </c>
      <c r="G1400" s="5" t="s">
        <v>112</v>
      </c>
      <c r="H1400" s="8" t="n">
        <f aca="false">INDEX(Lookup_Tables!$B$2:$B$5,MATCH(D1400,Lookup_Tables!$A$2:$A$5,0))</f>
        <v>14</v>
      </c>
      <c r="I1400" s="9" t="n">
        <f aca="false">C1400+H1400</f>
        <v>46079</v>
      </c>
      <c r="J1400" s="5" t="n">
        <v>-1</v>
      </c>
      <c r="K1400" s="9" t="n">
        <f aca="false">I1400+J1400</f>
        <v>46078</v>
      </c>
      <c r="L1400" s="5" t="n">
        <v>4406</v>
      </c>
      <c r="M1400" s="10" t="n">
        <f aca="false">INDEX(Dim_Supplier!$F$2:$F$21,MATCH(B1400,Dim_Supplier!$A$2:$A$21,0))</f>
        <v>5.6</v>
      </c>
      <c r="N1400" s="11" t="n">
        <v>0.0045</v>
      </c>
      <c r="O1400" s="10" t="n">
        <f aca="false">M1400*(1+N1400)</f>
        <v>5.6252</v>
      </c>
      <c r="P1400" s="10" t="n">
        <f aca="false">O1400*L1400</f>
        <v>24784.6312</v>
      </c>
      <c r="Q1400" s="5" t="s">
        <v>113</v>
      </c>
      <c r="R1400" s="5" t="n">
        <v>186</v>
      </c>
      <c r="S1400" s="5" t="n">
        <v>60</v>
      </c>
      <c r="T1400" s="12" t="n">
        <f aca="false">(O1400-M1400)/M1400</f>
        <v>0.00449999999999998</v>
      </c>
      <c r="U1400" s="8" t="n">
        <f aca="false">IF(AND(K1400&lt;=I1400,R1400=0),1,0)</f>
        <v>0</v>
      </c>
      <c r="V1400" s="10" t="n">
        <f aca="false">IF(Q1400="No",P1400,0)</f>
        <v>0</v>
      </c>
    </row>
    <row r="1401" customFormat="false" ht="15" hidden="false" customHeight="false" outlineLevel="0" collapsed="false">
      <c r="A1401" s="5" t="s">
        <v>1535</v>
      </c>
      <c r="B1401" s="5" t="s">
        <v>68</v>
      </c>
      <c r="C1401" s="7" t="n">
        <v>45478</v>
      </c>
      <c r="D1401" s="8" t="str">
        <f aca="false">INDEX(Dim_Supplier!$C$2:$C$21,MATCH(B1401,Dim_Supplier!$A$2:$A$21,0))</f>
        <v>MRO</v>
      </c>
      <c r="E1401" s="8" t="str">
        <f aca="false">INDEX(Dim_Supplier!$B$2:$B$21,MATCH(B1401,Dim_Supplier!$A$2:$A$21,0))</f>
        <v>Precision Tool &amp; Supply</v>
      </c>
      <c r="F1401" s="5" t="s">
        <v>179</v>
      </c>
      <c r="G1401" s="5" t="s">
        <v>129</v>
      </c>
      <c r="H1401" s="8" t="n">
        <f aca="false">INDEX(Lookup_Tables!$B$2:$B$5,MATCH(D1401,Lookup_Tables!$A$2:$A$5,0))</f>
        <v>10</v>
      </c>
      <c r="I1401" s="9" t="n">
        <f aca="false">C1401+H1401</f>
        <v>45488</v>
      </c>
      <c r="J1401" s="5" t="n">
        <v>2</v>
      </c>
      <c r="K1401" s="9" t="n">
        <f aca="false">I1401+J1401</f>
        <v>45490</v>
      </c>
      <c r="L1401" s="5" t="n">
        <v>150</v>
      </c>
      <c r="M1401" s="10" t="n">
        <f aca="false">INDEX(Dim_Supplier!$F$2:$F$21,MATCH(B1401,Dim_Supplier!$A$2:$A$21,0))</f>
        <v>22.4</v>
      </c>
      <c r="N1401" s="11" t="n">
        <v>0.001</v>
      </c>
      <c r="O1401" s="10" t="n">
        <f aca="false">M1401*(1+N1401)</f>
        <v>22.4224</v>
      </c>
      <c r="P1401" s="10" t="n">
        <f aca="false">O1401*L1401</f>
        <v>3363.36</v>
      </c>
      <c r="Q1401" s="5" t="s">
        <v>113</v>
      </c>
      <c r="R1401" s="5" t="n">
        <v>0</v>
      </c>
      <c r="S1401" s="5" t="n">
        <v>30</v>
      </c>
      <c r="T1401" s="12" t="n">
        <f aca="false">(O1401-M1401)/M1401</f>
        <v>0.00099999999999989</v>
      </c>
      <c r="U1401" s="8" t="n">
        <f aca="false">IF(AND(K1401&lt;=I1401,R1401=0),1,0)</f>
        <v>0</v>
      </c>
      <c r="V1401" s="10" t="n">
        <f aca="false">IF(Q1401="No",P1401,0)</f>
        <v>0</v>
      </c>
    </row>
    <row r="1402" customFormat="false" ht="15" hidden="false" customHeight="false" outlineLevel="0" collapsed="false">
      <c r="A1402" s="5" t="s">
        <v>1536</v>
      </c>
      <c r="B1402" s="5" t="s">
        <v>60</v>
      </c>
      <c r="C1402" s="7" t="n">
        <v>45473</v>
      </c>
      <c r="D1402" s="8" t="str">
        <f aca="false">INDEX(Dim_Supplier!$C$2:$C$21,MATCH(B1402,Dim_Supplier!$A$2:$A$21,0))</f>
        <v>Packaging</v>
      </c>
      <c r="E1402" s="8" t="str">
        <f aca="false">INDEX(Dim_Supplier!$B$2:$B$21,MATCH(B1402,Dim_Supplier!$A$2:$A$21,0))</f>
        <v>Maple Leaf Box &amp; Crate</v>
      </c>
      <c r="F1402" s="5" t="s">
        <v>158</v>
      </c>
      <c r="G1402" s="5" t="s">
        <v>120</v>
      </c>
      <c r="H1402" s="8" t="n">
        <f aca="false">INDEX(Lookup_Tables!$B$2:$B$5,MATCH(D1402,Lookup_Tables!$A$2:$A$5,0))</f>
        <v>14</v>
      </c>
      <c r="I1402" s="9" t="n">
        <f aca="false">C1402+H1402</f>
        <v>45487</v>
      </c>
      <c r="J1402" s="5" t="n">
        <v>-3</v>
      </c>
      <c r="K1402" s="9" t="n">
        <f aca="false">I1402+J1402</f>
        <v>45484</v>
      </c>
      <c r="L1402" s="5" t="n">
        <v>1409</v>
      </c>
      <c r="M1402" s="10" t="n">
        <f aca="false">INDEX(Dim_Supplier!$F$2:$F$21,MATCH(B1402,Dim_Supplier!$A$2:$A$21,0))</f>
        <v>3.1</v>
      </c>
      <c r="N1402" s="11" t="n">
        <v>0</v>
      </c>
      <c r="O1402" s="10" t="n">
        <f aca="false">M1402*(1+N1402)</f>
        <v>3.1</v>
      </c>
      <c r="P1402" s="10" t="n">
        <f aca="false">O1402*L1402</f>
        <v>4367.9</v>
      </c>
      <c r="Q1402" s="5" t="s">
        <v>133</v>
      </c>
      <c r="R1402" s="5" t="n">
        <v>0</v>
      </c>
      <c r="S1402" s="5" t="n">
        <v>45</v>
      </c>
      <c r="T1402" s="12" t="n">
        <f aca="false">(O1402-M1402)/M1402</f>
        <v>0</v>
      </c>
      <c r="U1402" s="8" t="n">
        <f aca="false">IF(AND(K1402&lt;=I1402,R1402=0),1,0)</f>
        <v>1</v>
      </c>
      <c r="V1402" s="10" t="n">
        <f aca="false">IF(Q1402="No",P1402,0)</f>
        <v>4367.9</v>
      </c>
    </row>
    <row r="1403" customFormat="false" ht="15" hidden="false" customHeight="false" outlineLevel="0" collapsed="false">
      <c r="A1403" s="5" t="s">
        <v>1537</v>
      </c>
      <c r="B1403" s="5" t="s">
        <v>88</v>
      </c>
      <c r="C1403" s="7" t="n">
        <v>45620</v>
      </c>
      <c r="D1403" s="8" t="str">
        <f aca="false">INDEX(Dim_Supplier!$C$2:$C$21,MATCH(B1403,Dim_Supplier!$A$2:$A$21,0))</f>
        <v>Logistics</v>
      </c>
      <c r="E1403" s="8" t="str">
        <f aca="false">INDEX(Dim_Supplier!$B$2:$B$21,MATCH(B1403,Dim_Supplier!$A$2:$A$21,0))</f>
        <v>Summit Last-Mile Delivery</v>
      </c>
      <c r="F1403" s="5" t="s">
        <v>146</v>
      </c>
      <c r="G1403" s="5" t="s">
        <v>129</v>
      </c>
      <c r="H1403" s="8" t="n">
        <f aca="false">INDEX(Lookup_Tables!$B$2:$B$5,MATCH(D1403,Lookup_Tables!$A$2:$A$5,0))</f>
        <v>5</v>
      </c>
      <c r="I1403" s="9" t="n">
        <f aca="false">C1403+H1403</f>
        <v>45625</v>
      </c>
      <c r="J1403" s="5" t="n">
        <v>-4</v>
      </c>
      <c r="K1403" s="9" t="n">
        <f aca="false">I1403+J1403</f>
        <v>45621</v>
      </c>
      <c r="L1403" s="5" t="n">
        <v>32</v>
      </c>
      <c r="M1403" s="10" t="n">
        <f aca="false">INDEX(Dim_Supplier!$F$2:$F$21,MATCH(B1403,Dim_Supplier!$A$2:$A$21,0))</f>
        <v>95</v>
      </c>
      <c r="N1403" s="11" t="n">
        <v>0.0854</v>
      </c>
      <c r="O1403" s="10" t="n">
        <f aca="false">M1403*(1+N1403)</f>
        <v>103.113</v>
      </c>
      <c r="P1403" s="10" t="n">
        <f aca="false">O1403*L1403</f>
        <v>3299.616</v>
      </c>
      <c r="Q1403" s="5" t="s">
        <v>113</v>
      </c>
      <c r="R1403" s="5" t="n">
        <v>0</v>
      </c>
      <c r="S1403" s="5" t="n">
        <v>30</v>
      </c>
      <c r="T1403" s="12" t="n">
        <f aca="false">(O1403-M1403)/M1403</f>
        <v>0.0854</v>
      </c>
      <c r="U1403" s="8" t="n">
        <f aca="false">IF(AND(K1403&lt;=I1403,R1403=0),1,0)</f>
        <v>1</v>
      </c>
      <c r="V1403" s="10" t="n">
        <f aca="false">IF(Q1403="No",P1403,0)</f>
        <v>0</v>
      </c>
    </row>
    <row r="1404" customFormat="false" ht="15" hidden="false" customHeight="false" outlineLevel="0" collapsed="false">
      <c r="A1404" s="5" t="s">
        <v>1538</v>
      </c>
      <c r="B1404" s="5" t="s">
        <v>49</v>
      </c>
      <c r="C1404" s="7" t="n">
        <v>46163</v>
      </c>
      <c r="D1404" s="8" t="str">
        <f aca="false">INDEX(Dim_Supplier!$C$2:$C$21,MATCH(B1404,Dim_Supplier!$A$2:$A$21,0))</f>
        <v>Raw Materials</v>
      </c>
      <c r="E1404" s="8" t="str">
        <f aca="false">INDEX(Dim_Supplier!$B$2:$B$21,MATCH(B1404,Dim_Supplier!$A$2:$A$21,0))</f>
        <v>Great Lakes Polymer Co.</v>
      </c>
      <c r="F1404" s="5" t="s">
        <v>139</v>
      </c>
      <c r="G1404" s="5" t="s">
        <v>112</v>
      </c>
      <c r="H1404" s="8" t="n">
        <f aca="false">INDEX(Lookup_Tables!$B$2:$B$5,MATCH(D1404,Lookup_Tables!$A$2:$A$5,0))</f>
        <v>21</v>
      </c>
      <c r="I1404" s="9" t="n">
        <f aca="false">C1404+H1404</f>
        <v>46184</v>
      </c>
      <c r="J1404" s="5" t="n">
        <v>-2</v>
      </c>
      <c r="K1404" s="9" t="n">
        <f aca="false">I1404+J1404</f>
        <v>46182</v>
      </c>
      <c r="L1404" s="5" t="n">
        <v>1951</v>
      </c>
      <c r="M1404" s="10" t="n">
        <f aca="false">INDEX(Dim_Supplier!$F$2:$F$21,MATCH(B1404,Dim_Supplier!$A$2:$A$21,0))</f>
        <v>32.75</v>
      </c>
      <c r="N1404" s="11" t="n">
        <v>0.1152</v>
      </c>
      <c r="O1404" s="10" t="n">
        <f aca="false">M1404*(1+N1404)</f>
        <v>36.5228</v>
      </c>
      <c r="P1404" s="10" t="n">
        <f aca="false">O1404*L1404</f>
        <v>71255.9828</v>
      </c>
      <c r="Q1404" s="5" t="s">
        <v>133</v>
      </c>
      <c r="R1404" s="5" t="n">
        <v>0</v>
      </c>
      <c r="S1404" s="5" t="n">
        <v>60</v>
      </c>
      <c r="T1404" s="12" t="n">
        <f aca="false">(O1404-M1404)/M1404</f>
        <v>0.1152</v>
      </c>
      <c r="U1404" s="8" t="n">
        <f aca="false">IF(AND(K1404&lt;=I1404,R1404=0),1,0)</f>
        <v>1</v>
      </c>
      <c r="V1404" s="10" t="n">
        <f aca="false">IF(Q1404="No",P1404,0)</f>
        <v>71255.9828</v>
      </c>
    </row>
    <row r="1405" customFormat="false" ht="15" hidden="false" customHeight="false" outlineLevel="0" collapsed="false">
      <c r="A1405" s="5" t="s">
        <v>1539</v>
      </c>
      <c r="B1405" s="5" t="s">
        <v>41</v>
      </c>
      <c r="C1405" s="7" t="n">
        <v>45536</v>
      </c>
      <c r="D1405" s="8" t="str">
        <f aca="false">INDEX(Dim_Supplier!$C$2:$C$21,MATCH(B1405,Dim_Supplier!$A$2:$A$21,0))</f>
        <v>Raw Materials</v>
      </c>
      <c r="E1405" s="8" t="str">
        <f aca="false">INDEX(Dim_Supplier!$B$2:$B$21,MATCH(B1405,Dim_Supplier!$A$2:$A$21,0))</f>
        <v>Ontario Steel Partners</v>
      </c>
      <c r="F1405" s="5" t="s">
        <v>139</v>
      </c>
      <c r="G1405" s="5" t="s">
        <v>120</v>
      </c>
      <c r="H1405" s="8" t="n">
        <f aca="false">INDEX(Lookup_Tables!$B$2:$B$5,MATCH(D1405,Lookup_Tables!$A$2:$A$5,0))</f>
        <v>21</v>
      </c>
      <c r="I1405" s="9" t="n">
        <f aca="false">C1405+H1405</f>
        <v>45557</v>
      </c>
      <c r="J1405" s="5" t="n">
        <v>-4</v>
      </c>
      <c r="K1405" s="9" t="n">
        <f aca="false">I1405+J1405</f>
        <v>45553</v>
      </c>
      <c r="L1405" s="5" t="n">
        <v>182</v>
      </c>
      <c r="M1405" s="10" t="n">
        <f aca="false">INDEX(Dim_Supplier!$F$2:$F$21,MATCH(B1405,Dim_Supplier!$A$2:$A$21,0))</f>
        <v>58</v>
      </c>
      <c r="N1405" s="11" t="n">
        <v>0.0167</v>
      </c>
      <c r="O1405" s="10" t="n">
        <f aca="false">M1405*(1+N1405)</f>
        <v>58.9686</v>
      </c>
      <c r="P1405" s="10" t="n">
        <f aca="false">O1405*L1405</f>
        <v>10732.2852</v>
      </c>
      <c r="Q1405" s="5" t="s">
        <v>113</v>
      </c>
      <c r="R1405" s="5" t="n">
        <v>0</v>
      </c>
      <c r="S1405" s="5" t="n">
        <v>45</v>
      </c>
      <c r="T1405" s="12" t="n">
        <f aca="false">(O1405-M1405)/M1405</f>
        <v>0.0166999999999999</v>
      </c>
      <c r="U1405" s="8" t="n">
        <f aca="false">IF(AND(K1405&lt;=I1405,R1405=0),1,0)</f>
        <v>1</v>
      </c>
      <c r="V1405" s="10" t="n">
        <f aca="false">IF(Q1405="No",P1405,0)</f>
        <v>0</v>
      </c>
    </row>
    <row r="1406" customFormat="false" ht="15" hidden="false" customHeight="false" outlineLevel="0" collapsed="false">
      <c r="A1406" s="5" t="s">
        <v>1540</v>
      </c>
      <c r="B1406" s="5" t="s">
        <v>75</v>
      </c>
      <c r="C1406" s="7" t="n">
        <v>45632</v>
      </c>
      <c r="D1406" s="8" t="str">
        <f aca="false">INDEX(Dim_Supplier!$C$2:$C$21,MATCH(B1406,Dim_Supplier!$A$2:$A$21,0))</f>
        <v>MRO</v>
      </c>
      <c r="E1406" s="8" t="str">
        <f aca="false">INDEX(Dim_Supplier!$B$2:$B$21,MATCH(B1406,Dim_Supplier!$A$2:$A$21,0))</f>
        <v>Sterling Lubricants Inc.</v>
      </c>
      <c r="F1406" s="5" t="s">
        <v>132</v>
      </c>
      <c r="G1406" s="5" t="s">
        <v>129</v>
      </c>
      <c r="H1406" s="8" t="n">
        <f aca="false">INDEX(Lookup_Tables!$B$2:$B$5,MATCH(D1406,Lookup_Tables!$A$2:$A$5,0))</f>
        <v>10</v>
      </c>
      <c r="I1406" s="9" t="n">
        <f aca="false">C1406+H1406</f>
        <v>45642</v>
      </c>
      <c r="J1406" s="5" t="n">
        <v>1</v>
      </c>
      <c r="K1406" s="9" t="n">
        <f aca="false">I1406+J1406</f>
        <v>45643</v>
      </c>
      <c r="L1406" s="5" t="n">
        <v>164</v>
      </c>
      <c r="M1406" s="10" t="n">
        <f aca="false">INDEX(Dim_Supplier!$F$2:$F$21,MATCH(B1406,Dim_Supplier!$A$2:$A$21,0))</f>
        <v>27.1</v>
      </c>
      <c r="N1406" s="11" t="n">
        <v>0.0605</v>
      </c>
      <c r="O1406" s="10" t="n">
        <f aca="false">M1406*(1+N1406)</f>
        <v>28.73955</v>
      </c>
      <c r="P1406" s="10" t="n">
        <f aca="false">O1406*L1406</f>
        <v>4713.2862</v>
      </c>
      <c r="Q1406" s="5" t="s">
        <v>113</v>
      </c>
      <c r="R1406" s="5" t="n">
        <v>0</v>
      </c>
      <c r="S1406" s="5" t="n">
        <v>30</v>
      </c>
      <c r="T1406" s="12" t="n">
        <f aca="false">(O1406-M1406)/M1406</f>
        <v>0.0605</v>
      </c>
      <c r="U1406" s="8" t="n">
        <f aca="false">IF(AND(K1406&lt;=I1406,R1406=0),1,0)</f>
        <v>0</v>
      </c>
      <c r="V1406" s="10" t="n">
        <f aca="false">IF(Q1406="No",P1406,0)</f>
        <v>0</v>
      </c>
    </row>
    <row r="1407" customFormat="false" ht="15" hidden="false" customHeight="false" outlineLevel="0" collapsed="false">
      <c r="A1407" s="5" t="s">
        <v>1541</v>
      </c>
      <c r="B1407" s="5" t="s">
        <v>52</v>
      </c>
      <c r="C1407" s="7" t="n">
        <v>45773</v>
      </c>
      <c r="D1407" s="8" t="str">
        <f aca="false">INDEX(Dim_Supplier!$C$2:$C$21,MATCH(B1407,Dim_Supplier!$A$2:$A$21,0))</f>
        <v>Raw Materials</v>
      </c>
      <c r="E1407" s="8" t="str">
        <f aca="false">INDEX(Dim_Supplier!$B$2:$B$21,MATCH(B1407,Dim_Supplier!$A$2:$A$21,0))</f>
        <v>Laurentian Metals Inc.</v>
      </c>
      <c r="F1407" s="5" t="s">
        <v>142</v>
      </c>
      <c r="G1407" s="5" t="s">
        <v>125</v>
      </c>
      <c r="H1407" s="8" t="n">
        <f aca="false">INDEX(Lookup_Tables!$B$2:$B$5,MATCH(D1407,Lookup_Tables!$A$2:$A$5,0))</f>
        <v>21</v>
      </c>
      <c r="I1407" s="9" t="n">
        <f aca="false">C1407+H1407</f>
        <v>45794</v>
      </c>
      <c r="J1407" s="5" t="n">
        <v>0</v>
      </c>
      <c r="K1407" s="9" t="n">
        <f aca="false">I1407+J1407</f>
        <v>45794</v>
      </c>
      <c r="L1407" s="5" t="n">
        <v>1527</v>
      </c>
      <c r="M1407" s="10" t="n">
        <f aca="false">INDEX(Dim_Supplier!$F$2:$F$21,MATCH(B1407,Dim_Supplier!$A$2:$A$21,0))</f>
        <v>61.2</v>
      </c>
      <c r="N1407" s="11" t="n">
        <v>0.0267</v>
      </c>
      <c r="O1407" s="10" t="n">
        <f aca="false">M1407*(1+N1407)</f>
        <v>62.83404</v>
      </c>
      <c r="P1407" s="10" t="n">
        <f aca="false">O1407*L1407</f>
        <v>95947.57908</v>
      </c>
      <c r="Q1407" s="5" t="s">
        <v>113</v>
      </c>
      <c r="R1407" s="5" t="n">
        <v>0</v>
      </c>
      <c r="S1407" s="5" t="n">
        <v>45</v>
      </c>
      <c r="T1407" s="12" t="n">
        <f aca="false">(O1407-M1407)/M1407</f>
        <v>0.0267</v>
      </c>
      <c r="U1407" s="8" t="n">
        <f aca="false">IF(AND(K1407&lt;=I1407,R1407=0),1,0)</f>
        <v>1</v>
      </c>
      <c r="V1407" s="10" t="n">
        <f aca="false">IF(Q1407="No",P1407,0)</f>
        <v>0</v>
      </c>
    </row>
    <row r="1408" customFormat="false" ht="15" hidden="false" customHeight="false" outlineLevel="0" collapsed="false">
      <c r="A1408" s="5" t="s">
        <v>1542</v>
      </c>
      <c r="B1408" s="5" t="s">
        <v>88</v>
      </c>
      <c r="C1408" s="7" t="n">
        <v>45726</v>
      </c>
      <c r="D1408" s="8" t="str">
        <f aca="false">INDEX(Dim_Supplier!$C$2:$C$21,MATCH(B1408,Dim_Supplier!$A$2:$A$21,0))</f>
        <v>Logistics</v>
      </c>
      <c r="E1408" s="8" t="str">
        <f aca="false">INDEX(Dim_Supplier!$B$2:$B$21,MATCH(B1408,Dim_Supplier!$A$2:$A$21,0))</f>
        <v>Summit Last-Mile Delivery</v>
      </c>
      <c r="F1408" s="5" t="s">
        <v>237</v>
      </c>
      <c r="G1408" s="5" t="s">
        <v>120</v>
      </c>
      <c r="H1408" s="8" t="n">
        <f aca="false">INDEX(Lookup_Tables!$B$2:$B$5,MATCH(D1408,Lookup_Tables!$A$2:$A$5,0))</f>
        <v>5</v>
      </c>
      <c r="I1408" s="9" t="n">
        <f aca="false">C1408+H1408</f>
        <v>45731</v>
      </c>
      <c r="J1408" s="5" t="n">
        <v>0</v>
      </c>
      <c r="K1408" s="9" t="n">
        <f aca="false">I1408+J1408</f>
        <v>45731</v>
      </c>
      <c r="L1408" s="5" t="n">
        <v>17</v>
      </c>
      <c r="M1408" s="10" t="n">
        <f aca="false">INDEX(Dim_Supplier!$F$2:$F$21,MATCH(B1408,Dim_Supplier!$A$2:$A$21,0))</f>
        <v>95</v>
      </c>
      <c r="N1408" s="11" t="n">
        <v>0.0536</v>
      </c>
      <c r="O1408" s="10" t="n">
        <f aca="false">M1408*(1+N1408)</f>
        <v>100.092</v>
      </c>
      <c r="P1408" s="10" t="n">
        <f aca="false">O1408*L1408</f>
        <v>1701.564</v>
      </c>
      <c r="Q1408" s="5" t="s">
        <v>113</v>
      </c>
      <c r="R1408" s="5" t="n">
        <v>0</v>
      </c>
      <c r="S1408" s="5" t="n">
        <v>30</v>
      </c>
      <c r="T1408" s="12" t="n">
        <f aca="false">(O1408-M1408)/M1408</f>
        <v>0.0536000000000001</v>
      </c>
      <c r="U1408" s="8" t="n">
        <f aca="false">IF(AND(K1408&lt;=I1408,R1408=0),1,0)</f>
        <v>1</v>
      </c>
      <c r="V1408" s="10" t="n">
        <f aca="false">IF(Q1408="No",P1408,0)</f>
        <v>0</v>
      </c>
    </row>
    <row r="1409" customFormat="false" ht="15" hidden="false" customHeight="false" outlineLevel="0" collapsed="false">
      <c r="A1409" s="5" t="s">
        <v>1543</v>
      </c>
      <c r="B1409" s="5" t="s">
        <v>86</v>
      </c>
      <c r="C1409" s="7" t="n">
        <v>45979</v>
      </c>
      <c r="D1409" s="8" t="str">
        <f aca="false">INDEX(Dim_Supplier!$C$2:$C$21,MATCH(B1409,Dim_Supplier!$A$2:$A$21,0))</f>
        <v>Logistics</v>
      </c>
      <c r="E1409" s="8" t="str">
        <f aca="false">INDEX(Dim_Supplier!$B$2:$B$21,MATCH(B1409,Dim_Supplier!$A$2:$A$21,0))</f>
        <v>Blue Water Customs Brokerage</v>
      </c>
      <c r="F1409" s="5" t="s">
        <v>124</v>
      </c>
      <c r="G1409" s="5" t="s">
        <v>120</v>
      </c>
      <c r="H1409" s="8" t="n">
        <f aca="false">INDEX(Lookup_Tables!$B$2:$B$5,MATCH(D1409,Lookup_Tables!$A$2:$A$5,0))</f>
        <v>5</v>
      </c>
      <c r="I1409" s="9" t="n">
        <f aca="false">C1409+H1409</f>
        <v>45984</v>
      </c>
      <c r="J1409" s="5" t="n">
        <v>1</v>
      </c>
      <c r="K1409" s="9" t="n">
        <f aca="false">I1409+J1409</f>
        <v>45985</v>
      </c>
      <c r="L1409" s="5" t="n">
        <v>2</v>
      </c>
      <c r="M1409" s="10" t="n">
        <f aca="false">INDEX(Dim_Supplier!$F$2:$F$21,MATCH(B1409,Dim_Supplier!$A$2:$A$21,0))</f>
        <v>175</v>
      </c>
      <c r="N1409" s="11" t="n">
        <v>-0.0225</v>
      </c>
      <c r="O1409" s="10" t="n">
        <f aca="false">M1409*(1+N1409)</f>
        <v>171.0625</v>
      </c>
      <c r="P1409" s="10" t="n">
        <f aca="false">O1409*L1409</f>
        <v>342.125</v>
      </c>
      <c r="Q1409" s="5" t="s">
        <v>113</v>
      </c>
      <c r="R1409" s="5" t="n">
        <v>0</v>
      </c>
      <c r="S1409" s="5" t="n">
        <v>30</v>
      </c>
      <c r="T1409" s="12" t="n">
        <f aca="false">(O1409-M1409)/M1409</f>
        <v>-0.0225</v>
      </c>
      <c r="U1409" s="8" t="n">
        <f aca="false">IF(AND(K1409&lt;=I1409,R1409=0),1,0)</f>
        <v>0</v>
      </c>
      <c r="V1409" s="10" t="n">
        <f aca="false">IF(Q1409="No",P1409,0)</f>
        <v>0</v>
      </c>
    </row>
    <row r="1410" customFormat="false" ht="15" hidden="false" customHeight="false" outlineLevel="0" collapsed="false">
      <c r="A1410" s="5" t="s">
        <v>1544</v>
      </c>
      <c r="B1410" s="5" t="s">
        <v>41</v>
      </c>
      <c r="C1410" s="7" t="n">
        <v>45674</v>
      </c>
      <c r="D1410" s="8" t="str">
        <f aca="false">INDEX(Dim_Supplier!$C$2:$C$21,MATCH(B1410,Dim_Supplier!$A$2:$A$21,0))</f>
        <v>Raw Materials</v>
      </c>
      <c r="E1410" s="8" t="str">
        <f aca="false">INDEX(Dim_Supplier!$B$2:$B$21,MATCH(B1410,Dim_Supplier!$A$2:$A$21,0))</f>
        <v>Ontario Steel Partners</v>
      </c>
      <c r="F1410" s="5" t="s">
        <v>148</v>
      </c>
      <c r="G1410" s="5" t="s">
        <v>112</v>
      </c>
      <c r="H1410" s="8" t="n">
        <f aca="false">INDEX(Lookup_Tables!$B$2:$B$5,MATCH(D1410,Lookup_Tables!$A$2:$A$5,0))</f>
        <v>21</v>
      </c>
      <c r="I1410" s="9" t="n">
        <f aca="false">C1410+H1410</f>
        <v>45695</v>
      </c>
      <c r="J1410" s="5" t="n">
        <v>-4</v>
      </c>
      <c r="K1410" s="9" t="n">
        <f aca="false">I1410+J1410</f>
        <v>45691</v>
      </c>
      <c r="L1410" s="5" t="n">
        <v>278</v>
      </c>
      <c r="M1410" s="10" t="n">
        <f aca="false">INDEX(Dim_Supplier!$F$2:$F$21,MATCH(B1410,Dim_Supplier!$A$2:$A$21,0))</f>
        <v>58</v>
      </c>
      <c r="N1410" s="11" t="n">
        <v>0.0036</v>
      </c>
      <c r="O1410" s="10" t="n">
        <f aca="false">M1410*(1+N1410)</f>
        <v>58.2088</v>
      </c>
      <c r="P1410" s="10" t="n">
        <f aca="false">O1410*L1410</f>
        <v>16182.0464</v>
      </c>
      <c r="Q1410" s="5" t="s">
        <v>113</v>
      </c>
      <c r="R1410" s="5" t="n">
        <v>1</v>
      </c>
      <c r="S1410" s="5" t="n">
        <v>45</v>
      </c>
      <c r="T1410" s="12" t="n">
        <f aca="false">(O1410-M1410)/M1410</f>
        <v>0.00360000000000006</v>
      </c>
      <c r="U1410" s="8" t="n">
        <f aca="false">IF(AND(K1410&lt;=I1410,R1410=0),1,0)</f>
        <v>0</v>
      </c>
      <c r="V1410" s="10" t="n">
        <f aca="false">IF(Q1410="No",P1410,0)</f>
        <v>0</v>
      </c>
    </row>
    <row r="1411" customFormat="false" ht="15" hidden="false" customHeight="false" outlineLevel="0" collapsed="false">
      <c r="A1411" s="5" t="s">
        <v>1545</v>
      </c>
      <c r="B1411" s="5" t="s">
        <v>57</v>
      </c>
      <c r="C1411" s="7" t="n">
        <v>45924</v>
      </c>
      <c r="D1411" s="8" t="str">
        <f aca="false">INDEX(Dim_Supplier!$C$2:$C$21,MATCH(B1411,Dim_Supplier!$A$2:$A$21,0))</f>
        <v>Packaging</v>
      </c>
      <c r="E1411" s="8" t="str">
        <f aca="false">INDEX(Dim_Supplier!$B$2:$B$21,MATCH(B1411,Dim_Supplier!$A$2:$A$21,0))</f>
        <v>Great Lakes Packaging Co.</v>
      </c>
      <c r="F1411" s="5" t="s">
        <v>117</v>
      </c>
      <c r="G1411" s="5" t="s">
        <v>112</v>
      </c>
      <c r="H1411" s="8" t="n">
        <f aca="false">INDEX(Lookup_Tables!$B$2:$B$5,MATCH(D1411,Lookup_Tables!$A$2:$A$5,0))</f>
        <v>14</v>
      </c>
      <c r="I1411" s="9" t="n">
        <f aca="false">C1411+H1411</f>
        <v>45938</v>
      </c>
      <c r="J1411" s="5" t="n">
        <v>-4</v>
      </c>
      <c r="K1411" s="9" t="n">
        <f aca="false">I1411+J1411</f>
        <v>45934</v>
      </c>
      <c r="L1411" s="5" t="n">
        <v>4274</v>
      </c>
      <c r="M1411" s="10" t="n">
        <f aca="false">INDEX(Dim_Supplier!$F$2:$F$21,MATCH(B1411,Dim_Supplier!$A$2:$A$21,0))</f>
        <v>4.35</v>
      </c>
      <c r="N1411" s="11" t="n">
        <v>-0.0158</v>
      </c>
      <c r="O1411" s="10" t="n">
        <f aca="false">M1411*(1+N1411)</f>
        <v>4.28127</v>
      </c>
      <c r="P1411" s="10" t="n">
        <f aca="false">O1411*L1411</f>
        <v>18298.14798</v>
      </c>
      <c r="Q1411" s="5" t="s">
        <v>113</v>
      </c>
      <c r="R1411" s="5" t="n">
        <v>0</v>
      </c>
      <c r="S1411" s="5" t="n">
        <v>45</v>
      </c>
      <c r="T1411" s="12" t="n">
        <f aca="false">(O1411-M1411)/M1411</f>
        <v>-0.0158000000000001</v>
      </c>
      <c r="U1411" s="8" t="n">
        <f aca="false">IF(AND(K1411&lt;=I1411,R1411=0),1,0)</f>
        <v>1</v>
      </c>
      <c r="V1411" s="10" t="n">
        <f aca="false">IF(Q1411="No",P1411,0)</f>
        <v>0</v>
      </c>
    </row>
    <row r="1412" customFormat="false" ht="15" hidden="false" customHeight="false" outlineLevel="0" collapsed="false">
      <c r="A1412" s="5" t="s">
        <v>1546</v>
      </c>
      <c r="B1412" s="5" t="s">
        <v>71</v>
      </c>
      <c r="C1412" s="7" t="n">
        <v>45349</v>
      </c>
      <c r="D1412" s="8" t="str">
        <f aca="false">INDEX(Dim_Supplier!$C$2:$C$21,MATCH(B1412,Dim_Supplier!$A$2:$A$21,0))</f>
        <v>MRO</v>
      </c>
      <c r="E1412" s="8" t="str">
        <f aca="false">INDEX(Dim_Supplier!$B$2:$B$21,MATCH(B1412,Dim_Supplier!$A$2:$A$21,0))</f>
        <v>CanSafe Equipment Ltd.</v>
      </c>
      <c r="F1412" s="5" t="s">
        <v>164</v>
      </c>
      <c r="G1412" s="5" t="s">
        <v>112</v>
      </c>
      <c r="H1412" s="8" t="n">
        <f aca="false">INDEX(Lookup_Tables!$B$2:$B$5,MATCH(D1412,Lookup_Tables!$A$2:$A$5,0))</f>
        <v>10</v>
      </c>
      <c r="I1412" s="9" t="n">
        <f aca="false">C1412+H1412</f>
        <v>45359</v>
      </c>
      <c r="J1412" s="5" t="n">
        <v>3</v>
      </c>
      <c r="K1412" s="9" t="n">
        <f aca="false">I1412+J1412</f>
        <v>45362</v>
      </c>
      <c r="L1412" s="5" t="n">
        <v>52</v>
      </c>
      <c r="M1412" s="10" t="n">
        <f aca="false">INDEX(Dim_Supplier!$F$2:$F$21,MATCH(B1412,Dim_Supplier!$A$2:$A$21,0))</f>
        <v>18.75</v>
      </c>
      <c r="N1412" s="11" t="n">
        <v>0.0075</v>
      </c>
      <c r="O1412" s="10" t="n">
        <f aca="false">M1412*(1+N1412)</f>
        <v>18.890625</v>
      </c>
      <c r="P1412" s="10" t="n">
        <f aca="false">O1412*L1412</f>
        <v>982.3125</v>
      </c>
      <c r="Q1412" s="5" t="s">
        <v>113</v>
      </c>
      <c r="R1412" s="5" t="n">
        <v>0</v>
      </c>
      <c r="S1412" s="5" t="n">
        <v>30</v>
      </c>
      <c r="T1412" s="12" t="n">
        <f aca="false">(O1412-M1412)/M1412</f>
        <v>0.0075</v>
      </c>
      <c r="U1412" s="8" t="n">
        <f aca="false">IF(AND(K1412&lt;=I1412,R1412=0),1,0)</f>
        <v>0</v>
      </c>
      <c r="V1412" s="10" t="n">
        <f aca="false">IF(Q1412="No",P1412,0)</f>
        <v>0</v>
      </c>
    </row>
    <row r="1413" customFormat="false" ht="15" hidden="false" customHeight="false" outlineLevel="0" collapsed="false">
      <c r="A1413" s="5" t="s">
        <v>1547</v>
      </c>
      <c r="B1413" s="5" t="s">
        <v>79</v>
      </c>
      <c r="C1413" s="7" t="n">
        <v>45530</v>
      </c>
      <c r="D1413" s="8" t="str">
        <f aca="false">INDEX(Dim_Supplier!$C$2:$C$21,MATCH(B1413,Dim_Supplier!$A$2:$A$21,0))</f>
        <v>Logistics</v>
      </c>
      <c r="E1413" s="8" t="str">
        <f aca="false">INDEX(Dim_Supplier!$B$2:$B$21,MATCH(B1413,Dim_Supplier!$A$2:$A$21,0))</f>
        <v>Niagara Freight Solutions</v>
      </c>
      <c r="F1413" s="5" t="s">
        <v>154</v>
      </c>
      <c r="G1413" s="5" t="s">
        <v>129</v>
      </c>
      <c r="H1413" s="8" t="n">
        <f aca="false">INDEX(Lookup_Tables!$B$2:$B$5,MATCH(D1413,Lookup_Tables!$A$2:$A$5,0))</f>
        <v>5</v>
      </c>
      <c r="I1413" s="9" t="n">
        <f aca="false">C1413+H1413</f>
        <v>45535</v>
      </c>
      <c r="J1413" s="5" t="n">
        <v>-2</v>
      </c>
      <c r="K1413" s="9" t="n">
        <f aca="false">I1413+J1413</f>
        <v>45533</v>
      </c>
      <c r="L1413" s="5" t="n">
        <v>41</v>
      </c>
      <c r="M1413" s="10" t="n">
        <f aca="false">INDEX(Dim_Supplier!$F$2:$F$21,MATCH(B1413,Dim_Supplier!$A$2:$A$21,0))</f>
        <v>340</v>
      </c>
      <c r="N1413" s="11" t="n">
        <v>-0.0094</v>
      </c>
      <c r="O1413" s="10" t="n">
        <f aca="false">M1413*(1+N1413)</f>
        <v>336.804</v>
      </c>
      <c r="P1413" s="10" t="n">
        <f aca="false">O1413*L1413</f>
        <v>13808.964</v>
      </c>
      <c r="Q1413" s="5" t="s">
        <v>113</v>
      </c>
      <c r="R1413" s="5" t="n">
        <v>0</v>
      </c>
      <c r="S1413" s="5" t="n">
        <v>30</v>
      </c>
      <c r="T1413" s="12" t="n">
        <f aca="false">(O1413-M1413)/M1413</f>
        <v>-0.00939999999999991</v>
      </c>
      <c r="U1413" s="8" t="n">
        <f aca="false">IF(AND(K1413&lt;=I1413,R1413=0),1,0)</f>
        <v>1</v>
      </c>
      <c r="V1413" s="10" t="n">
        <f aca="false">IF(Q1413="No",P1413,0)</f>
        <v>0</v>
      </c>
    </row>
    <row r="1414" customFormat="false" ht="15" hidden="false" customHeight="false" outlineLevel="0" collapsed="false">
      <c r="A1414" s="5" t="s">
        <v>1548</v>
      </c>
      <c r="B1414" s="5" t="s">
        <v>88</v>
      </c>
      <c r="C1414" s="7" t="n">
        <v>45911</v>
      </c>
      <c r="D1414" s="8" t="str">
        <f aca="false">INDEX(Dim_Supplier!$C$2:$C$21,MATCH(B1414,Dim_Supplier!$A$2:$A$21,0))</f>
        <v>Logistics</v>
      </c>
      <c r="E1414" s="8" t="str">
        <f aca="false">INDEX(Dim_Supplier!$B$2:$B$21,MATCH(B1414,Dim_Supplier!$A$2:$A$21,0))</f>
        <v>Summit Last-Mile Delivery</v>
      </c>
      <c r="F1414" s="5" t="s">
        <v>154</v>
      </c>
      <c r="G1414" s="5" t="s">
        <v>125</v>
      </c>
      <c r="H1414" s="8" t="n">
        <f aca="false">INDEX(Lookup_Tables!$B$2:$B$5,MATCH(D1414,Lookup_Tables!$A$2:$A$5,0))</f>
        <v>5</v>
      </c>
      <c r="I1414" s="9" t="n">
        <f aca="false">C1414+H1414</f>
        <v>45916</v>
      </c>
      <c r="J1414" s="5" t="n">
        <v>-2</v>
      </c>
      <c r="K1414" s="9" t="n">
        <f aca="false">I1414+J1414</f>
        <v>45914</v>
      </c>
      <c r="L1414" s="5" t="n">
        <v>4</v>
      </c>
      <c r="M1414" s="10" t="n">
        <f aca="false">INDEX(Dim_Supplier!$F$2:$F$21,MATCH(B1414,Dim_Supplier!$A$2:$A$21,0))</f>
        <v>95</v>
      </c>
      <c r="N1414" s="11" t="n">
        <v>0.0692</v>
      </c>
      <c r="O1414" s="10" t="n">
        <f aca="false">M1414*(1+N1414)</f>
        <v>101.574</v>
      </c>
      <c r="P1414" s="10" t="n">
        <f aca="false">O1414*L1414</f>
        <v>406.296</v>
      </c>
      <c r="Q1414" s="5" t="s">
        <v>113</v>
      </c>
      <c r="R1414" s="5" t="n">
        <v>0</v>
      </c>
      <c r="S1414" s="5" t="n">
        <v>30</v>
      </c>
      <c r="T1414" s="12" t="n">
        <f aca="false">(O1414-M1414)/M1414</f>
        <v>0.0692</v>
      </c>
      <c r="U1414" s="8" t="n">
        <f aca="false">IF(AND(K1414&lt;=I1414,R1414=0),1,0)</f>
        <v>1</v>
      </c>
      <c r="V1414" s="10" t="n">
        <f aca="false">IF(Q1414="No",P1414,0)</f>
        <v>0</v>
      </c>
    </row>
    <row r="1415" customFormat="false" ht="15" hidden="false" customHeight="false" outlineLevel="0" collapsed="false">
      <c r="A1415" s="5" t="s">
        <v>1549</v>
      </c>
      <c r="B1415" s="5" t="s">
        <v>88</v>
      </c>
      <c r="C1415" s="7" t="n">
        <v>45561</v>
      </c>
      <c r="D1415" s="8" t="str">
        <f aca="false">INDEX(Dim_Supplier!$C$2:$C$21,MATCH(B1415,Dim_Supplier!$A$2:$A$21,0))</f>
        <v>Logistics</v>
      </c>
      <c r="E1415" s="8" t="str">
        <f aca="false">INDEX(Dim_Supplier!$B$2:$B$21,MATCH(B1415,Dim_Supplier!$A$2:$A$21,0))</f>
        <v>Summit Last-Mile Delivery</v>
      </c>
      <c r="F1415" s="5" t="s">
        <v>154</v>
      </c>
      <c r="G1415" s="5" t="s">
        <v>112</v>
      </c>
      <c r="H1415" s="8" t="n">
        <f aca="false">INDEX(Lookup_Tables!$B$2:$B$5,MATCH(D1415,Lookup_Tables!$A$2:$A$5,0))</f>
        <v>5</v>
      </c>
      <c r="I1415" s="9" t="n">
        <f aca="false">C1415+H1415</f>
        <v>45566</v>
      </c>
      <c r="J1415" s="5" t="n">
        <v>-2</v>
      </c>
      <c r="K1415" s="9" t="n">
        <f aca="false">I1415+J1415</f>
        <v>45564</v>
      </c>
      <c r="L1415" s="5" t="n">
        <v>5</v>
      </c>
      <c r="M1415" s="10" t="n">
        <f aca="false">INDEX(Dim_Supplier!$F$2:$F$21,MATCH(B1415,Dim_Supplier!$A$2:$A$21,0))</f>
        <v>95</v>
      </c>
      <c r="N1415" s="11" t="n">
        <v>0.0104</v>
      </c>
      <c r="O1415" s="10" t="n">
        <f aca="false">M1415*(1+N1415)</f>
        <v>95.988</v>
      </c>
      <c r="P1415" s="10" t="n">
        <f aca="false">O1415*L1415</f>
        <v>479.94</v>
      </c>
      <c r="Q1415" s="5" t="s">
        <v>113</v>
      </c>
      <c r="R1415" s="5" t="n">
        <v>0</v>
      </c>
      <c r="S1415" s="5" t="n">
        <v>45</v>
      </c>
      <c r="T1415" s="12" t="n">
        <f aca="false">(O1415-M1415)/M1415</f>
        <v>0.0104</v>
      </c>
      <c r="U1415" s="8" t="n">
        <f aca="false">IF(AND(K1415&lt;=I1415,R1415=0),1,0)</f>
        <v>1</v>
      </c>
      <c r="V1415" s="10" t="n">
        <f aca="false">IF(Q1415="No",P1415,0)</f>
        <v>0</v>
      </c>
    </row>
    <row r="1416" customFormat="false" ht="15" hidden="false" customHeight="false" outlineLevel="0" collapsed="false">
      <c r="A1416" s="5" t="s">
        <v>1550</v>
      </c>
      <c r="B1416" s="5" t="s">
        <v>52</v>
      </c>
      <c r="C1416" s="7" t="n">
        <v>45696</v>
      </c>
      <c r="D1416" s="8" t="str">
        <f aca="false">INDEX(Dim_Supplier!$C$2:$C$21,MATCH(B1416,Dim_Supplier!$A$2:$A$21,0))</f>
        <v>Raw Materials</v>
      </c>
      <c r="E1416" s="8" t="str">
        <f aca="false">INDEX(Dim_Supplier!$B$2:$B$21,MATCH(B1416,Dim_Supplier!$A$2:$A$21,0))</f>
        <v>Laurentian Metals Inc.</v>
      </c>
      <c r="F1416" s="5" t="s">
        <v>144</v>
      </c>
      <c r="G1416" s="5" t="s">
        <v>120</v>
      </c>
      <c r="H1416" s="8" t="n">
        <f aca="false">INDEX(Lookup_Tables!$B$2:$B$5,MATCH(D1416,Lookup_Tables!$A$2:$A$5,0))</f>
        <v>21</v>
      </c>
      <c r="I1416" s="9" t="n">
        <f aca="false">C1416+H1416</f>
        <v>45717</v>
      </c>
      <c r="J1416" s="5" t="n">
        <v>-4</v>
      </c>
      <c r="K1416" s="9" t="n">
        <f aca="false">I1416+J1416</f>
        <v>45713</v>
      </c>
      <c r="L1416" s="5" t="n">
        <v>684</v>
      </c>
      <c r="M1416" s="10" t="n">
        <f aca="false">INDEX(Dim_Supplier!$F$2:$F$21,MATCH(B1416,Dim_Supplier!$A$2:$A$21,0))</f>
        <v>61.2</v>
      </c>
      <c r="N1416" s="11" t="n">
        <v>0.0058</v>
      </c>
      <c r="O1416" s="10" t="n">
        <f aca="false">M1416*(1+N1416)</f>
        <v>61.55496</v>
      </c>
      <c r="P1416" s="10" t="n">
        <f aca="false">O1416*L1416</f>
        <v>42103.59264</v>
      </c>
      <c r="Q1416" s="5" t="s">
        <v>113</v>
      </c>
      <c r="R1416" s="5" t="n">
        <v>0</v>
      </c>
      <c r="S1416" s="5" t="n">
        <v>30</v>
      </c>
      <c r="T1416" s="12" t="n">
        <f aca="false">(O1416-M1416)/M1416</f>
        <v>0.00579999999999997</v>
      </c>
      <c r="U1416" s="8" t="n">
        <f aca="false">IF(AND(K1416&lt;=I1416,R1416=0),1,0)</f>
        <v>1</v>
      </c>
      <c r="V1416" s="10" t="n">
        <f aca="false">IF(Q1416="No",P1416,0)</f>
        <v>0</v>
      </c>
    </row>
    <row r="1417" customFormat="false" ht="15" hidden="false" customHeight="false" outlineLevel="0" collapsed="false">
      <c r="A1417" s="5" t="s">
        <v>1551</v>
      </c>
      <c r="B1417" s="5" t="s">
        <v>52</v>
      </c>
      <c r="C1417" s="7" t="n">
        <v>45299</v>
      </c>
      <c r="D1417" s="8" t="str">
        <f aca="false">INDEX(Dim_Supplier!$C$2:$C$21,MATCH(B1417,Dim_Supplier!$A$2:$A$21,0))</f>
        <v>Raw Materials</v>
      </c>
      <c r="E1417" s="8" t="str">
        <f aca="false">INDEX(Dim_Supplier!$B$2:$B$21,MATCH(B1417,Dim_Supplier!$A$2:$A$21,0))</f>
        <v>Laurentian Metals Inc.</v>
      </c>
      <c r="F1417" s="5" t="s">
        <v>139</v>
      </c>
      <c r="G1417" s="5" t="s">
        <v>120</v>
      </c>
      <c r="H1417" s="8" t="n">
        <f aca="false">INDEX(Lookup_Tables!$B$2:$B$5,MATCH(D1417,Lookup_Tables!$A$2:$A$5,0))</f>
        <v>21</v>
      </c>
      <c r="I1417" s="9" t="n">
        <f aca="false">C1417+H1417</f>
        <v>45320</v>
      </c>
      <c r="J1417" s="5" t="n">
        <v>-3</v>
      </c>
      <c r="K1417" s="9" t="n">
        <f aca="false">I1417+J1417</f>
        <v>45317</v>
      </c>
      <c r="L1417" s="5" t="n">
        <v>228</v>
      </c>
      <c r="M1417" s="10" t="n">
        <f aca="false">INDEX(Dim_Supplier!$F$2:$F$21,MATCH(B1417,Dim_Supplier!$A$2:$A$21,0))</f>
        <v>61.2</v>
      </c>
      <c r="N1417" s="11" t="n">
        <v>0.0127</v>
      </c>
      <c r="O1417" s="10" t="n">
        <f aca="false">M1417*(1+N1417)</f>
        <v>61.97724</v>
      </c>
      <c r="P1417" s="10" t="n">
        <f aca="false">O1417*L1417</f>
        <v>14130.81072</v>
      </c>
      <c r="Q1417" s="5" t="s">
        <v>113</v>
      </c>
      <c r="R1417" s="5" t="n">
        <v>0</v>
      </c>
      <c r="S1417" s="5" t="n">
        <v>30</v>
      </c>
      <c r="T1417" s="12" t="n">
        <f aca="false">(O1417-M1417)/M1417</f>
        <v>0.0127</v>
      </c>
      <c r="U1417" s="8" t="n">
        <f aca="false">IF(AND(K1417&lt;=I1417,R1417=0),1,0)</f>
        <v>1</v>
      </c>
      <c r="V1417" s="10" t="n">
        <f aca="false">IF(Q1417="No",P1417,0)</f>
        <v>0</v>
      </c>
    </row>
    <row r="1418" customFormat="false" ht="15" hidden="false" customHeight="false" outlineLevel="0" collapsed="false">
      <c r="A1418" s="5" t="s">
        <v>1552</v>
      </c>
      <c r="B1418" s="5" t="s">
        <v>79</v>
      </c>
      <c r="C1418" s="7" t="n">
        <v>45732</v>
      </c>
      <c r="D1418" s="8" t="str">
        <f aca="false">INDEX(Dim_Supplier!$C$2:$C$21,MATCH(B1418,Dim_Supplier!$A$2:$A$21,0))</f>
        <v>Logistics</v>
      </c>
      <c r="E1418" s="8" t="str">
        <f aca="false">INDEX(Dim_Supplier!$B$2:$B$21,MATCH(B1418,Dim_Supplier!$A$2:$A$21,0))</f>
        <v>Niagara Freight Solutions</v>
      </c>
      <c r="F1418" s="5" t="s">
        <v>124</v>
      </c>
      <c r="G1418" s="5" t="s">
        <v>125</v>
      </c>
      <c r="H1418" s="8" t="n">
        <f aca="false">INDEX(Lookup_Tables!$B$2:$B$5,MATCH(D1418,Lookup_Tables!$A$2:$A$5,0))</f>
        <v>5</v>
      </c>
      <c r="I1418" s="9" t="n">
        <f aca="false">C1418+H1418</f>
        <v>45737</v>
      </c>
      <c r="J1418" s="5" t="n">
        <v>1</v>
      </c>
      <c r="K1418" s="9" t="n">
        <f aca="false">I1418+J1418</f>
        <v>45738</v>
      </c>
      <c r="L1418" s="5" t="n">
        <v>6</v>
      </c>
      <c r="M1418" s="10" t="n">
        <f aca="false">INDEX(Dim_Supplier!$F$2:$F$21,MATCH(B1418,Dim_Supplier!$A$2:$A$21,0))</f>
        <v>340</v>
      </c>
      <c r="N1418" s="11" t="n">
        <v>0.0125</v>
      </c>
      <c r="O1418" s="10" t="n">
        <f aca="false">M1418*(1+N1418)</f>
        <v>344.25</v>
      </c>
      <c r="P1418" s="10" t="n">
        <f aca="false">O1418*L1418</f>
        <v>2065.5</v>
      </c>
      <c r="Q1418" s="5" t="s">
        <v>113</v>
      </c>
      <c r="R1418" s="5" t="n">
        <v>0</v>
      </c>
      <c r="S1418" s="5" t="n">
        <v>60</v>
      </c>
      <c r="T1418" s="12" t="n">
        <f aca="false">(O1418-M1418)/M1418</f>
        <v>0.0125</v>
      </c>
      <c r="U1418" s="8" t="n">
        <f aca="false">IF(AND(K1418&lt;=I1418,R1418=0),1,0)</f>
        <v>0</v>
      </c>
      <c r="V1418" s="10" t="n">
        <f aca="false">IF(Q1418="No",P1418,0)</f>
        <v>0</v>
      </c>
    </row>
    <row r="1419" customFormat="false" ht="15" hidden="false" customHeight="false" outlineLevel="0" collapsed="false">
      <c r="A1419" s="5" t="s">
        <v>1553</v>
      </c>
      <c r="B1419" s="5" t="s">
        <v>75</v>
      </c>
      <c r="C1419" s="7" t="n">
        <v>45912</v>
      </c>
      <c r="D1419" s="8" t="str">
        <f aca="false">INDEX(Dim_Supplier!$C$2:$C$21,MATCH(B1419,Dim_Supplier!$A$2:$A$21,0))</f>
        <v>MRO</v>
      </c>
      <c r="E1419" s="8" t="str">
        <f aca="false">INDEX(Dim_Supplier!$B$2:$B$21,MATCH(B1419,Dim_Supplier!$A$2:$A$21,0))</f>
        <v>Sterling Lubricants Inc.</v>
      </c>
      <c r="F1419" s="5" t="s">
        <v>127</v>
      </c>
      <c r="G1419" s="5" t="s">
        <v>120</v>
      </c>
      <c r="H1419" s="8" t="n">
        <f aca="false">INDEX(Lookup_Tables!$B$2:$B$5,MATCH(D1419,Lookup_Tables!$A$2:$A$5,0))</f>
        <v>10</v>
      </c>
      <c r="I1419" s="9" t="n">
        <f aca="false">C1419+H1419</f>
        <v>45922</v>
      </c>
      <c r="J1419" s="5" t="n">
        <v>-3</v>
      </c>
      <c r="K1419" s="9" t="n">
        <f aca="false">I1419+J1419</f>
        <v>45919</v>
      </c>
      <c r="L1419" s="5" t="n">
        <v>96</v>
      </c>
      <c r="M1419" s="10" t="n">
        <f aca="false">INDEX(Dim_Supplier!$F$2:$F$21,MATCH(B1419,Dim_Supplier!$A$2:$A$21,0))</f>
        <v>27.1</v>
      </c>
      <c r="N1419" s="11" t="n">
        <v>0.0026</v>
      </c>
      <c r="O1419" s="10" t="n">
        <f aca="false">M1419*(1+N1419)</f>
        <v>27.17046</v>
      </c>
      <c r="P1419" s="10" t="n">
        <f aca="false">O1419*L1419</f>
        <v>2608.36416</v>
      </c>
      <c r="Q1419" s="5" t="s">
        <v>113</v>
      </c>
      <c r="R1419" s="5" t="n">
        <v>0</v>
      </c>
      <c r="S1419" s="5" t="n">
        <v>30</v>
      </c>
      <c r="T1419" s="12" t="n">
        <f aca="false">(O1419-M1419)/M1419</f>
        <v>0.00259999999999989</v>
      </c>
      <c r="U1419" s="8" t="n">
        <f aca="false">IF(AND(K1419&lt;=I1419,R1419=0),1,0)</f>
        <v>1</v>
      </c>
      <c r="V1419" s="10" t="n">
        <f aca="false">IF(Q1419="No",P1419,0)</f>
        <v>0</v>
      </c>
    </row>
    <row r="1420" customFormat="false" ht="15" hidden="false" customHeight="false" outlineLevel="0" collapsed="false">
      <c r="A1420" s="5" t="s">
        <v>1554</v>
      </c>
      <c r="B1420" s="5" t="s">
        <v>79</v>
      </c>
      <c r="C1420" s="7" t="n">
        <v>45612</v>
      </c>
      <c r="D1420" s="8" t="str">
        <f aca="false">INDEX(Dim_Supplier!$C$2:$C$21,MATCH(B1420,Dim_Supplier!$A$2:$A$21,0))</f>
        <v>Logistics</v>
      </c>
      <c r="E1420" s="8" t="str">
        <f aca="false">INDEX(Dim_Supplier!$B$2:$B$21,MATCH(B1420,Dim_Supplier!$A$2:$A$21,0))</f>
        <v>Niagara Freight Solutions</v>
      </c>
      <c r="F1420" s="5" t="s">
        <v>185</v>
      </c>
      <c r="G1420" s="5" t="s">
        <v>112</v>
      </c>
      <c r="H1420" s="8" t="n">
        <f aca="false">INDEX(Lookup_Tables!$B$2:$B$5,MATCH(D1420,Lookup_Tables!$A$2:$A$5,0))</f>
        <v>5</v>
      </c>
      <c r="I1420" s="9" t="n">
        <f aca="false">C1420+H1420</f>
        <v>45617</v>
      </c>
      <c r="J1420" s="5" t="n">
        <v>-2</v>
      </c>
      <c r="K1420" s="9" t="n">
        <f aca="false">I1420+J1420</f>
        <v>45615</v>
      </c>
      <c r="L1420" s="5" t="n">
        <v>45</v>
      </c>
      <c r="M1420" s="10" t="n">
        <f aca="false">INDEX(Dim_Supplier!$F$2:$F$21,MATCH(B1420,Dim_Supplier!$A$2:$A$21,0))</f>
        <v>340</v>
      </c>
      <c r="N1420" s="11" t="n">
        <v>0.0221</v>
      </c>
      <c r="O1420" s="10" t="n">
        <f aca="false">M1420*(1+N1420)</f>
        <v>347.514</v>
      </c>
      <c r="P1420" s="10" t="n">
        <f aca="false">O1420*L1420</f>
        <v>15638.13</v>
      </c>
      <c r="Q1420" s="5" t="s">
        <v>113</v>
      </c>
      <c r="R1420" s="5" t="n">
        <v>0</v>
      </c>
      <c r="S1420" s="5" t="n">
        <v>30</v>
      </c>
      <c r="T1420" s="12" t="n">
        <f aca="false">(O1420-M1420)/M1420</f>
        <v>0.0221</v>
      </c>
      <c r="U1420" s="8" t="n">
        <f aca="false">IF(AND(K1420&lt;=I1420,R1420=0),1,0)</f>
        <v>1</v>
      </c>
      <c r="V1420" s="10" t="n">
        <f aca="false">IF(Q1420="No",P1420,0)</f>
        <v>0</v>
      </c>
    </row>
    <row r="1421" customFormat="false" ht="15" hidden="false" customHeight="false" outlineLevel="0" collapsed="false">
      <c r="A1421" s="5" t="s">
        <v>1555</v>
      </c>
      <c r="B1421" s="5" t="s">
        <v>86</v>
      </c>
      <c r="C1421" s="7" t="n">
        <v>46158</v>
      </c>
      <c r="D1421" s="8" t="str">
        <f aca="false">INDEX(Dim_Supplier!$C$2:$C$21,MATCH(B1421,Dim_Supplier!$A$2:$A$21,0))</f>
        <v>Logistics</v>
      </c>
      <c r="E1421" s="8" t="str">
        <f aca="false">INDEX(Dim_Supplier!$B$2:$B$21,MATCH(B1421,Dim_Supplier!$A$2:$A$21,0))</f>
        <v>Blue Water Customs Brokerage</v>
      </c>
      <c r="F1421" s="5" t="s">
        <v>237</v>
      </c>
      <c r="G1421" s="5" t="s">
        <v>125</v>
      </c>
      <c r="H1421" s="8" t="n">
        <f aca="false">INDEX(Lookup_Tables!$B$2:$B$5,MATCH(D1421,Lookup_Tables!$A$2:$A$5,0))</f>
        <v>5</v>
      </c>
      <c r="I1421" s="9" t="n">
        <f aca="false">C1421+H1421</f>
        <v>46163</v>
      </c>
      <c r="J1421" s="5" t="n">
        <v>0</v>
      </c>
      <c r="K1421" s="9" t="n">
        <f aca="false">I1421+J1421</f>
        <v>46163</v>
      </c>
      <c r="L1421" s="5" t="n">
        <v>10</v>
      </c>
      <c r="M1421" s="10" t="n">
        <f aca="false">INDEX(Dim_Supplier!$F$2:$F$21,MATCH(B1421,Dim_Supplier!$A$2:$A$21,0))</f>
        <v>175</v>
      </c>
      <c r="N1421" s="11" t="n">
        <v>-0.0064</v>
      </c>
      <c r="O1421" s="10" t="n">
        <f aca="false">M1421*(1+N1421)</f>
        <v>173.88</v>
      </c>
      <c r="P1421" s="10" t="n">
        <f aca="false">O1421*L1421</f>
        <v>1738.8</v>
      </c>
      <c r="Q1421" s="5" t="s">
        <v>113</v>
      </c>
      <c r="R1421" s="5" t="n">
        <v>0</v>
      </c>
      <c r="S1421" s="5" t="n">
        <v>30</v>
      </c>
      <c r="T1421" s="12" t="n">
        <f aca="false">(O1421-M1421)/M1421</f>
        <v>-0.00640000000000003</v>
      </c>
      <c r="U1421" s="8" t="n">
        <f aca="false">IF(AND(K1421&lt;=I1421,R1421=0),1,0)</f>
        <v>1</v>
      </c>
      <c r="V1421" s="10" t="n">
        <f aca="false">IF(Q1421="No",P1421,0)</f>
        <v>0</v>
      </c>
    </row>
    <row r="1422" customFormat="false" ht="15" hidden="false" customHeight="false" outlineLevel="0" collapsed="false">
      <c r="A1422" s="5" t="s">
        <v>1556</v>
      </c>
      <c r="B1422" s="5" t="s">
        <v>41</v>
      </c>
      <c r="C1422" s="7" t="n">
        <v>45434</v>
      </c>
      <c r="D1422" s="8" t="str">
        <f aca="false">INDEX(Dim_Supplier!$C$2:$C$21,MATCH(B1422,Dim_Supplier!$A$2:$A$21,0))</f>
        <v>Raw Materials</v>
      </c>
      <c r="E1422" s="8" t="str">
        <f aca="false">INDEX(Dim_Supplier!$B$2:$B$21,MATCH(B1422,Dim_Supplier!$A$2:$A$21,0))</f>
        <v>Ontario Steel Partners</v>
      </c>
      <c r="F1422" s="5" t="s">
        <v>139</v>
      </c>
      <c r="G1422" s="5" t="s">
        <v>125</v>
      </c>
      <c r="H1422" s="8" t="n">
        <f aca="false">INDEX(Lookup_Tables!$B$2:$B$5,MATCH(D1422,Lookup_Tables!$A$2:$A$5,0))</f>
        <v>21</v>
      </c>
      <c r="I1422" s="9" t="n">
        <f aca="false">C1422+H1422</f>
        <v>45455</v>
      </c>
      <c r="J1422" s="5" t="n">
        <v>0</v>
      </c>
      <c r="K1422" s="9" t="n">
        <f aca="false">I1422+J1422</f>
        <v>45455</v>
      </c>
      <c r="L1422" s="5" t="n">
        <v>918</v>
      </c>
      <c r="M1422" s="10" t="n">
        <f aca="false">INDEX(Dim_Supplier!$F$2:$F$21,MATCH(B1422,Dim_Supplier!$A$2:$A$21,0))</f>
        <v>58</v>
      </c>
      <c r="N1422" s="11" t="n">
        <v>0.0082</v>
      </c>
      <c r="O1422" s="10" t="n">
        <f aca="false">M1422*(1+N1422)</f>
        <v>58.4756</v>
      </c>
      <c r="P1422" s="10" t="n">
        <f aca="false">O1422*L1422</f>
        <v>53680.6008</v>
      </c>
      <c r="Q1422" s="5" t="s">
        <v>113</v>
      </c>
      <c r="R1422" s="5" t="n">
        <v>0</v>
      </c>
      <c r="S1422" s="5" t="n">
        <v>60</v>
      </c>
      <c r="T1422" s="12" t="n">
        <f aca="false">(O1422-M1422)/M1422</f>
        <v>0.0082</v>
      </c>
      <c r="U1422" s="8" t="n">
        <f aca="false">IF(AND(K1422&lt;=I1422,R1422=0),1,0)</f>
        <v>1</v>
      </c>
      <c r="V1422" s="10" t="n">
        <f aca="false">IF(Q1422="No",P1422,0)</f>
        <v>0</v>
      </c>
    </row>
    <row r="1423" customFormat="false" ht="15" hidden="false" customHeight="false" outlineLevel="0" collapsed="false">
      <c r="A1423" s="5" t="s">
        <v>1557</v>
      </c>
      <c r="B1423" s="5" t="s">
        <v>86</v>
      </c>
      <c r="C1423" s="7" t="n">
        <v>45446</v>
      </c>
      <c r="D1423" s="8" t="str">
        <f aca="false">INDEX(Dim_Supplier!$C$2:$C$21,MATCH(B1423,Dim_Supplier!$A$2:$A$21,0))</f>
        <v>Logistics</v>
      </c>
      <c r="E1423" s="8" t="str">
        <f aca="false">INDEX(Dim_Supplier!$B$2:$B$21,MATCH(B1423,Dim_Supplier!$A$2:$A$21,0))</f>
        <v>Blue Water Customs Brokerage</v>
      </c>
      <c r="F1423" s="5" t="s">
        <v>185</v>
      </c>
      <c r="G1423" s="5" t="s">
        <v>112</v>
      </c>
      <c r="H1423" s="8" t="n">
        <f aca="false">INDEX(Lookup_Tables!$B$2:$B$5,MATCH(D1423,Lookup_Tables!$A$2:$A$5,0))</f>
        <v>5</v>
      </c>
      <c r="I1423" s="9" t="n">
        <f aca="false">C1423+H1423</f>
        <v>45451</v>
      </c>
      <c r="J1423" s="5" t="n">
        <v>-2</v>
      </c>
      <c r="K1423" s="9" t="n">
        <f aca="false">I1423+J1423</f>
        <v>45449</v>
      </c>
      <c r="L1423" s="5" t="n">
        <v>31</v>
      </c>
      <c r="M1423" s="10" t="n">
        <f aca="false">INDEX(Dim_Supplier!$F$2:$F$21,MATCH(B1423,Dim_Supplier!$A$2:$A$21,0))</f>
        <v>175</v>
      </c>
      <c r="N1423" s="11" t="n">
        <v>0.0136</v>
      </c>
      <c r="O1423" s="10" t="n">
        <f aca="false">M1423*(1+N1423)</f>
        <v>177.38</v>
      </c>
      <c r="P1423" s="10" t="n">
        <f aca="false">O1423*L1423</f>
        <v>5498.78</v>
      </c>
      <c r="Q1423" s="5" t="s">
        <v>113</v>
      </c>
      <c r="R1423" s="5" t="n">
        <v>0</v>
      </c>
      <c r="S1423" s="5" t="n">
        <v>30</v>
      </c>
      <c r="T1423" s="12" t="n">
        <f aca="false">(O1423-M1423)/M1423</f>
        <v>0.0136000000000001</v>
      </c>
      <c r="U1423" s="8" t="n">
        <f aca="false">IF(AND(K1423&lt;=I1423,R1423=0),1,0)</f>
        <v>1</v>
      </c>
      <c r="V1423" s="10" t="n">
        <f aca="false">IF(Q1423="No",P1423,0)</f>
        <v>0</v>
      </c>
    </row>
    <row r="1424" customFormat="false" ht="15" hidden="false" customHeight="false" outlineLevel="0" collapsed="false">
      <c r="A1424" s="5" t="s">
        <v>1558</v>
      </c>
      <c r="B1424" s="5" t="s">
        <v>60</v>
      </c>
      <c r="C1424" s="7" t="n">
        <v>45602</v>
      </c>
      <c r="D1424" s="8" t="str">
        <f aca="false">INDEX(Dim_Supplier!$C$2:$C$21,MATCH(B1424,Dim_Supplier!$A$2:$A$21,0))</f>
        <v>Packaging</v>
      </c>
      <c r="E1424" s="8" t="str">
        <f aca="false">INDEX(Dim_Supplier!$B$2:$B$21,MATCH(B1424,Dim_Supplier!$A$2:$A$21,0))</f>
        <v>Maple Leaf Box &amp; Crate</v>
      </c>
      <c r="F1424" s="5" t="s">
        <v>122</v>
      </c>
      <c r="G1424" s="5" t="s">
        <v>120</v>
      </c>
      <c r="H1424" s="8" t="n">
        <f aca="false">INDEX(Lookup_Tables!$B$2:$B$5,MATCH(D1424,Lookup_Tables!$A$2:$A$5,0))</f>
        <v>14</v>
      </c>
      <c r="I1424" s="9" t="n">
        <f aca="false">C1424+H1424</f>
        <v>45616</v>
      </c>
      <c r="J1424" s="5" t="n">
        <v>-1</v>
      </c>
      <c r="K1424" s="9" t="n">
        <f aca="false">I1424+J1424</f>
        <v>45615</v>
      </c>
      <c r="L1424" s="5" t="n">
        <v>4588</v>
      </c>
      <c r="M1424" s="10" t="n">
        <f aca="false">INDEX(Dim_Supplier!$F$2:$F$21,MATCH(B1424,Dim_Supplier!$A$2:$A$21,0))</f>
        <v>3.1</v>
      </c>
      <c r="N1424" s="11" t="n">
        <v>0.0629</v>
      </c>
      <c r="O1424" s="10" t="n">
        <f aca="false">M1424*(1+N1424)</f>
        <v>3.29499</v>
      </c>
      <c r="P1424" s="10" t="n">
        <f aca="false">O1424*L1424</f>
        <v>15117.41412</v>
      </c>
      <c r="Q1424" s="5" t="s">
        <v>113</v>
      </c>
      <c r="R1424" s="5" t="n">
        <v>0</v>
      </c>
      <c r="S1424" s="5" t="n">
        <v>30</v>
      </c>
      <c r="T1424" s="12" t="n">
        <f aca="false">(O1424-M1424)/M1424</f>
        <v>0.0628999999999999</v>
      </c>
      <c r="U1424" s="8" t="n">
        <f aca="false">IF(AND(K1424&lt;=I1424,R1424=0),1,0)</f>
        <v>1</v>
      </c>
      <c r="V1424" s="10" t="n">
        <f aca="false">IF(Q1424="No",P1424,0)</f>
        <v>0</v>
      </c>
    </row>
    <row r="1425" customFormat="false" ht="15" hidden="false" customHeight="false" outlineLevel="0" collapsed="false">
      <c r="A1425" s="5" t="s">
        <v>1559</v>
      </c>
      <c r="B1425" s="5" t="s">
        <v>88</v>
      </c>
      <c r="C1425" s="7" t="n">
        <v>45353</v>
      </c>
      <c r="D1425" s="8" t="str">
        <f aca="false">INDEX(Dim_Supplier!$C$2:$C$21,MATCH(B1425,Dim_Supplier!$A$2:$A$21,0))</f>
        <v>Logistics</v>
      </c>
      <c r="E1425" s="8" t="str">
        <f aca="false">INDEX(Dim_Supplier!$B$2:$B$21,MATCH(B1425,Dim_Supplier!$A$2:$A$21,0))</f>
        <v>Summit Last-Mile Delivery</v>
      </c>
      <c r="F1425" s="5" t="s">
        <v>146</v>
      </c>
      <c r="G1425" s="5" t="s">
        <v>129</v>
      </c>
      <c r="H1425" s="8" t="n">
        <f aca="false">INDEX(Lookup_Tables!$B$2:$B$5,MATCH(D1425,Lookup_Tables!$A$2:$A$5,0))</f>
        <v>5</v>
      </c>
      <c r="I1425" s="9" t="n">
        <f aca="false">C1425+H1425</f>
        <v>45358</v>
      </c>
      <c r="J1425" s="5" t="n">
        <v>1</v>
      </c>
      <c r="K1425" s="9" t="n">
        <f aca="false">I1425+J1425</f>
        <v>45359</v>
      </c>
      <c r="L1425" s="5" t="n">
        <v>31</v>
      </c>
      <c r="M1425" s="10" t="n">
        <f aca="false">INDEX(Dim_Supplier!$F$2:$F$21,MATCH(B1425,Dim_Supplier!$A$2:$A$21,0))</f>
        <v>95</v>
      </c>
      <c r="N1425" s="11" t="n">
        <v>0.0472</v>
      </c>
      <c r="O1425" s="10" t="n">
        <f aca="false">M1425*(1+N1425)</f>
        <v>99.484</v>
      </c>
      <c r="P1425" s="10" t="n">
        <f aca="false">O1425*L1425</f>
        <v>3084.004</v>
      </c>
      <c r="Q1425" s="5" t="s">
        <v>113</v>
      </c>
      <c r="R1425" s="5" t="n">
        <v>0</v>
      </c>
      <c r="S1425" s="5" t="n">
        <v>45</v>
      </c>
      <c r="T1425" s="12" t="n">
        <f aca="false">(O1425-M1425)/M1425</f>
        <v>0.0471999999999999</v>
      </c>
      <c r="U1425" s="8" t="n">
        <f aca="false">IF(AND(K1425&lt;=I1425,R1425=0),1,0)</f>
        <v>0</v>
      </c>
      <c r="V1425" s="10" t="n">
        <f aca="false">IF(Q1425="No",P1425,0)</f>
        <v>0</v>
      </c>
    </row>
    <row r="1426" customFormat="false" ht="15" hidden="false" customHeight="false" outlineLevel="0" collapsed="false">
      <c r="A1426" s="5" t="s">
        <v>1560</v>
      </c>
      <c r="B1426" s="5" t="s">
        <v>66</v>
      </c>
      <c r="C1426" s="7" t="n">
        <v>45513</v>
      </c>
      <c r="D1426" s="8" t="str">
        <f aca="false">INDEX(Dim_Supplier!$C$2:$C$21,MATCH(B1426,Dim_Supplier!$A$2:$A$21,0))</f>
        <v>Packaging</v>
      </c>
      <c r="E1426" s="8" t="str">
        <f aca="false">INDEX(Dim_Supplier!$B$2:$B$21,MATCH(B1426,Dim_Supplier!$A$2:$A$21,0))</f>
        <v>EverGreen Wrap Industries</v>
      </c>
      <c r="F1426" s="5" t="s">
        <v>137</v>
      </c>
      <c r="G1426" s="5" t="s">
        <v>125</v>
      </c>
      <c r="H1426" s="8" t="n">
        <f aca="false">INDEX(Lookup_Tables!$B$2:$B$5,MATCH(D1426,Lookup_Tables!$A$2:$A$5,0))</f>
        <v>14</v>
      </c>
      <c r="I1426" s="9" t="n">
        <f aca="false">C1426+H1426</f>
        <v>45527</v>
      </c>
      <c r="J1426" s="5" t="n">
        <v>1</v>
      </c>
      <c r="K1426" s="9" t="n">
        <f aca="false">I1426+J1426</f>
        <v>45528</v>
      </c>
      <c r="L1426" s="5" t="n">
        <v>1799</v>
      </c>
      <c r="M1426" s="10" t="n">
        <f aca="false">INDEX(Dim_Supplier!$F$2:$F$21,MATCH(B1426,Dim_Supplier!$A$2:$A$21,0))</f>
        <v>6.8</v>
      </c>
      <c r="N1426" s="11" t="n">
        <v>0.0614</v>
      </c>
      <c r="O1426" s="10" t="n">
        <f aca="false">M1426*(1+N1426)</f>
        <v>7.21752</v>
      </c>
      <c r="P1426" s="10" t="n">
        <f aca="false">O1426*L1426</f>
        <v>12984.31848</v>
      </c>
      <c r="Q1426" s="5" t="s">
        <v>113</v>
      </c>
      <c r="R1426" s="5" t="n">
        <v>0</v>
      </c>
      <c r="S1426" s="5" t="n">
        <v>45</v>
      </c>
      <c r="T1426" s="12" t="n">
        <f aca="false">(O1426-M1426)/M1426</f>
        <v>0.0614</v>
      </c>
      <c r="U1426" s="8" t="n">
        <f aca="false">IF(AND(K1426&lt;=I1426,R1426=0),1,0)</f>
        <v>0</v>
      </c>
      <c r="V1426" s="10" t="n">
        <f aca="false">IF(Q1426="No",P1426,0)</f>
        <v>0</v>
      </c>
    </row>
    <row r="1427" customFormat="false" ht="15" hidden="false" customHeight="false" outlineLevel="0" collapsed="false">
      <c r="A1427" s="5" t="s">
        <v>1561</v>
      </c>
      <c r="B1427" s="5" t="s">
        <v>71</v>
      </c>
      <c r="C1427" s="7" t="n">
        <v>45905</v>
      </c>
      <c r="D1427" s="8" t="str">
        <f aca="false">INDEX(Dim_Supplier!$C$2:$C$21,MATCH(B1427,Dim_Supplier!$A$2:$A$21,0))</f>
        <v>MRO</v>
      </c>
      <c r="E1427" s="8" t="str">
        <f aca="false">INDEX(Dim_Supplier!$B$2:$B$21,MATCH(B1427,Dim_Supplier!$A$2:$A$21,0))</f>
        <v>CanSafe Equipment Ltd.</v>
      </c>
      <c r="F1427" s="5" t="s">
        <v>164</v>
      </c>
      <c r="G1427" s="5" t="s">
        <v>120</v>
      </c>
      <c r="H1427" s="8" t="n">
        <f aca="false">INDEX(Lookup_Tables!$B$2:$B$5,MATCH(D1427,Lookup_Tables!$A$2:$A$5,0))</f>
        <v>10</v>
      </c>
      <c r="I1427" s="9" t="n">
        <f aca="false">C1427+H1427</f>
        <v>45915</v>
      </c>
      <c r="J1427" s="5" t="n">
        <v>-2</v>
      </c>
      <c r="K1427" s="9" t="n">
        <f aca="false">I1427+J1427</f>
        <v>45913</v>
      </c>
      <c r="L1427" s="5" t="n">
        <v>181</v>
      </c>
      <c r="M1427" s="10" t="n">
        <f aca="false">INDEX(Dim_Supplier!$F$2:$F$21,MATCH(B1427,Dim_Supplier!$A$2:$A$21,0))</f>
        <v>18.75</v>
      </c>
      <c r="N1427" s="11" t="n">
        <v>0.0463</v>
      </c>
      <c r="O1427" s="10" t="n">
        <f aca="false">M1427*(1+N1427)</f>
        <v>19.618125</v>
      </c>
      <c r="P1427" s="10" t="n">
        <f aca="false">O1427*L1427</f>
        <v>3550.880625</v>
      </c>
      <c r="Q1427" s="5" t="s">
        <v>133</v>
      </c>
      <c r="R1427" s="5" t="n">
        <v>0</v>
      </c>
      <c r="S1427" s="5" t="n">
        <v>60</v>
      </c>
      <c r="T1427" s="12" t="n">
        <f aca="false">(O1427-M1427)/M1427</f>
        <v>0.0463</v>
      </c>
      <c r="U1427" s="8" t="n">
        <f aca="false">IF(AND(K1427&lt;=I1427,R1427=0),1,0)</f>
        <v>1</v>
      </c>
      <c r="V1427" s="10" t="n">
        <f aca="false">IF(Q1427="No",P1427,0)</f>
        <v>3550.880625</v>
      </c>
    </row>
    <row r="1428" customFormat="false" ht="15" hidden="false" customHeight="false" outlineLevel="0" collapsed="false">
      <c r="A1428" s="5" t="s">
        <v>1562</v>
      </c>
      <c r="B1428" s="5" t="s">
        <v>41</v>
      </c>
      <c r="C1428" s="7" t="n">
        <v>45749</v>
      </c>
      <c r="D1428" s="8" t="str">
        <f aca="false">INDEX(Dim_Supplier!$C$2:$C$21,MATCH(B1428,Dim_Supplier!$A$2:$A$21,0))</f>
        <v>Raw Materials</v>
      </c>
      <c r="E1428" s="8" t="str">
        <f aca="false">INDEX(Dim_Supplier!$B$2:$B$21,MATCH(B1428,Dim_Supplier!$A$2:$A$21,0))</f>
        <v>Ontario Steel Partners</v>
      </c>
      <c r="F1428" s="5" t="s">
        <v>139</v>
      </c>
      <c r="G1428" s="5" t="s">
        <v>125</v>
      </c>
      <c r="H1428" s="8" t="n">
        <f aca="false">INDEX(Lookup_Tables!$B$2:$B$5,MATCH(D1428,Lookup_Tables!$A$2:$A$5,0))</f>
        <v>21</v>
      </c>
      <c r="I1428" s="9" t="n">
        <f aca="false">C1428+H1428</f>
        <v>45770</v>
      </c>
      <c r="J1428" s="5" t="n">
        <v>-3</v>
      </c>
      <c r="K1428" s="9" t="n">
        <f aca="false">I1428+J1428</f>
        <v>45767</v>
      </c>
      <c r="L1428" s="5" t="n">
        <v>1509</v>
      </c>
      <c r="M1428" s="10" t="n">
        <f aca="false">INDEX(Dim_Supplier!$F$2:$F$21,MATCH(B1428,Dim_Supplier!$A$2:$A$21,0))</f>
        <v>58</v>
      </c>
      <c r="N1428" s="11" t="n">
        <v>0.0581</v>
      </c>
      <c r="O1428" s="10" t="n">
        <f aca="false">M1428*(1+N1428)</f>
        <v>61.3698</v>
      </c>
      <c r="P1428" s="10" t="n">
        <f aca="false">O1428*L1428</f>
        <v>92607.0282</v>
      </c>
      <c r="Q1428" s="5" t="s">
        <v>113</v>
      </c>
      <c r="R1428" s="5" t="n">
        <v>0</v>
      </c>
      <c r="S1428" s="5" t="n">
        <v>30</v>
      </c>
      <c r="T1428" s="12" t="n">
        <f aca="false">(O1428-M1428)/M1428</f>
        <v>0.0581000000000001</v>
      </c>
      <c r="U1428" s="8" t="n">
        <f aca="false">IF(AND(K1428&lt;=I1428,R1428=0),1,0)</f>
        <v>1</v>
      </c>
      <c r="V1428" s="10" t="n">
        <f aca="false">IF(Q1428="No",P1428,0)</f>
        <v>0</v>
      </c>
    </row>
    <row r="1429" customFormat="false" ht="15" hidden="false" customHeight="false" outlineLevel="0" collapsed="false">
      <c r="A1429" s="5" t="s">
        <v>1563</v>
      </c>
      <c r="B1429" s="5" t="s">
        <v>86</v>
      </c>
      <c r="C1429" s="7" t="n">
        <v>45779</v>
      </c>
      <c r="D1429" s="8" t="str">
        <f aca="false">INDEX(Dim_Supplier!$C$2:$C$21,MATCH(B1429,Dim_Supplier!$A$2:$A$21,0))</f>
        <v>Logistics</v>
      </c>
      <c r="E1429" s="8" t="str">
        <f aca="false">INDEX(Dim_Supplier!$B$2:$B$21,MATCH(B1429,Dim_Supplier!$A$2:$A$21,0))</f>
        <v>Blue Water Customs Brokerage</v>
      </c>
      <c r="F1429" s="5" t="s">
        <v>146</v>
      </c>
      <c r="G1429" s="5" t="s">
        <v>120</v>
      </c>
      <c r="H1429" s="8" t="n">
        <f aca="false">INDEX(Lookup_Tables!$B$2:$B$5,MATCH(D1429,Lookup_Tables!$A$2:$A$5,0))</f>
        <v>5</v>
      </c>
      <c r="I1429" s="9" t="n">
        <f aca="false">C1429+H1429</f>
        <v>45784</v>
      </c>
      <c r="J1429" s="5" t="n">
        <v>-4</v>
      </c>
      <c r="K1429" s="9" t="n">
        <f aca="false">I1429+J1429</f>
        <v>45780</v>
      </c>
      <c r="L1429" s="5" t="n">
        <v>13</v>
      </c>
      <c r="M1429" s="10" t="n">
        <f aca="false">INDEX(Dim_Supplier!$F$2:$F$21,MATCH(B1429,Dim_Supplier!$A$2:$A$21,0))</f>
        <v>175</v>
      </c>
      <c r="N1429" s="11" t="n">
        <v>0.0016</v>
      </c>
      <c r="O1429" s="10" t="n">
        <f aca="false">M1429*(1+N1429)</f>
        <v>175.28</v>
      </c>
      <c r="P1429" s="10" t="n">
        <f aca="false">O1429*L1429</f>
        <v>2278.64</v>
      </c>
      <c r="Q1429" s="5" t="s">
        <v>113</v>
      </c>
      <c r="R1429" s="5" t="n">
        <v>0</v>
      </c>
      <c r="S1429" s="5" t="n">
        <v>45</v>
      </c>
      <c r="T1429" s="12" t="n">
        <f aca="false">(O1429-M1429)/M1429</f>
        <v>0.00160000000000001</v>
      </c>
      <c r="U1429" s="8" t="n">
        <f aca="false">IF(AND(K1429&lt;=I1429,R1429=0),1,0)</f>
        <v>1</v>
      </c>
      <c r="V1429" s="10" t="n">
        <f aca="false">IF(Q1429="No",P1429,0)</f>
        <v>0</v>
      </c>
    </row>
    <row r="1430" customFormat="false" ht="15" hidden="false" customHeight="false" outlineLevel="0" collapsed="false">
      <c r="A1430" s="5" t="s">
        <v>1564</v>
      </c>
      <c r="B1430" s="5" t="s">
        <v>68</v>
      </c>
      <c r="C1430" s="7" t="n">
        <v>45526</v>
      </c>
      <c r="D1430" s="8" t="str">
        <f aca="false">INDEX(Dim_Supplier!$C$2:$C$21,MATCH(B1430,Dim_Supplier!$A$2:$A$21,0))</f>
        <v>MRO</v>
      </c>
      <c r="E1430" s="8" t="str">
        <f aca="false">INDEX(Dim_Supplier!$B$2:$B$21,MATCH(B1430,Dim_Supplier!$A$2:$A$21,0))</f>
        <v>Precision Tool &amp; Supply</v>
      </c>
      <c r="F1430" s="5" t="s">
        <v>132</v>
      </c>
      <c r="G1430" s="5" t="s">
        <v>112</v>
      </c>
      <c r="H1430" s="8" t="n">
        <f aca="false">INDEX(Lookup_Tables!$B$2:$B$5,MATCH(D1430,Lookup_Tables!$A$2:$A$5,0))</f>
        <v>10</v>
      </c>
      <c r="I1430" s="9" t="n">
        <f aca="false">C1430+H1430</f>
        <v>45536</v>
      </c>
      <c r="J1430" s="5" t="n">
        <v>-2</v>
      </c>
      <c r="K1430" s="9" t="n">
        <f aca="false">I1430+J1430</f>
        <v>45534</v>
      </c>
      <c r="L1430" s="5" t="n">
        <v>149</v>
      </c>
      <c r="M1430" s="10" t="n">
        <f aca="false">INDEX(Dim_Supplier!$F$2:$F$21,MATCH(B1430,Dim_Supplier!$A$2:$A$21,0))</f>
        <v>22.4</v>
      </c>
      <c r="N1430" s="11" t="n">
        <v>-0.004</v>
      </c>
      <c r="O1430" s="10" t="n">
        <f aca="false">M1430*(1+N1430)</f>
        <v>22.3104</v>
      </c>
      <c r="P1430" s="10" t="n">
        <f aca="false">O1430*L1430</f>
        <v>3324.2496</v>
      </c>
      <c r="Q1430" s="5" t="s">
        <v>113</v>
      </c>
      <c r="R1430" s="5" t="n">
        <v>0</v>
      </c>
      <c r="S1430" s="5" t="n">
        <v>45</v>
      </c>
      <c r="T1430" s="12" t="n">
        <f aca="false">(O1430-M1430)/M1430</f>
        <v>-0.00400000000000004</v>
      </c>
      <c r="U1430" s="8" t="n">
        <f aca="false">IF(AND(K1430&lt;=I1430,R1430=0),1,0)</f>
        <v>1</v>
      </c>
      <c r="V1430" s="10" t="n">
        <f aca="false">IF(Q1430="No",P1430,0)</f>
        <v>0</v>
      </c>
    </row>
    <row r="1431" customFormat="false" ht="15" hidden="false" customHeight="false" outlineLevel="0" collapsed="false">
      <c r="A1431" s="5" t="s">
        <v>1565</v>
      </c>
      <c r="B1431" s="5" t="s">
        <v>46</v>
      </c>
      <c r="C1431" s="7" t="n">
        <v>46060</v>
      </c>
      <c r="D1431" s="8" t="str">
        <f aca="false">INDEX(Dim_Supplier!$C$2:$C$21,MATCH(B1431,Dim_Supplier!$A$2:$A$21,0))</f>
        <v>Raw Materials</v>
      </c>
      <c r="E1431" s="8" t="str">
        <f aca="false">INDEX(Dim_Supplier!$B$2:$B$21,MATCH(B1431,Dim_Supplier!$A$2:$A$21,0))</f>
        <v>Niagara Alloy Supply</v>
      </c>
      <c r="F1431" s="5" t="s">
        <v>115</v>
      </c>
      <c r="G1431" s="5" t="s">
        <v>120</v>
      </c>
      <c r="H1431" s="8" t="n">
        <f aca="false">INDEX(Lookup_Tables!$B$2:$B$5,MATCH(D1431,Lookup_Tables!$A$2:$A$5,0))</f>
        <v>21</v>
      </c>
      <c r="I1431" s="9" t="n">
        <f aca="false">C1431+H1431</f>
        <v>46081</v>
      </c>
      <c r="J1431" s="5" t="n">
        <v>1</v>
      </c>
      <c r="K1431" s="9" t="n">
        <f aca="false">I1431+J1431</f>
        <v>46082</v>
      </c>
      <c r="L1431" s="5" t="n">
        <v>1334</v>
      </c>
      <c r="M1431" s="10" t="n">
        <f aca="false">INDEX(Dim_Supplier!$F$2:$F$21,MATCH(B1431,Dim_Supplier!$A$2:$A$21,0))</f>
        <v>46.5</v>
      </c>
      <c r="N1431" s="11" t="n">
        <v>0.0414</v>
      </c>
      <c r="O1431" s="10" t="n">
        <f aca="false">M1431*(1+N1431)</f>
        <v>48.4251</v>
      </c>
      <c r="P1431" s="10" t="n">
        <f aca="false">O1431*L1431</f>
        <v>64599.0834</v>
      </c>
      <c r="Q1431" s="5" t="s">
        <v>133</v>
      </c>
      <c r="R1431" s="5" t="n">
        <v>0</v>
      </c>
      <c r="S1431" s="5" t="n">
        <v>45</v>
      </c>
      <c r="T1431" s="12" t="n">
        <f aca="false">(O1431-M1431)/M1431</f>
        <v>0.0414000000000002</v>
      </c>
      <c r="U1431" s="8" t="n">
        <f aca="false">IF(AND(K1431&lt;=I1431,R1431=0),1,0)</f>
        <v>0</v>
      </c>
      <c r="V1431" s="10" t="n">
        <f aca="false">IF(Q1431="No",P1431,0)</f>
        <v>64599.0834</v>
      </c>
    </row>
    <row r="1432" customFormat="false" ht="15" hidden="false" customHeight="false" outlineLevel="0" collapsed="false">
      <c r="A1432" s="5" t="s">
        <v>1566</v>
      </c>
      <c r="B1432" s="5" t="s">
        <v>41</v>
      </c>
      <c r="C1432" s="7" t="n">
        <v>45690</v>
      </c>
      <c r="D1432" s="8" t="str">
        <f aca="false">INDEX(Dim_Supplier!$C$2:$C$21,MATCH(B1432,Dim_Supplier!$A$2:$A$21,0))</f>
        <v>Raw Materials</v>
      </c>
      <c r="E1432" s="8" t="str">
        <f aca="false">INDEX(Dim_Supplier!$B$2:$B$21,MATCH(B1432,Dim_Supplier!$A$2:$A$21,0))</f>
        <v>Ontario Steel Partners</v>
      </c>
      <c r="F1432" s="5" t="s">
        <v>115</v>
      </c>
      <c r="G1432" s="5" t="s">
        <v>120</v>
      </c>
      <c r="H1432" s="8" t="n">
        <f aca="false">INDEX(Lookup_Tables!$B$2:$B$5,MATCH(D1432,Lookup_Tables!$A$2:$A$5,0))</f>
        <v>21</v>
      </c>
      <c r="I1432" s="9" t="n">
        <f aca="false">C1432+H1432</f>
        <v>45711</v>
      </c>
      <c r="J1432" s="5" t="n">
        <v>-3</v>
      </c>
      <c r="K1432" s="9" t="n">
        <f aca="false">I1432+J1432</f>
        <v>45708</v>
      </c>
      <c r="L1432" s="5" t="n">
        <v>1692</v>
      </c>
      <c r="M1432" s="10" t="n">
        <f aca="false">INDEX(Dim_Supplier!$F$2:$F$21,MATCH(B1432,Dim_Supplier!$A$2:$A$21,0))</f>
        <v>58</v>
      </c>
      <c r="N1432" s="11" t="n">
        <v>-0.0085</v>
      </c>
      <c r="O1432" s="10" t="n">
        <f aca="false">M1432*(1+N1432)</f>
        <v>57.507</v>
      </c>
      <c r="P1432" s="10" t="n">
        <f aca="false">O1432*L1432</f>
        <v>97301.844</v>
      </c>
      <c r="Q1432" s="5" t="s">
        <v>113</v>
      </c>
      <c r="R1432" s="5" t="n">
        <v>0</v>
      </c>
      <c r="S1432" s="5" t="n">
        <v>45</v>
      </c>
      <c r="T1432" s="12" t="n">
        <f aca="false">(O1432-M1432)/M1432</f>
        <v>-0.00849999999999991</v>
      </c>
      <c r="U1432" s="8" t="n">
        <f aca="false">IF(AND(K1432&lt;=I1432,R1432=0),1,0)</f>
        <v>1</v>
      </c>
      <c r="V1432" s="10" t="n">
        <f aca="false">IF(Q1432="No",P1432,0)</f>
        <v>0</v>
      </c>
    </row>
    <row r="1433" customFormat="false" ht="15" hidden="false" customHeight="false" outlineLevel="0" collapsed="false">
      <c r="A1433" s="5" t="s">
        <v>1567</v>
      </c>
      <c r="B1433" s="5" t="s">
        <v>57</v>
      </c>
      <c r="C1433" s="7" t="n">
        <v>46136</v>
      </c>
      <c r="D1433" s="8" t="str">
        <f aca="false">INDEX(Dim_Supplier!$C$2:$C$21,MATCH(B1433,Dim_Supplier!$A$2:$A$21,0))</f>
        <v>Packaging</v>
      </c>
      <c r="E1433" s="8" t="str">
        <f aca="false">INDEX(Dim_Supplier!$B$2:$B$21,MATCH(B1433,Dim_Supplier!$A$2:$A$21,0))</f>
        <v>Great Lakes Packaging Co.</v>
      </c>
      <c r="F1433" s="5" t="s">
        <v>122</v>
      </c>
      <c r="G1433" s="5" t="s">
        <v>125</v>
      </c>
      <c r="H1433" s="8" t="n">
        <f aca="false">INDEX(Lookup_Tables!$B$2:$B$5,MATCH(D1433,Lookup_Tables!$A$2:$A$5,0))</f>
        <v>14</v>
      </c>
      <c r="I1433" s="9" t="n">
        <f aca="false">C1433+H1433</f>
        <v>46150</v>
      </c>
      <c r="J1433" s="5" t="n">
        <v>-4</v>
      </c>
      <c r="K1433" s="9" t="n">
        <f aca="false">I1433+J1433</f>
        <v>46146</v>
      </c>
      <c r="L1433" s="5" t="n">
        <v>3121</v>
      </c>
      <c r="M1433" s="10" t="n">
        <f aca="false">INDEX(Dim_Supplier!$F$2:$F$21,MATCH(B1433,Dim_Supplier!$A$2:$A$21,0))</f>
        <v>4.35</v>
      </c>
      <c r="N1433" s="11" t="n">
        <v>-0.0033</v>
      </c>
      <c r="O1433" s="10" t="n">
        <f aca="false">M1433*(1+N1433)</f>
        <v>4.335645</v>
      </c>
      <c r="P1433" s="10" t="n">
        <f aca="false">O1433*L1433</f>
        <v>13531.548045</v>
      </c>
      <c r="Q1433" s="5" t="s">
        <v>113</v>
      </c>
      <c r="R1433" s="5" t="n">
        <v>0</v>
      </c>
      <c r="S1433" s="5" t="n">
        <v>60</v>
      </c>
      <c r="T1433" s="12" t="n">
        <f aca="false">(O1433-M1433)/M1433</f>
        <v>-0.00330000000000003</v>
      </c>
      <c r="U1433" s="8" t="n">
        <f aca="false">IF(AND(K1433&lt;=I1433,R1433=0),1,0)</f>
        <v>1</v>
      </c>
      <c r="V1433" s="10" t="n">
        <f aca="false">IF(Q1433="No",P1433,0)</f>
        <v>0</v>
      </c>
    </row>
    <row r="1434" customFormat="false" ht="15" hidden="false" customHeight="false" outlineLevel="0" collapsed="false">
      <c r="A1434" s="5" t="s">
        <v>1568</v>
      </c>
      <c r="B1434" s="5" t="s">
        <v>52</v>
      </c>
      <c r="C1434" s="7" t="n">
        <v>46122</v>
      </c>
      <c r="D1434" s="8" t="str">
        <f aca="false">INDEX(Dim_Supplier!$C$2:$C$21,MATCH(B1434,Dim_Supplier!$A$2:$A$21,0))</f>
        <v>Raw Materials</v>
      </c>
      <c r="E1434" s="8" t="str">
        <f aca="false">INDEX(Dim_Supplier!$B$2:$B$21,MATCH(B1434,Dim_Supplier!$A$2:$A$21,0))</f>
        <v>Laurentian Metals Inc.</v>
      </c>
      <c r="F1434" s="5" t="s">
        <v>115</v>
      </c>
      <c r="G1434" s="5" t="s">
        <v>129</v>
      </c>
      <c r="H1434" s="8" t="n">
        <f aca="false">INDEX(Lookup_Tables!$B$2:$B$5,MATCH(D1434,Lookup_Tables!$A$2:$A$5,0))</f>
        <v>21</v>
      </c>
      <c r="I1434" s="9" t="n">
        <f aca="false">C1434+H1434</f>
        <v>46143</v>
      </c>
      <c r="J1434" s="5" t="n">
        <v>-3</v>
      </c>
      <c r="K1434" s="9" t="n">
        <f aca="false">I1434+J1434</f>
        <v>46140</v>
      </c>
      <c r="L1434" s="5" t="n">
        <v>1912</v>
      </c>
      <c r="M1434" s="10" t="n">
        <f aca="false">INDEX(Dim_Supplier!$F$2:$F$21,MATCH(B1434,Dim_Supplier!$A$2:$A$21,0))</f>
        <v>61.2</v>
      </c>
      <c r="N1434" s="11" t="n">
        <v>0.0268</v>
      </c>
      <c r="O1434" s="10" t="n">
        <f aca="false">M1434*(1+N1434)</f>
        <v>62.84016</v>
      </c>
      <c r="P1434" s="10" t="n">
        <f aca="false">O1434*L1434</f>
        <v>120150.38592</v>
      </c>
      <c r="Q1434" s="5" t="s">
        <v>113</v>
      </c>
      <c r="R1434" s="5" t="n">
        <v>0</v>
      </c>
      <c r="S1434" s="5" t="n">
        <v>30</v>
      </c>
      <c r="T1434" s="12" t="n">
        <f aca="false">(O1434-M1434)/M1434</f>
        <v>0.0267999999999999</v>
      </c>
      <c r="U1434" s="8" t="n">
        <f aca="false">IF(AND(K1434&lt;=I1434,R1434=0),1,0)</f>
        <v>1</v>
      </c>
      <c r="V1434" s="10" t="n">
        <f aca="false">IF(Q1434="No",P1434,0)</f>
        <v>0</v>
      </c>
    </row>
    <row r="1435" customFormat="false" ht="15" hidden="false" customHeight="false" outlineLevel="0" collapsed="false">
      <c r="A1435" s="5" t="s">
        <v>1569</v>
      </c>
      <c r="B1435" s="5" t="s">
        <v>79</v>
      </c>
      <c r="C1435" s="7" t="n">
        <v>45725</v>
      </c>
      <c r="D1435" s="8" t="str">
        <f aca="false">INDEX(Dim_Supplier!$C$2:$C$21,MATCH(B1435,Dim_Supplier!$A$2:$A$21,0))</f>
        <v>Logistics</v>
      </c>
      <c r="E1435" s="8" t="str">
        <f aca="false">INDEX(Dim_Supplier!$B$2:$B$21,MATCH(B1435,Dim_Supplier!$A$2:$A$21,0))</f>
        <v>Niagara Freight Solutions</v>
      </c>
      <c r="F1435" s="5" t="s">
        <v>124</v>
      </c>
      <c r="G1435" s="5" t="s">
        <v>120</v>
      </c>
      <c r="H1435" s="8" t="n">
        <f aca="false">INDEX(Lookup_Tables!$B$2:$B$5,MATCH(D1435,Lookup_Tables!$A$2:$A$5,0))</f>
        <v>5</v>
      </c>
      <c r="I1435" s="9" t="n">
        <f aca="false">C1435+H1435</f>
        <v>45730</v>
      </c>
      <c r="J1435" s="5" t="n">
        <v>-2</v>
      </c>
      <c r="K1435" s="9" t="n">
        <f aca="false">I1435+J1435</f>
        <v>45728</v>
      </c>
      <c r="L1435" s="5" t="n">
        <v>2</v>
      </c>
      <c r="M1435" s="10" t="n">
        <f aca="false">INDEX(Dim_Supplier!$F$2:$F$21,MATCH(B1435,Dim_Supplier!$A$2:$A$21,0))</f>
        <v>340</v>
      </c>
      <c r="N1435" s="11" t="n">
        <v>0.0211</v>
      </c>
      <c r="O1435" s="10" t="n">
        <f aca="false">M1435*(1+N1435)</f>
        <v>347.174</v>
      </c>
      <c r="P1435" s="10" t="n">
        <f aca="false">O1435*L1435</f>
        <v>694.348</v>
      </c>
      <c r="Q1435" s="5" t="s">
        <v>113</v>
      </c>
      <c r="R1435" s="5" t="n">
        <v>0</v>
      </c>
      <c r="S1435" s="5" t="n">
        <v>30</v>
      </c>
      <c r="T1435" s="12" t="n">
        <f aca="false">(O1435-M1435)/M1435</f>
        <v>0.0210999999999999</v>
      </c>
      <c r="U1435" s="8" t="n">
        <f aca="false">IF(AND(K1435&lt;=I1435,R1435=0),1,0)</f>
        <v>1</v>
      </c>
      <c r="V1435" s="10" t="n">
        <f aca="false">IF(Q1435="No",P1435,0)</f>
        <v>0</v>
      </c>
    </row>
    <row r="1436" customFormat="false" ht="15" hidden="false" customHeight="false" outlineLevel="0" collapsed="false">
      <c r="A1436" s="5" t="s">
        <v>1570</v>
      </c>
      <c r="B1436" s="5" t="s">
        <v>60</v>
      </c>
      <c r="C1436" s="7" t="n">
        <v>46086</v>
      </c>
      <c r="D1436" s="8" t="str">
        <f aca="false">INDEX(Dim_Supplier!$C$2:$C$21,MATCH(B1436,Dim_Supplier!$A$2:$A$21,0))</f>
        <v>Packaging</v>
      </c>
      <c r="E1436" s="8" t="str">
        <f aca="false">INDEX(Dim_Supplier!$B$2:$B$21,MATCH(B1436,Dim_Supplier!$A$2:$A$21,0))</f>
        <v>Maple Leaf Box &amp; Crate</v>
      </c>
      <c r="F1436" s="5" t="s">
        <v>158</v>
      </c>
      <c r="G1436" s="5" t="s">
        <v>125</v>
      </c>
      <c r="H1436" s="8" t="n">
        <f aca="false">INDEX(Lookup_Tables!$B$2:$B$5,MATCH(D1436,Lookup_Tables!$A$2:$A$5,0))</f>
        <v>14</v>
      </c>
      <c r="I1436" s="9" t="n">
        <f aca="false">C1436+H1436</f>
        <v>46100</v>
      </c>
      <c r="J1436" s="5" t="n">
        <v>-3</v>
      </c>
      <c r="K1436" s="9" t="n">
        <f aca="false">I1436+J1436</f>
        <v>46097</v>
      </c>
      <c r="L1436" s="5" t="n">
        <v>4138</v>
      </c>
      <c r="M1436" s="10" t="n">
        <f aca="false">INDEX(Dim_Supplier!$F$2:$F$21,MATCH(B1436,Dim_Supplier!$A$2:$A$21,0))</f>
        <v>3.1</v>
      </c>
      <c r="N1436" s="11" t="n">
        <v>0.0219</v>
      </c>
      <c r="O1436" s="10" t="n">
        <f aca="false">M1436*(1+N1436)</f>
        <v>3.16789</v>
      </c>
      <c r="P1436" s="10" t="n">
        <f aca="false">O1436*L1436</f>
        <v>13108.72882</v>
      </c>
      <c r="Q1436" s="5" t="s">
        <v>113</v>
      </c>
      <c r="R1436" s="5" t="n">
        <v>0</v>
      </c>
      <c r="S1436" s="5" t="n">
        <v>30</v>
      </c>
      <c r="T1436" s="12" t="n">
        <f aca="false">(O1436-M1436)/M1436</f>
        <v>0.0219000000000001</v>
      </c>
      <c r="U1436" s="8" t="n">
        <f aca="false">IF(AND(K1436&lt;=I1436,R1436=0),1,0)</f>
        <v>1</v>
      </c>
      <c r="V1436" s="10" t="n">
        <f aca="false">IF(Q1436="No",P1436,0)</f>
        <v>0</v>
      </c>
    </row>
    <row r="1437" customFormat="false" ht="15" hidden="false" customHeight="false" outlineLevel="0" collapsed="false">
      <c r="A1437" s="5" t="s">
        <v>1571</v>
      </c>
      <c r="B1437" s="5" t="s">
        <v>54</v>
      </c>
      <c r="C1437" s="7" t="n">
        <v>46015</v>
      </c>
      <c r="D1437" s="8" t="str">
        <f aca="false">INDEX(Dim_Supplier!$C$2:$C$21,MATCH(B1437,Dim_Supplier!$A$2:$A$21,0))</f>
        <v>Raw Materials</v>
      </c>
      <c r="E1437" s="8" t="str">
        <f aca="false">INDEX(Dim_Supplier!$B$2:$B$21,MATCH(B1437,Dim_Supplier!$A$2:$A$21,0))</f>
        <v>Northern Resin Solutions</v>
      </c>
      <c r="F1437" s="5" t="s">
        <v>144</v>
      </c>
      <c r="G1437" s="5" t="s">
        <v>125</v>
      </c>
      <c r="H1437" s="8" t="n">
        <f aca="false">INDEX(Lookup_Tables!$B$2:$B$5,MATCH(D1437,Lookup_Tables!$A$2:$A$5,0))</f>
        <v>21</v>
      </c>
      <c r="I1437" s="9" t="n">
        <f aca="false">C1437+H1437</f>
        <v>46036</v>
      </c>
      <c r="J1437" s="5" t="n">
        <v>-2</v>
      </c>
      <c r="K1437" s="9" t="n">
        <f aca="false">I1437+J1437</f>
        <v>46034</v>
      </c>
      <c r="L1437" s="5" t="n">
        <v>761</v>
      </c>
      <c r="M1437" s="10" t="n">
        <f aca="false">INDEX(Dim_Supplier!$F$2:$F$21,MATCH(B1437,Dim_Supplier!$A$2:$A$21,0))</f>
        <v>38.9</v>
      </c>
      <c r="N1437" s="11" t="n">
        <v>0.0759</v>
      </c>
      <c r="O1437" s="10" t="n">
        <f aca="false">M1437*(1+N1437)</f>
        <v>41.85251</v>
      </c>
      <c r="P1437" s="10" t="n">
        <f aca="false">O1437*L1437</f>
        <v>31849.76011</v>
      </c>
      <c r="Q1437" s="5" t="s">
        <v>133</v>
      </c>
      <c r="R1437" s="5" t="n">
        <v>0</v>
      </c>
      <c r="S1437" s="5" t="n">
        <v>60</v>
      </c>
      <c r="T1437" s="12" t="n">
        <f aca="false">(O1437-M1437)/M1437</f>
        <v>0.0759000000000001</v>
      </c>
      <c r="U1437" s="8" t="n">
        <f aca="false">IF(AND(K1437&lt;=I1437,R1437=0),1,0)</f>
        <v>1</v>
      </c>
      <c r="V1437" s="10" t="n">
        <f aca="false">IF(Q1437="No",P1437,0)</f>
        <v>31849.76011</v>
      </c>
    </row>
    <row r="1438" customFormat="false" ht="15" hidden="false" customHeight="false" outlineLevel="0" collapsed="false">
      <c r="A1438" s="5" t="s">
        <v>1572</v>
      </c>
      <c r="B1438" s="5" t="s">
        <v>68</v>
      </c>
      <c r="C1438" s="7" t="n">
        <v>45669</v>
      </c>
      <c r="D1438" s="8" t="str">
        <f aca="false">INDEX(Dim_Supplier!$C$2:$C$21,MATCH(B1438,Dim_Supplier!$A$2:$A$21,0))</f>
        <v>MRO</v>
      </c>
      <c r="E1438" s="8" t="str">
        <f aca="false">INDEX(Dim_Supplier!$B$2:$B$21,MATCH(B1438,Dim_Supplier!$A$2:$A$21,0))</f>
        <v>Precision Tool &amp; Supply</v>
      </c>
      <c r="F1438" s="5" t="s">
        <v>164</v>
      </c>
      <c r="G1438" s="5" t="s">
        <v>120</v>
      </c>
      <c r="H1438" s="8" t="n">
        <f aca="false">INDEX(Lookup_Tables!$B$2:$B$5,MATCH(D1438,Lookup_Tables!$A$2:$A$5,0))</f>
        <v>10</v>
      </c>
      <c r="I1438" s="9" t="n">
        <f aca="false">C1438+H1438</f>
        <v>45679</v>
      </c>
      <c r="J1438" s="5" t="n">
        <v>-2</v>
      </c>
      <c r="K1438" s="9" t="n">
        <f aca="false">I1438+J1438</f>
        <v>45677</v>
      </c>
      <c r="L1438" s="5" t="n">
        <v>11</v>
      </c>
      <c r="M1438" s="10" t="n">
        <f aca="false">INDEX(Dim_Supplier!$F$2:$F$21,MATCH(B1438,Dim_Supplier!$A$2:$A$21,0))</f>
        <v>22.4</v>
      </c>
      <c r="N1438" s="11" t="n">
        <v>-0.0069</v>
      </c>
      <c r="O1438" s="10" t="n">
        <f aca="false">M1438*(1+N1438)</f>
        <v>22.24544</v>
      </c>
      <c r="P1438" s="10" t="n">
        <f aca="false">O1438*L1438</f>
        <v>244.69984</v>
      </c>
      <c r="Q1438" s="5" t="s">
        <v>113</v>
      </c>
      <c r="R1438" s="5" t="n">
        <v>0</v>
      </c>
      <c r="S1438" s="5" t="n">
        <v>30</v>
      </c>
      <c r="T1438" s="12" t="n">
        <f aca="false">(O1438-M1438)/M1438</f>
        <v>-0.0069</v>
      </c>
      <c r="U1438" s="8" t="n">
        <f aca="false">IF(AND(K1438&lt;=I1438,R1438=0),1,0)</f>
        <v>1</v>
      </c>
      <c r="V1438" s="10" t="n">
        <f aca="false">IF(Q1438="No",P1438,0)</f>
        <v>0</v>
      </c>
    </row>
    <row r="1439" customFormat="false" ht="15" hidden="false" customHeight="false" outlineLevel="0" collapsed="false">
      <c r="A1439" s="5" t="s">
        <v>1573</v>
      </c>
      <c r="B1439" s="5" t="s">
        <v>57</v>
      </c>
      <c r="C1439" s="7" t="n">
        <v>46148</v>
      </c>
      <c r="D1439" s="8" t="str">
        <f aca="false">INDEX(Dim_Supplier!$C$2:$C$21,MATCH(B1439,Dim_Supplier!$A$2:$A$21,0))</f>
        <v>Packaging</v>
      </c>
      <c r="E1439" s="8" t="str">
        <f aca="false">INDEX(Dim_Supplier!$B$2:$B$21,MATCH(B1439,Dim_Supplier!$A$2:$A$21,0))</f>
        <v>Great Lakes Packaging Co.</v>
      </c>
      <c r="F1439" s="5" t="s">
        <v>117</v>
      </c>
      <c r="G1439" s="5" t="s">
        <v>120</v>
      </c>
      <c r="H1439" s="8" t="n">
        <f aca="false">INDEX(Lookup_Tables!$B$2:$B$5,MATCH(D1439,Lookup_Tables!$A$2:$A$5,0))</f>
        <v>14</v>
      </c>
      <c r="I1439" s="9" t="n">
        <f aca="false">C1439+H1439</f>
        <v>46162</v>
      </c>
      <c r="J1439" s="5" t="n">
        <v>-4</v>
      </c>
      <c r="K1439" s="9" t="n">
        <f aca="false">I1439+J1439</f>
        <v>46158</v>
      </c>
      <c r="L1439" s="5" t="n">
        <v>822</v>
      </c>
      <c r="M1439" s="10" t="n">
        <f aca="false">INDEX(Dim_Supplier!$F$2:$F$21,MATCH(B1439,Dim_Supplier!$A$2:$A$21,0))</f>
        <v>4.35</v>
      </c>
      <c r="N1439" s="11" t="n">
        <v>0.04</v>
      </c>
      <c r="O1439" s="10" t="n">
        <f aca="false">M1439*(1+N1439)</f>
        <v>4.524</v>
      </c>
      <c r="P1439" s="10" t="n">
        <f aca="false">O1439*L1439</f>
        <v>3718.728</v>
      </c>
      <c r="Q1439" s="5" t="s">
        <v>113</v>
      </c>
      <c r="R1439" s="5" t="n">
        <v>0</v>
      </c>
      <c r="S1439" s="5" t="n">
        <v>45</v>
      </c>
      <c r="T1439" s="12" t="n">
        <f aca="false">(O1439-M1439)/M1439</f>
        <v>0.0400000000000001</v>
      </c>
      <c r="U1439" s="8" t="n">
        <f aca="false">IF(AND(K1439&lt;=I1439,R1439=0),1,0)</f>
        <v>1</v>
      </c>
      <c r="V1439" s="10" t="n">
        <f aca="false">IF(Q1439="No",P1439,0)</f>
        <v>0</v>
      </c>
    </row>
    <row r="1440" customFormat="false" ht="15" hidden="false" customHeight="false" outlineLevel="0" collapsed="false">
      <c r="A1440" s="5" t="s">
        <v>1574</v>
      </c>
      <c r="B1440" s="5" t="s">
        <v>46</v>
      </c>
      <c r="C1440" s="7" t="n">
        <v>45357</v>
      </c>
      <c r="D1440" s="8" t="str">
        <f aca="false">INDEX(Dim_Supplier!$C$2:$C$21,MATCH(B1440,Dim_Supplier!$A$2:$A$21,0))</f>
        <v>Raw Materials</v>
      </c>
      <c r="E1440" s="8" t="str">
        <f aca="false">INDEX(Dim_Supplier!$B$2:$B$21,MATCH(B1440,Dim_Supplier!$A$2:$A$21,0))</f>
        <v>Niagara Alloy Supply</v>
      </c>
      <c r="F1440" s="5" t="s">
        <v>148</v>
      </c>
      <c r="G1440" s="5" t="s">
        <v>112</v>
      </c>
      <c r="H1440" s="8" t="n">
        <f aca="false">INDEX(Lookup_Tables!$B$2:$B$5,MATCH(D1440,Lookup_Tables!$A$2:$A$5,0))</f>
        <v>21</v>
      </c>
      <c r="I1440" s="9" t="n">
        <f aca="false">C1440+H1440</f>
        <v>45378</v>
      </c>
      <c r="J1440" s="5" t="n">
        <v>0</v>
      </c>
      <c r="K1440" s="9" t="n">
        <f aca="false">I1440+J1440</f>
        <v>45378</v>
      </c>
      <c r="L1440" s="5" t="n">
        <v>1561</v>
      </c>
      <c r="M1440" s="10" t="n">
        <f aca="false">INDEX(Dim_Supplier!$F$2:$F$21,MATCH(B1440,Dim_Supplier!$A$2:$A$21,0))</f>
        <v>46.5</v>
      </c>
      <c r="N1440" s="11" t="n">
        <v>0.0498</v>
      </c>
      <c r="O1440" s="10" t="n">
        <f aca="false">M1440*(1+N1440)</f>
        <v>48.8157</v>
      </c>
      <c r="P1440" s="10" t="n">
        <f aca="false">O1440*L1440</f>
        <v>76201.3077</v>
      </c>
      <c r="Q1440" s="5" t="s">
        <v>113</v>
      </c>
      <c r="R1440" s="5" t="n">
        <v>0</v>
      </c>
      <c r="S1440" s="5" t="n">
        <v>60</v>
      </c>
      <c r="T1440" s="12" t="n">
        <f aca="false">(O1440-M1440)/M1440</f>
        <v>0.0498</v>
      </c>
      <c r="U1440" s="8" t="n">
        <f aca="false">IF(AND(K1440&lt;=I1440,R1440=0),1,0)</f>
        <v>1</v>
      </c>
      <c r="V1440" s="10" t="n">
        <f aca="false">IF(Q1440="No",P1440,0)</f>
        <v>0</v>
      </c>
    </row>
    <row r="1441" customFormat="false" ht="15" hidden="false" customHeight="false" outlineLevel="0" collapsed="false">
      <c r="A1441" s="5" t="s">
        <v>1575</v>
      </c>
      <c r="B1441" s="5" t="s">
        <v>57</v>
      </c>
      <c r="C1441" s="7" t="n">
        <v>45714</v>
      </c>
      <c r="D1441" s="8" t="str">
        <f aca="false">INDEX(Dim_Supplier!$C$2:$C$21,MATCH(B1441,Dim_Supplier!$A$2:$A$21,0))</f>
        <v>Packaging</v>
      </c>
      <c r="E1441" s="8" t="str">
        <f aca="false">INDEX(Dim_Supplier!$B$2:$B$21,MATCH(B1441,Dim_Supplier!$A$2:$A$21,0))</f>
        <v>Great Lakes Packaging Co.</v>
      </c>
      <c r="F1441" s="5" t="s">
        <v>119</v>
      </c>
      <c r="G1441" s="5" t="s">
        <v>129</v>
      </c>
      <c r="H1441" s="8" t="n">
        <f aca="false">INDEX(Lookup_Tables!$B$2:$B$5,MATCH(D1441,Lookup_Tables!$A$2:$A$5,0))</f>
        <v>14</v>
      </c>
      <c r="I1441" s="9" t="n">
        <f aca="false">C1441+H1441</f>
        <v>45728</v>
      </c>
      <c r="J1441" s="5" t="n">
        <v>-4</v>
      </c>
      <c r="K1441" s="9" t="n">
        <f aca="false">I1441+J1441</f>
        <v>45724</v>
      </c>
      <c r="L1441" s="5" t="n">
        <v>4798</v>
      </c>
      <c r="M1441" s="10" t="n">
        <f aca="false">INDEX(Dim_Supplier!$F$2:$F$21,MATCH(B1441,Dim_Supplier!$A$2:$A$21,0))</f>
        <v>4.35</v>
      </c>
      <c r="N1441" s="11" t="n">
        <v>0.0112</v>
      </c>
      <c r="O1441" s="10" t="n">
        <f aca="false">M1441*(1+N1441)</f>
        <v>4.39872</v>
      </c>
      <c r="P1441" s="10" t="n">
        <f aca="false">O1441*L1441</f>
        <v>21105.05856</v>
      </c>
      <c r="Q1441" s="5" t="s">
        <v>113</v>
      </c>
      <c r="R1441" s="5" t="n">
        <v>0</v>
      </c>
      <c r="S1441" s="5" t="n">
        <v>45</v>
      </c>
      <c r="T1441" s="12" t="n">
        <f aca="false">(O1441-M1441)/M1441</f>
        <v>0.0112000000000001</v>
      </c>
      <c r="U1441" s="8" t="n">
        <f aca="false">IF(AND(K1441&lt;=I1441,R1441=0),1,0)</f>
        <v>1</v>
      </c>
      <c r="V1441" s="10" t="n">
        <f aca="false">IF(Q1441="No",P1441,0)</f>
        <v>0</v>
      </c>
    </row>
    <row r="1442" customFormat="false" ht="15" hidden="false" customHeight="false" outlineLevel="0" collapsed="false">
      <c r="A1442" s="5" t="s">
        <v>1576</v>
      </c>
      <c r="B1442" s="5" t="s">
        <v>68</v>
      </c>
      <c r="C1442" s="7" t="n">
        <v>45383</v>
      </c>
      <c r="D1442" s="8" t="str">
        <f aca="false">INDEX(Dim_Supplier!$C$2:$C$21,MATCH(B1442,Dim_Supplier!$A$2:$A$21,0))</f>
        <v>MRO</v>
      </c>
      <c r="E1442" s="8" t="str">
        <f aca="false">INDEX(Dim_Supplier!$B$2:$B$21,MATCH(B1442,Dim_Supplier!$A$2:$A$21,0))</f>
        <v>Precision Tool &amp; Supply</v>
      </c>
      <c r="F1442" s="5" t="s">
        <v>164</v>
      </c>
      <c r="G1442" s="5" t="s">
        <v>125</v>
      </c>
      <c r="H1442" s="8" t="n">
        <f aca="false">INDEX(Lookup_Tables!$B$2:$B$5,MATCH(D1442,Lookup_Tables!$A$2:$A$5,0))</f>
        <v>10</v>
      </c>
      <c r="I1442" s="9" t="n">
        <f aca="false">C1442+H1442</f>
        <v>45393</v>
      </c>
      <c r="J1442" s="5" t="n">
        <v>-1</v>
      </c>
      <c r="K1442" s="9" t="n">
        <f aca="false">I1442+J1442</f>
        <v>45392</v>
      </c>
      <c r="L1442" s="5" t="n">
        <v>71</v>
      </c>
      <c r="M1442" s="10" t="n">
        <f aca="false">INDEX(Dim_Supplier!$F$2:$F$21,MATCH(B1442,Dim_Supplier!$A$2:$A$21,0))</f>
        <v>22.4</v>
      </c>
      <c r="N1442" s="11" t="n">
        <v>0.0385</v>
      </c>
      <c r="O1442" s="10" t="n">
        <f aca="false">M1442*(1+N1442)</f>
        <v>23.2624</v>
      </c>
      <c r="P1442" s="10" t="n">
        <f aca="false">O1442*L1442</f>
        <v>1651.6304</v>
      </c>
      <c r="Q1442" s="5" t="s">
        <v>113</v>
      </c>
      <c r="R1442" s="5" t="n">
        <v>0</v>
      </c>
      <c r="S1442" s="5" t="n">
        <v>45</v>
      </c>
      <c r="T1442" s="12" t="n">
        <f aca="false">(O1442-M1442)/M1442</f>
        <v>0.0385</v>
      </c>
      <c r="U1442" s="8" t="n">
        <f aca="false">IF(AND(K1442&lt;=I1442,R1442=0),1,0)</f>
        <v>1</v>
      </c>
      <c r="V1442" s="10" t="n">
        <f aca="false">IF(Q1442="No",P1442,0)</f>
        <v>0</v>
      </c>
    </row>
    <row r="1443" customFormat="false" ht="15" hidden="false" customHeight="false" outlineLevel="0" collapsed="false">
      <c r="A1443" s="5" t="s">
        <v>1577</v>
      </c>
      <c r="B1443" s="5" t="s">
        <v>41</v>
      </c>
      <c r="C1443" s="7" t="n">
        <v>45950</v>
      </c>
      <c r="D1443" s="8" t="str">
        <f aca="false">INDEX(Dim_Supplier!$C$2:$C$21,MATCH(B1443,Dim_Supplier!$A$2:$A$21,0))</f>
        <v>Raw Materials</v>
      </c>
      <c r="E1443" s="8" t="str">
        <f aca="false">INDEX(Dim_Supplier!$B$2:$B$21,MATCH(B1443,Dim_Supplier!$A$2:$A$21,0))</f>
        <v>Ontario Steel Partners</v>
      </c>
      <c r="F1443" s="5" t="s">
        <v>115</v>
      </c>
      <c r="G1443" s="5" t="s">
        <v>125</v>
      </c>
      <c r="H1443" s="8" t="n">
        <f aca="false">INDEX(Lookup_Tables!$B$2:$B$5,MATCH(D1443,Lookup_Tables!$A$2:$A$5,0))</f>
        <v>21</v>
      </c>
      <c r="I1443" s="9" t="n">
        <f aca="false">C1443+H1443</f>
        <v>45971</v>
      </c>
      <c r="J1443" s="5" t="n">
        <v>-2</v>
      </c>
      <c r="K1443" s="9" t="n">
        <f aca="false">I1443+J1443</f>
        <v>45969</v>
      </c>
      <c r="L1443" s="5" t="n">
        <v>576</v>
      </c>
      <c r="M1443" s="10" t="n">
        <f aca="false">INDEX(Dim_Supplier!$F$2:$F$21,MATCH(B1443,Dim_Supplier!$A$2:$A$21,0))</f>
        <v>58</v>
      </c>
      <c r="N1443" s="11" t="n">
        <v>0.0137</v>
      </c>
      <c r="O1443" s="10" t="n">
        <f aca="false">M1443*(1+N1443)</f>
        <v>58.7946</v>
      </c>
      <c r="P1443" s="10" t="n">
        <f aca="false">O1443*L1443</f>
        <v>33865.6896</v>
      </c>
      <c r="Q1443" s="5" t="s">
        <v>113</v>
      </c>
      <c r="R1443" s="5" t="n">
        <v>0</v>
      </c>
      <c r="S1443" s="5" t="n">
        <v>30</v>
      </c>
      <c r="T1443" s="12" t="n">
        <f aca="false">(O1443-M1443)/M1443</f>
        <v>0.0137</v>
      </c>
      <c r="U1443" s="8" t="n">
        <f aca="false">IF(AND(K1443&lt;=I1443,R1443=0),1,0)</f>
        <v>1</v>
      </c>
      <c r="V1443" s="10" t="n">
        <f aca="false">IF(Q1443="No",P1443,0)</f>
        <v>0</v>
      </c>
    </row>
    <row r="1444" customFormat="false" ht="15" hidden="false" customHeight="false" outlineLevel="0" collapsed="false">
      <c r="A1444" s="5" t="s">
        <v>1578</v>
      </c>
      <c r="B1444" s="5" t="s">
        <v>57</v>
      </c>
      <c r="C1444" s="7" t="n">
        <v>45688</v>
      </c>
      <c r="D1444" s="8" t="str">
        <f aca="false">INDEX(Dim_Supplier!$C$2:$C$21,MATCH(B1444,Dim_Supplier!$A$2:$A$21,0))</f>
        <v>Packaging</v>
      </c>
      <c r="E1444" s="8" t="str">
        <f aca="false">INDEX(Dim_Supplier!$B$2:$B$21,MATCH(B1444,Dim_Supplier!$A$2:$A$21,0))</f>
        <v>Great Lakes Packaging Co.</v>
      </c>
      <c r="F1444" s="5" t="s">
        <v>137</v>
      </c>
      <c r="G1444" s="5" t="s">
        <v>129</v>
      </c>
      <c r="H1444" s="8" t="n">
        <f aca="false">INDEX(Lookup_Tables!$B$2:$B$5,MATCH(D1444,Lookup_Tables!$A$2:$A$5,0))</f>
        <v>14</v>
      </c>
      <c r="I1444" s="9" t="n">
        <f aca="false">C1444+H1444</f>
        <v>45702</v>
      </c>
      <c r="J1444" s="5" t="n">
        <v>-4</v>
      </c>
      <c r="K1444" s="9" t="n">
        <f aca="false">I1444+J1444</f>
        <v>45698</v>
      </c>
      <c r="L1444" s="5" t="n">
        <v>692</v>
      </c>
      <c r="M1444" s="10" t="n">
        <f aca="false">INDEX(Dim_Supplier!$F$2:$F$21,MATCH(B1444,Dim_Supplier!$A$2:$A$21,0))</f>
        <v>4.35</v>
      </c>
      <c r="N1444" s="11" t="n">
        <v>0.0089</v>
      </c>
      <c r="O1444" s="10" t="n">
        <f aca="false">M1444*(1+N1444)</f>
        <v>4.388715</v>
      </c>
      <c r="P1444" s="10" t="n">
        <f aca="false">O1444*L1444</f>
        <v>3036.99078</v>
      </c>
      <c r="Q1444" s="5" t="s">
        <v>113</v>
      </c>
      <c r="R1444" s="5" t="n">
        <v>0</v>
      </c>
      <c r="S1444" s="5" t="n">
        <v>45</v>
      </c>
      <c r="T1444" s="12" t="n">
        <f aca="false">(O1444-M1444)/M1444</f>
        <v>0.00889999999999996</v>
      </c>
      <c r="U1444" s="8" t="n">
        <f aca="false">IF(AND(K1444&lt;=I1444,R1444=0),1,0)</f>
        <v>1</v>
      </c>
      <c r="V1444" s="10" t="n">
        <f aca="false">IF(Q1444="No",P1444,0)</f>
        <v>0</v>
      </c>
    </row>
    <row r="1445" customFormat="false" ht="15" hidden="false" customHeight="false" outlineLevel="0" collapsed="false">
      <c r="A1445" s="5" t="s">
        <v>1579</v>
      </c>
      <c r="B1445" s="5" t="s">
        <v>41</v>
      </c>
      <c r="C1445" s="7" t="n">
        <v>45895</v>
      </c>
      <c r="D1445" s="8" t="str">
        <f aca="false">INDEX(Dim_Supplier!$C$2:$C$21,MATCH(B1445,Dim_Supplier!$A$2:$A$21,0))</f>
        <v>Raw Materials</v>
      </c>
      <c r="E1445" s="8" t="str">
        <f aca="false">INDEX(Dim_Supplier!$B$2:$B$21,MATCH(B1445,Dim_Supplier!$A$2:$A$21,0))</f>
        <v>Ontario Steel Partners</v>
      </c>
      <c r="F1445" s="5" t="s">
        <v>148</v>
      </c>
      <c r="G1445" s="5" t="s">
        <v>112</v>
      </c>
      <c r="H1445" s="8" t="n">
        <f aca="false">INDEX(Lookup_Tables!$B$2:$B$5,MATCH(D1445,Lookup_Tables!$A$2:$A$5,0))</f>
        <v>21</v>
      </c>
      <c r="I1445" s="9" t="n">
        <f aca="false">C1445+H1445</f>
        <v>45916</v>
      </c>
      <c r="J1445" s="5" t="n">
        <v>-3</v>
      </c>
      <c r="K1445" s="9" t="n">
        <f aca="false">I1445+J1445</f>
        <v>45913</v>
      </c>
      <c r="L1445" s="5" t="n">
        <v>815</v>
      </c>
      <c r="M1445" s="10" t="n">
        <f aca="false">INDEX(Dim_Supplier!$F$2:$F$21,MATCH(B1445,Dim_Supplier!$A$2:$A$21,0))</f>
        <v>58</v>
      </c>
      <c r="N1445" s="11" t="n">
        <v>0.0331</v>
      </c>
      <c r="O1445" s="10" t="n">
        <f aca="false">M1445*(1+N1445)</f>
        <v>59.9198</v>
      </c>
      <c r="P1445" s="10" t="n">
        <f aca="false">O1445*L1445</f>
        <v>48834.637</v>
      </c>
      <c r="Q1445" s="5" t="s">
        <v>113</v>
      </c>
      <c r="R1445" s="5" t="n">
        <v>0</v>
      </c>
      <c r="S1445" s="5" t="n">
        <v>30</v>
      </c>
      <c r="T1445" s="12" t="n">
        <f aca="false">(O1445-M1445)/M1445</f>
        <v>0.0330999999999999</v>
      </c>
      <c r="U1445" s="8" t="n">
        <f aca="false">IF(AND(K1445&lt;=I1445,R1445=0),1,0)</f>
        <v>1</v>
      </c>
      <c r="V1445" s="10" t="n">
        <f aca="false">IF(Q1445="No",P1445,0)</f>
        <v>0</v>
      </c>
    </row>
    <row r="1446" customFormat="false" ht="15" hidden="false" customHeight="false" outlineLevel="0" collapsed="false">
      <c r="A1446" s="5" t="s">
        <v>1580</v>
      </c>
      <c r="B1446" s="5" t="s">
        <v>86</v>
      </c>
      <c r="C1446" s="7" t="n">
        <v>45460</v>
      </c>
      <c r="D1446" s="8" t="str">
        <f aca="false">INDEX(Dim_Supplier!$C$2:$C$21,MATCH(B1446,Dim_Supplier!$A$2:$A$21,0))</f>
        <v>Logistics</v>
      </c>
      <c r="E1446" s="8" t="str">
        <f aca="false">INDEX(Dim_Supplier!$B$2:$B$21,MATCH(B1446,Dim_Supplier!$A$2:$A$21,0))</f>
        <v>Blue Water Customs Brokerage</v>
      </c>
      <c r="F1446" s="5" t="s">
        <v>237</v>
      </c>
      <c r="G1446" s="5" t="s">
        <v>112</v>
      </c>
      <c r="H1446" s="8" t="n">
        <f aca="false">INDEX(Lookup_Tables!$B$2:$B$5,MATCH(D1446,Lookup_Tables!$A$2:$A$5,0))</f>
        <v>5</v>
      </c>
      <c r="I1446" s="9" t="n">
        <f aca="false">C1446+H1446</f>
        <v>45465</v>
      </c>
      <c r="J1446" s="5" t="n">
        <v>-2</v>
      </c>
      <c r="K1446" s="9" t="n">
        <f aca="false">I1446+J1446</f>
        <v>45463</v>
      </c>
      <c r="L1446" s="5" t="n">
        <v>41</v>
      </c>
      <c r="M1446" s="10" t="n">
        <f aca="false">INDEX(Dim_Supplier!$F$2:$F$21,MATCH(B1446,Dim_Supplier!$A$2:$A$21,0))</f>
        <v>175</v>
      </c>
      <c r="N1446" s="11" t="n">
        <v>0.012</v>
      </c>
      <c r="O1446" s="10" t="n">
        <f aca="false">M1446*(1+N1446)</f>
        <v>177.1</v>
      </c>
      <c r="P1446" s="10" t="n">
        <f aca="false">O1446*L1446</f>
        <v>7261.1</v>
      </c>
      <c r="Q1446" s="5" t="s">
        <v>113</v>
      </c>
      <c r="R1446" s="5" t="n">
        <v>0</v>
      </c>
      <c r="S1446" s="5" t="n">
        <v>45</v>
      </c>
      <c r="T1446" s="12" t="n">
        <f aca="false">(O1446-M1446)/M1446</f>
        <v>0.012</v>
      </c>
      <c r="U1446" s="8" t="n">
        <f aca="false">IF(AND(K1446&lt;=I1446,R1446=0),1,0)</f>
        <v>1</v>
      </c>
      <c r="V1446" s="10" t="n">
        <f aca="false">IF(Q1446="No",P1446,0)</f>
        <v>0</v>
      </c>
    </row>
    <row r="1447" customFormat="false" ht="15" hidden="false" customHeight="false" outlineLevel="0" collapsed="false">
      <c r="A1447" s="5" t="s">
        <v>1581</v>
      </c>
      <c r="B1447" s="5" t="s">
        <v>66</v>
      </c>
      <c r="C1447" s="7" t="n">
        <v>45455</v>
      </c>
      <c r="D1447" s="8" t="str">
        <f aca="false">INDEX(Dim_Supplier!$C$2:$C$21,MATCH(B1447,Dim_Supplier!$A$2:$A$21,0))</f>
        <v>Packaging</v>
      </c>
      <c r="E1447" s="8" t="str">
        <f aca="false">INDEX(Dim_Supplier!$B$2:$B$21,MATCH(B1447,Dim_Supplier!$A$2:$A$21,0))</f>
        <v>EverGreen Wrap Industries</v>
      </c>
      <c r="F1447" s="5" t="s">
        <v>158</v>
      </c>
      <c r="G1447" s="5" t="s">
        <v>120</v>
      </c>
      <c r="H1447" s="8" t="n">
        <f aca="false">INDEX(Lookup_Tables!$B$2:$B$5,MATCH(D1447,Lookup_Tables!$A$2:$A$5,0))</f>
        <v>14</v>
      </c>
      <c r="I1447" s="9" t="n">
        <f aca="false">C1447+H1447</f>
        <v>45469</v>
      </c>
      <c r="J1447" s="5" t="n">
        <v>-2</v>
      </c>
      <c r="K1447" s="9" t="n">
        <f aca="false">I1447+J1447</f>
        <v>45467</v>
      </c>
      <c r="L1447" s="5" t="n">
        <v>2632</v>
      </c>
      <c r="M1447" s="10" t="n">
        <f aca="false">INDEX(Dim_Supplier!$F$2:$F$21,MATCH(B1447,Dim_Supplier!$A$2:$A$21,0))</f>
        <v>6.8</v>
      </c>
      <c r="N1447" s="11" t="n">
        <v>0.0754</v>
      </c>
      <c r="O1447" s="10" t="n">
        <f aca="false">M1447*(1+N1447)</f>
        <v>7.31272</v>
      </c>
      <c r="P1447" s="10" t="n">
        <f aca="false">O1447*L1447</f>
        <v>19247.07904</v>
      </c>
      <c r="Q1447" s="5" t="s">
        <v>113</v>
      </c>
      <c r="R1447" s="5" t="n">
        <v>0</v>
      </c>
      <c r="S1447" s="5" t="n">
        <v>30</v>
      </c>
      <c r="T1447" s="12" t="n">
        <f aca="false">(O1447-M1447)/M1447</f>
        <v>0.0753999999999998</v>
      </c>
      <c r="U1447" s="8" t="n">
        <f aca="false">IF(AND(K1447&lt;=I1447,R1447=0),1,0)</f>
        <v>1</v>
      </c>
      <c r="V1447" s="10" t="n">
        <f aca="false">IF(Q1447="No",P1447,0)</f>
        <v>0</v>
      </c>
    </row>
    <row r="1448" customFormat="false" ht="15" hidden="false" customHeight="false" outlineLevel="0" collapsed="false">
      <c r="A1448" s="5" t="s">
        <v>1582</v>
      </c>
      <c r="B1448" s="5" t="s">
        <v>62</v>
      </c>
      <c r="C1448" s="7" t="n">
        <v>45959</v>
      </c>
      <c r="D1448" s="8" t="str">
        <f aca="false">INDEX(Dim_Supplier!$C$2:$C$21,MATCH(B1448,Dim_Supplier!$A$2:$A$21,0))</f>
        <v>Packaging</v>
      </c>
      <c r="E1448" s="8" t="str">
        <f aca="false">INDEX(Dim_Supplier!$B$2:$B$21,MATCH(B1448,Dim_Supplier!$A$2:$A$21,0))</f>
        <v>Trillium Packaging Solutions</v>
      </c>
      <c r="F1448" s="5" t="s">
        <v>122</v>
      </c>
      <c r="G1448" s="5" t="s">
        <v>125</v>
      </c>
      <c r="H1448" s="8" t="n">
        <f aca="false">INDEX(Lookup_Tables!$B$2:$B$5,MATCH(D1448,Lookup_Tables!$A$2:$A$5,0))</f>
        <v>14</v>
      </c>
      <c r="I1448" s="9" t="n">
        <f aca="false">C1448+H1448</f>
        <v>45973</v>
      </c>
      <c r="J1448" s="5" t="n">
        <v>-3</v>
      </c>
      <c r="K1448" s="9" t="n">
        <f aca="false">I1448+J1448</f>
        <v>45970</v>
      </c>
      <c r="L1448" s="5" t="n">
        <v>3674</v>
      </c>
      <c r="M1448" s="10" t="n">
        <f aca="false">INDEX(Dim_Supplier!$F$2:$F$21,MATCH(B1448,Dim_Supplier!$A$2:$A$21,0))</f>
        <v>5.6</v>
      </c>
      <c r="N1448" s="11" t="n">
        <v>0.0294</v>
      </c>
      <c r="O1448" s="10" t="n">
        <f aca="false">M1448*(1+N1448)</f>
        <v>5.76464</v>
      </c>
      <c r="P1448" s="10" t="n">
        <f aca="false">O1448*L1448</f>
        <v>21179.28736</v>
      </c>
      <c r="Q1448" s="5" t="s">
        <v>113</v>
      </c>
      <c r="R1448" s="5" t="n">
        <v>0</v>
      </c>
      <c r="S1448" s="5" t="n">
        <v>60</v>
      </c>
      <c r="T1448" s="12" t="n">
        <f aca="false">(O1448-M1448)/M1448</f>
        <v>0.0294000000000001</v>
      </c>
      <c r="U1448" s="8" t="n">
        <f aca="false">IF(AND(K1448&lt;=I1448,R1448=0),1,0)</f>
        <v>1</v>
      </c>
      <c r="V1448" s="10" t="n">
        <f aca="false">IF(Q1448="No",P1448,0)</f>
        <v>0</v>
      </c>
    </row>
    <row r="1449" customFormat="false" ht="15" hidden="false" customHeight="false" outlineLevel="0" collapsed="false">
      <c r="A1449" s="5" t="s">
        <v>1583</v>
      </c>
      <c r="B1449" s="5" t="s">
        <v>52</v>
      </c>
      <c r="C1449" s="7" t="n">
        <v>45875</v>
      </c>
      <c r="D1449" s="8" t="str">
        <f aca="false">INDEX(Dim_Supplier!$C$2:$C$21,MATCH(B1449,Dim_Supplier!$A$2:$A$21,0))</f>
        <v>Raw Materials</v>
      </c>
      <c r="E1449" s="8" t="str">
        <f aca="false">INDEX(Dim_Supplier!$B$2:$B$21,MATCH(B1449,Dim_Supplier!$A$2:$A$21,0))</f>
        <v>Laurentian Metals Inc.</v>
      </c>
      <c r="F1449" s="5" t="s">
        <v>139</v>
      </c>
      <c r="G1449" s="5" t="s">
        <v>112</v>
      </c>
      <c r="H1449" s="8" t="n">
        <f aca="false">INDEX(Lookup_Tables!$B$2:$B$5,MATCH(D1449,Lookup_Tables!$A$2:$A$5,0))</f>
        <v>21</v>
      </c>
      <c r="I1449" s="9" t="n">
        <f aca="false">C1449+H1449</f>
        <v>45896</v>
      </c>
      <c r="J1449" s="5" t="n">
        <v>0</v>
      </c>
      <c r="K1449" s="9" t="n">
        <f aca="false">I1449+J1449</f>
        <v>45896</v>
      </c>
      <c r="L1449" s="5" t="n">
        <v>839</v>
      </c>
      <c r="M1449" s="10" t="n">
        <f aca="false">INDEX(Dim_Supplier!$F$2:$F$21,MATCH(B1449,Dim_Supplier!$A$2:$A$21,0))</f>
        <v>61.2</v>
      </c>
      <c r="N1449" s="11" t="n">
        <v>-0.0041</v>
      </c>
      <c r="O1449" s="10" t="n">
        <f aca="false">M1449*(1+N1449)</f>
        <v>60.94908</v>
      </c>
      <c r="P1449" s="10" t="n">
        <f aca="false">O1449*L1449</f>
        <v>51136.27812</v>
      </c>
      <c r="Q1449" s="5" t="s">
        <v>113</v>
      </c>
      <c r="R1449" s="5" t="n">
        <v>0</v>
      </c>
      <c r="S1449" s="5" t="n">
        <v>30</v>
      </c>
      <c r="T1449" s="12" t="n">
        <f aca="false">(O1449-M1449)/M1449</f>
        <v>-0.00410000000000001</v>
      </c>
      <c r="U1449" s="8" t="n">
        <f aca="false">IF(AND(K1449&lt;=I1449,R1449=0),1,0)</f>
        <v>1</v>
      </c>
      <c r="V1449" s="10" t="n">
        <f aca="false">IF(Q1449="No",P1449,0)</f>
        <v>0</v>
      </c>
    </row>
    <row r="1450" customFormat="false" ht="15" hidden="false" customHeight="false" outlineLevel="0" collapsed="false">
      <c r="A1450" s="5" t="s">
        <v>1584</v>
      </c>
      <c r="B1450" s="5" t="s">
        <v>84</v>
      </c>
      <c r="C1450" s="7" t="n">
        <v>46155</v>
      </c>
      <c r="D1450" s="8" t="str">
        <f aca="false">INDEX(Dim_Supplier!$C$2:$C$21,MATCH(B1450,Dim_Supplier!$A$2:$A$21,0))</f>
        <v>Logistics</v>
      </c>
      <c r="E1450" s="8" t="str">
        <f aca="false">INDEX(Dim_Supplier!$B$2:$B$21,MATCH(B1450,Dim_Supplier!$A$2:$A$21,0))</f>
        <v>Trans-Canada Carriers</v>
      </c>
      <c r="F1450" s="5" t="s">
        <v>146</v>
      </c>
      <c r="G1450" s="5" t="s">
        <v>112</v>
      </c>
      <c r="H1450" s="8" t="n">
        <f aca="false">INDEX(Lookup_Tables!$B$2:$B$5,MATCH(D1450,Lookup_Tables!$A$2:$A$5,0))</f>
        <v>5</v>
      </c>
      <c r="I1450" s="9" t="n">
        <f aca="false">C1450+H1450</f>
        <v>46160</v>
      </c>
      <c r="J1450" s="5" t="n">
        <v>2</v>
      </c>
      <c r="K1450" s="9" t="n">
        <f aca="false">I1450+J1450</f>
        <v>46162</v>
      </c>
      <c r="L1450" s="5" t="n">
        <v>14</v>
      </c>
      <c r="M1450" s="10" t="n">
        <f aca="false">INDEX(Dim_Supplier!$F$2:$F$21,MATCH(B1450,Dim_Supplier!$A$2:$A$21,0))</f>
        <v>210</v>
      </c>
      <c r="N1450" s="11" t="n">
        <v>0.1288</v>
      </c>
      <c r="O1450" s="10" t="n">
        <f aca="false">M1450*(1+N1450)</f>
        <v>237.048</v>
      </c>
      <c r="P1450" s="10" t="n">
        <f aca="false">O1450*L1450</f>
        <v>3318.672</v>
      </c>
      <c r="Q1450" s="5" t="s">
        <v>133</v>
      </c>
      <c r="R1450" s="5" t="n">
        <v>0</v>
      </c>
      <c r="S1450" s="5" t="n">
        <v>30</v>
      </c>
      <c r="T1450" s="12" t="n">
        <f aca="false">(O1450-M1450)/M1450</f>
        <v>0.1288</v>
      </c>
      <c r="U1450" s="8" t="n">
        <f aca="false">IF(AND(K1450&lt;=I1450,R1450=0),1,0)</f>
        <v>0</v>
      </c>
      <c r="V1450" s="10" t="n">
        <f aca="false">IF(Q1450="No",P1450,0)</f>
        <v>3318.672</v>
      </c>
    </row>
    <row r="1451" customFormat="false" ht="15" hidden="false" customHeight="false" outlineLevel="0" collapsed="false">
      <c r="A1451" s="5" t="s">
        <v>1585</v>
      </c>
      <c r="B1451" s="5" t="s">
        <v>86</v>
      </c>
      <c r="C1451" s="7" t="n">
        <v>45689</v>
      </c>
      <c r="D1451" s="8" t="str">
        <f aca="false">INDEX(Dim_Supplier!$C$2:$C$21,MATCH(B1451,Dim_Supplier!$A$2:$A$21,0))</f>
        <v>Logistics</v>
      </c>
      <c r="E1451" s="8" t="str">
        <f aca="false">INDEX(Dim_Supplier!$B$2:$B$21,MATCH(B1451,Dim_Supplier!$A$2:$A$21,0))</f>
        <v>Blue Water Customs Brokerage</v>
      </c>
      <c r="F1451" s="5" t="s">
        <v>146</v>
      </c>
      <c r="G1451" s="5" t="s">
        <v>125</v>
      </c>
      <c r="H1451" s="8" t="n">
        <f aca="false">INDEX(Lookup_Tables!$B$2:$B$5,MATCH(D1451,Lookup_Tables!$A$2:$A$5,0))</f>
        <v>5</v>
      </c>
      <c r="I1451" s="9" t="n">
        <f aca="false">C1451+H1451</f>
        <v>45694</v>
      </c>
      <c r="J1451" s="5" t="n">
        <v>1</v>
      </c>
      <c r="K1451" s="9" t="n">
        <f aca="false">I1451+J1451</f>
        <v>45695</v>
      </c>
      <c r="L1451" s="5" t="n">
        <v>11</v>
      </c>
      <c r="M1451" s="10" t="n">
        <f aca="false">INDEX(Dim_Supplier!$F$2:$F$21,MATCH(B1451,Dim_Supplier!$A$2:$A$21,0))</f>
        <v>175</v>
      </c>
      <c r="N1451" s="11" t="n">
        <v>0.0073</v>
      </c>
      <c r="O1451" s="10" t="n">
        <f aca="false">M1451*(1+N1451)</f>
        <v>176.2775</v>
      </c>
      <c r="P1451" s="10" t="n">
        <f aca="false">O1451*L1451</f>
        <v>1939.0525</v>
      </c>
      <c r="Q1451" s="5" t="s">
        <v>113</v>
      </c>
      <c r="R1451" s="5" t="n">
        <v>0</v>
      </c>
      <c r="S1451" s="5" t="n">
        <v>45</v>
      </c>
      <c r="T1451" s="12" t="n">
        <f aca="false">(O1451-M1451)/M1451</f>
        <v>0.00730000000000002</v>
      </c>
      <c r="U1451" s="8" t="n">
        <f aca="false">IF(AND(K1451&lt;=I1451,R1451=0),1,0)</f>
        <v>0</v>
      </c>
      <c r="V1451" s="10" t="n">
        <f aca="false">IF(Q1451="No",P1451,0)</f>
        <v>0</v>
      </c>
    </row>
    <row r="1452" customFormat="false" ht="15" hidden="false" customHeight="false" outlineLevel="0" collapsed="false">
      <c r="A1452" s="5" t="s">
        <v>1586</v>
      </c>
      <c r="B1452" s="5" t="s">
        <v>79</v>
      </c>
      <c r="C1452" s="7" t="n">
        <v>45975</v>
      </c>
      <c r="D1452" s="8" t="str">
        <f aca="false">INDEX(Dim_Supplier!$C$2:$C$21,MATCH(B1452,Dim_Supplier!$A$2:$A$21,0))</f>
        <v>Logistics</v>
      </c>
      <c r="E1452" s="8" t="str">
        <f aca="false">INDEX(Dim_Supplier!$B$2:$B$21,MATCH(B1452,Dim_Supplier!$A$2:$A$21,0))</f>
        <v>Niagara Freight Solutions</v>
      </c>
      <c r="F1452" s="5" t="s">
        <v>154</v>
      </c>
      <c r="G1452" s="5" t="s">
        <v>129</v>
      </c>
      <c r="H1452" s="8" t="n">
        <f aca="false">INDEX(Lookup_Tables!$B$2:$B$5,MATCH(D1452,Lookup_Tables!$A$2:$A$5,0))</f>
        <v>5</v>
      </c>
      <c r="I1452" s="9" t="n">
        <f aca="false">C1452+H1452</f>
        <v>45980</v>
      </c>
      <c r="J1452" s="5" t="n">
        <v>-4</v>
      </c>
      <c r="K1452" s="9" t="n">
        <f aca="false">I1452+J1452</f>
        <v>45976</v>
      </c>
      <c r="L1452" s="5" t="n">
        <v>2</v>
      </c>
      <c r="M1452" s="10" t="n">
        <f aca="false">INDEX(Dim_Supplier!$F$2:$F$21,MATCH(B1452,Dim_Supplier!$A$2:$A$21,0))</f>
        <v>340</v>
      </c>
      <c r="N1452" s="11" t="n">
        <v>-0.0177</v>
      </c>
      <c r="O1452" s="10" t="n">
        <f aca="false">M1452*(1+N1452)</f>
        <v>333.982</v>
      </c>
      <c r="P1452" s="10" t="n">
        <f aca="false">O1452*L1452</f>
        <v>667.964</v>
      </c>
      <c r="Q1452" s="5" t="s">
        <v>113</v>
      </c>
      <c r="R1452" s="5" t="n">
        <v>0</v>
      </c>
      <c r="S1452" s="5" t="n">
        <v>60</v>
      </c>
      <c r="T1452" s="12" t="n">
        <f aca="false">(O1452-M1452)/M1452</f>
        <v>-0.0177000000000001</v>
      </c>
      <c r="U1452" s="8" t="n">
        <f aca="false">IF(AND(K1452&lt;=I1452,R1452=0),1,0)</f>
        <v>1</v>
      </c>
      <c r="V1452" s="10" t="n">
        <f aca="false">IF(Q1452="No",P1452,0)</f>
        <v>0</v>
      </c>
    </row>
    <row r="1453" customFormat="false" ht="15" hidden="false" customHeight="false" outlineLevel="0" collapsed="false">
      <c r="A1453" s="5" t="s">
        <v>1587</v>
      </c>
      <c r="B1453" s="5" t="s">
        <v>86</v>
      </c>
      <c r="C1453" s="7" t="n">
        <v>45602</v>
      </c>
      <c r="D1453" s="8" t="str">
        <f aca="false">INDEX(Dim_Supplier!$C$2:$C$21,MATCH(B1453,Dim_Supplier!$A$2:$A$21,0))</f>
        <v>Logistics</v>
      </c>
      <c r="E1453" s="8" t="str">
        <f aca="false">INDEX(Dim_Supplier!$B$2:$B$21,MATCH(B1453,Dim_Supplier!$A$2:$A$21,0))</f>
        <v>Blue Water Customs Brokerage</v>
      </c>
      <c r="F1453" s="5" t="s">
        <v>237</v>
      </c>
      <c r="G1453" s="5" t="s">
        <v>125</v>
      </c>
      <c r="H1453" s="8" t="n">
        <f aca="false">INDEX(Lookup_Tables!$B$2:$B$5,MATCH(D1453,Lookup_Tables!$A$2:$A$5,0))</f>
        <v>5</v>
      </c>
      <c r="I1453" s="9" t="n">
        <f aca="false">C1453+H1453</f>
        <v>45607</v>
      </c>
      <c r="J1453" s="5" t="n">
        <v>-3</v>
      </c>
      <c r="K1453" s="9" t="n">
        <f aca="false">I1453+J1453</f>
        <v>45604</v>
      </c>
      <c r="L1453" s="5" t="n">
        <v>7</v>
      </c>
      <c r="M1453" s="10" t="n">
        <f aca="false">INDEX(Dim_Supplier!$F$2:$F$21,MATCH(B1453,Dim_Supplier!$A$2:$A$21,0))</f>
        <v>175</v>
      </c>
      <c r="N1453" s="11" t="n">
        <v>-0.0405</v>
      </c>
      <c r="O1453" s="10" t="n">
        <f aca="false">M1453*(1+N1453)</f>
        <v>167.9125</v>
      </c>
      <c r="P1453" s="10" t="n">
        <f aca="false">O1453*L1453</f>
        <v>1175.3875</v>
      </c>
      <c r="Q1453" s="5" t="s">
        <v>113</v>
      </c>
      <c r="R1453" s="5" t="n">
        <v>0</v>
      </c>
      <c r="S1453" s="5" t="n">
        <v>30</v>
      </c>
      <c r="T1453" s="12" t="n">
        <f aca="false">(O1453-M1453)/M1453</f>
        <v>-0.0405</v>
      </c>
      <c r="U1453" s="8" t="n">
        <f aca="false">IF(AND(K1453&lt;=I1453,R1453=0),1,0)</f>
        <v>1</v>
      </c>
      <c r="V1453" s="10" t="n">
        <f aca="false">IF(Q1453="No",P1453,0)</f>
        <v>0</v>
      </c>
    </row>
    <row r="1454" customFormat="false" ht="15" hidden="false" customHeight="false" outlineLevel="0" collapsed="false">
      <c r="A1454" s="5" t="s">
        <v>1588</v>
      </c>
      <c r="B1454" s="5" t="s">
        <v>62</v>
      </c>
      <c r="C1454" s="7" t="n">
        <v>46189</v>
      </c>
      <c r="D1454" s="8" t="str">
        <f aca="false">INDEX(Dim_Supplier!$C$2:$C$21,MATCH(B1454,Dim_Supplier!$A$2:$A$21,0))</f>
        <v>Packaging</v>
      </c>
      <c r="E1454" s="8" t="str">
        <f aca="false">INDEX(Dim_Supplier!$B$2:$B$21,MATCH(B1454,Dim_Supplier!$A$2:$A$21,0))</f>
        <v>Trillium Packaging Solutions</v>
      </c>
      <c r="F1454" s="5" t="s">
        <v>119</v>
      </c>
      <c r="G1454" s="5" t="s">
        <v>129</v>
      </c>
      <c r="H1454" s="8" t="n">
        <f aca="false">INDEX(Lookup_Tables!$B$2:$B$5,MATCH(D1454,Lookup_Tables!$A$2:$A$5,0))</f>
        <v>14</v>
      </c>
      <c r="I1454" s="9" t="n">
        <f aca="false">C1454+H1454</f>
        <v>46203</v>
      </c>
      <c r="J1454" s="5" t="n">
        <v>-4</v>
      </c>
      <c r="K1454" s="9" t="n">
        <f aca="false">I1454+J1454</f>
        <v>46199</v>
      </c>
      <c r="L1454" s="5" t="n">
        <v>2936</v>
      </c>
      <c r="M1454" s="10" t="n">
        <f aca="false">INDEX(Dim_Supplier!$F$2:$F$21,MATCH(B1454,Dim_Supplier!$A$2:$A$21,0))</f>
        <v>5.6</v>
      </c>
      <c r="N1454" s="11" t="n">
        <v>0.0486</v>
      </c>
      <c r="O1454" s="10" t="n">
        <f aca="false">M1454*(1+N1454)</f>
        <v>5.87216</v>
      </c>
      <c r="P1454" s="10" t="n">
        <f aca="false">O1454*L1454</f>
        <v>17240.66176</v>
      </c>
      <c r="Q1454" s="5" t="s">
        <v>113</v>
      </c>
      <c r="R1454" s="5" t="n">
        <v>0</v>
      </c>
      <c r="S1454" s="5" t="n">
        <v>30</v>
      </c>
      <c r="T1454" s="12" t="n">
        <f aca="false">(O1454-M1454)/M1454</f>
        <v>0.0485999999999999</v>
      </c>
      <c r="U1454" s="8" t="n">
        <f aca="false">IF(AND(K1454&lt;=I1454,R1454=0),1,0)</f>
        <v>1</v>
      </c>
      <c r="V1454" s="10" t="n">
        <f aca="false">IF(Q1454="No",P1454,0)</f>
        <v>0</v>
      </c>
    </row>
    <row r="1455" customFormat="false" ht="15" hidden="false" customHeight="false" outlineLevel="0" collapsed="false">
      <c r="A1455" s="5" t="s">
        <v>1589</v>
      </c>
      <c r="B1455" s="5" t="s">
        <v>54</v>
      </c>
      <c r="C1455" s="7" t="n">
        <v>46200</v>
      </c>
      <c r="D1455" s="8" t="str">
        <f aca="false">INDEX(Dim_Supplier!$C$2:$C$21,MATCH(B1455,Dim_Supplier!$A$2:$A$21,0))</f>
        <v>Raw Materials</v>
      </c>
      <c r="E1455" s="8" t="str">
        <f aca="false">INDEX(Dim_Supplier!$B$2:$B$21,MATCH(B1455,Dim_Supplier!$A$2:$A$21,0))</f>
        <v>Northern Resin Solutions</v>
      </c>
      <c r="F1455" s="5" t="s">
        <v>115</v>
      </c>
      <c r="G1455" s="5" t="s">
        <v>129</v>
      </c>
      <c r="H1455" s="8" t="n">
        <f aca="false">INDEX(Lookup_Tables!$B$2:$B$5,MATCH(D1455,Lookup_Tables!$A$2:$A$5,0))</f>
        <v>21</v>
      </c>
      <c r="I1455" s="9" t="n">
        <f aca="false">C1455+H1455</f>
        <v>46221</v>
      </c>
      <c r="J1455" s="5" t="n">
        <v>2</v>
      </c>
      <c r="K1455" s="9" t="n">
        <f aca="false">I1455+J1455</f>
        <v>46223</v>
      </c>
      <c r="L1455" s="5" t="n">
        <v>1496</v>
      </c>
      <c r="M1455" s="10" t="n">
        <f aca="false">INDEX(Dim_Supplier!$F$2:$F$21,MATCH(B1455,Dim_Supplier!$A$2:$A$21,0))</f>
        <v>38.9</v>
      </c>
      <c r="N1455" s="11" t="n">
        <v>0.034</v>
      </c>
      <c r="O1455" s="10" t="n">
        <f aca="false">M1455*(1+N1455)</f>
        <v>40.2226</v>
      </c>
      <c r="P1455" s="10" t="n">
        <f aca="false">O1455*L1455</f>
        <v>60173.0096</v>
      </c>
      <c r="Q1455" s="5" t="s">
        <v>113</v>
      </c>
      <c r="R1455" s="5" t="n">
        <v>0</v>
      </c>
      <c r="S1455" s="5" t="n">
        <v>60</v>
      </c>
      <c r="T1455" s="12" t="n">
        <f aca="false">(O1455-M1455)/M1455</f>
        <v>0.034</v>
      </c>
      <c r="U1455" s="8" t="n">
        <f aca="false">IF(AND(K1455&lt;=I1455,R1455=0),1,0)</f>
        <v>0</v>
      </c>
      <c r="V1455" s="10" t="n">
        <f aca="false">IF(Q1455="No",P1455,0)</f>
        <v>0</v>
      </c>
    </row>
    <row r="1456" customFormat="false" ht="15" hidden="false" customHeight="false" outlineLevel="0" collapsed="false">
      <c r="A1456" s="5" t="s">
        <v>1590</v>
      </c>
      <c r="B1456" s="5" t="s">
        <v>49</v>
      </c>
      <c r="C1456" s="7" t="n">
        <v>45407</v>
      </c>
      <c r="D1456" s="8" t="str">
        <f aca="false">INDEX(Dim_Supplier!$C$2:$C$21,MATCH(B1456,Dim_Supplier!$A$2:$A$21,0))</f>
        <v>Raw Materials</v>
      </c>
      <c r="E1456" s="8" t="str">
        <f aca="false">INDEX(Dim_Supplier!$B$2:$B$21,MATCH(B1456,Dim_Supplier!$A$2:$A$21,0))</f>
        <v>Great Lakes Polymer Co.</v>
      </c>
      <c r="F1456" s="5" t="s">
        <v>148</v>
      </c>
      <c r="G1456" s="5" t="s">
        <v>112</v>
      </c>
      <c r="H1456" s="8" t="n">
        <f aca="false">INDEX(Lookup_Tables!$B$2:$B$5,MATCH(D1456,Lookup_Tables!$A$2:$A$5,0))</f>
        <v>21</v>
      </c>
      <c r="I1456" s="9" t="n">
        <f aca="false">C1456+H1456</f>
        <v>45428</v>
      </c>
      <c r="J1456" s="5" t="n">
        <v>0</v>
      </c>
      <c r="K1456" s="9" t="n">
        <f aca="false">I1456+J1456</f>
        <v>45428</v>
      </c>
      <c r="L1456" s="5" t="n">
        <v>1523</v>
      </c>
      <c r="M1456" s="10" t="n">
        <f aca="false">INDEX(Dim_Supplier!$F$2:$F$21,MATCH(B1456,Dim_Supplier!$A$2:$A$21,0))</f>
        <v>32.75</v>
      </c>
      <c r="N1456" s="11" t="n">
        <v>0.1316</v>
      </c>
      <c r="O1456" s="10" t="n">
        <f aca="false">M1456*(1+N1456)</f>
        <v>37.0599</v>
      </c>
      <c r="P1456" s="10" t="n">
        <f aca="false">O1456*L1456</f>
        <v>56442.2277</v>
      </c>
      <c r="Q1456" s="5" t="s">
        <v>133</v>
      </c>
      <c r="R1456" s="5" t="n">
        <v>0</v>
      </c>
      <c r="S1456" s="5" t="n">
        <v>45</v>
      </c>
      <c r="T1456" s="12" t="n">
        <f aca="false">(O1456-M1456)/M1456</f>
        <v>0.1316</v>
      </c>
      <c r="U1456" s="8" t="n">
        <f aca="false">IF(AND(K1456&lt;=I1456,R1456=0),1,0)</f>
        <v>1</v>
      </c>
      <c r="V1456" s="10" t="n">
        <f aca="false">IF(Q1456="No",P1456,0)</f>
        <v>56442.2277</v>
      </c>
    </row>
    <row r="1457" customFormat="false" ht="15" hidden="false" customHeight="false" outlineLevel="0" collapsed="false">
      <c r="A1457" s="5" t="s">
        <v>1591</v>
      </c>
      <c r="B1457" s="5" t="s">
        <v>64</v>
      </c>
      <c r="C1457" s="7" t="n">
        <v>46040</v>
      </c>
      <c r="D1457" s="8" t="str">
        <f aca="false">INDEX(Dim_Supplier!$C$2:$C$21,MATCH(B1457,Dim_Supplier!$A$2:$A$21,0))</f>
        <v>Packaging</v>
      </c>
      <c r="E1457" s="8" t="str">
        <f aca="false">INDEX(Dim_Supplier!$B$2:$B$21,MATCH(B1457,Dim_Supplier!$A$2:$A$21,0))</f>
        <v>Huron Pallet Works</v>
      </c>
      <c r="F1457" s="5" t="s">
        <v>158</v>
      </c>
      <c r="G1457" s="5" t="s">
        <v>112</v>
      </c>
      <c r="H1457" s="8" t="n">
        <f aca="false">INDEX(Lookup_Tables!$B$2:$B$5,MATCH(D1457,Lookup_Tables!$A$2:$A$5,0))</f>
        <v>14</v>
      </c>
      <c r="I1457" s="9" t="n">
        <f aca="false">C1457+H1457</f>
        <v>46054</v>
      </c>
      <c r="J1457" s="5" t="n">
        <v>8</v>
      </c>
      <c r="K1457" s="9" t="n">
        <f aca="false">I1457+J1457</f>
        <v>46062</v>
      </c>
      <c r="L1457" s="5" t="n">
        <v>744</v>
      </c>
      <c r="M1457" s="10" t="n">
        <f aca="false">INDEX(Dim_Supplier!$F$2:$F$21,MATCH(B1457,Dim_Supplier!$A$2:$A$21,0))</f>
        <v>2.25</v>
      </c>
      <c r="N1457" s="11" t="n">
        <v>0.152</v>
      </c>
      <c r="O1457" s="10" t="n">
        <f aca="false">M1457*(1+N1457)</f>
        <v>2.592</v>
      </c>
      <c r="P1457" s="10" t="n">
        <f aca="false">O1457*L1457</f>
        <v>1928.448</v>
      </c>
      <c r="Q1457" s="5" t="s">
        <v>113</v>
      </c>
      <c r="R1457" s="5" t="n">
        <v>0</v>
      </c>
      <c r="S1457" s="5" t="n">
        <v>30</v>
      </c>
      <c r="T1457" s="12" t="n">
        <f aca="false">(O1457-M1457)/M1457</f>
        <v>0.152</v>
      </c>
      <c r="U1457" s="8" t="n">
        <f aca="false">IF(AND(K1457&lt;=I1457,R1457=0),1,0)</f>
        <v>0</v>
      </c>
      <c r="V1457" s="10" t="n">
        <f aca="false">IF(Q1457="No",P1457,0)</f>
        <v>0</v>
      </c>
    </row>
    <row r="1458" customFormat="false" ht="15" hidden="false" customHeight="false" outlineLevel="0" collapsed="false">
      <c r="A1458" s="5" t="s">
        <v>1592</v>
      </c>
      <c r="B1458" s="5" t="s">
        <v>49</v>
      </c>
      <c r="C1458" s="7" t="n">
        <v>45305</v>
      </c>
      <c r="D1458" s="8" t="str">
        <f aca="false">INDEX(Dim_Supplier!$C$2:$C$21,MATCH(B1458,Dim_Supplier!$A$2:$A$21,0))</f>
        <v>Raw Materials</v>
      </c>
      <c r="E1458" s="8" t="str">
        <f aca="false">INDEX(Dim_Supplier!$B$2:$B$21,MATCH(B1458,Dim_Supplier!$A$2:$A$21,0))</f>
        <v>Great Lakes Polymer Co.</v>
      </c>
      <c r="F1458" s="5" t="s">
        <v>144</v>
      </c>
      <c r="G1458" s="5" t="s">
        <v>129</v>
      </c>
      <c r="H1458" s="8" t="n">
        <f aca="false">INDEX(Lookup_Tables!$B$2:$B$5,MATCH(D1458,Lookup_Tables!$A$2:$A$5,0))</f>
        <v>21</v>
      </c>
      <c r="I1458" s="9" t="n">
        <f aca="false">C1458+H1458</f>
        <v>45326</v>
      </c>
      <c r="J1458" s="5" t="n">
        <v>1</v>
      </c>
      <c r="K1458" s="9" t="n">
        <f aca="false">I1458+J1458</f>
        <v>45327</v>
      </c>
      <c r="L1458" s="5" t="n">
        <v>1894</v>
      </c>
      <c r="M1458" s="10" t="n">
        <f aca="false">INDEX(Dim_Supplier!$F$2:$F$21,MATCH(B1458,Dim_Supplier!$A$2:$A$21,0))</f>
        <v>32.75</v>
      </c>
      <c r="N1458" s="11" t="n">
        <v>0.0778</v>
      </c>
      <c r="O1458" s="10" t="n">
        <f aca="false">M1458*(1+N1458)</f>
        <v>35.29795</v>
      </c>
      <c r="P1458" s="10" t="n">
        <f aca="false">O1458*L1458</f>
        <v>66854.3173</v>
      </c>
      <c r="Q1458" s="5" t="s">
        <v>113</v>
      </c>
      <c r="R1458" s="5" t="n">
        <v>0</v>
      </c>
      <c r="S1458" s="5" t="n">
        <v>30</v>
      </c>
      <c r="T1458" s="12" t="n">
        <f aca="false">(O1458-M1458)/M1458</f>
        <v>0.0778</v>
      </c>
      <c r="U1458" s="8" t="n">
        <f aca="false">IF(AND(K1458&lt;=I1458,R1458=0),1,0)</f>
        <v>0</v>
      </c>
      <c r="V1458" s="10" t="n">
        <f aca="false">IF(Q1458="No",P1458,0)</f>
        <v>0</v>
      </c>
    </row>
    <row r="1459" customFormat="false" ht="15" hidden="false" customHeight="false" outlineLevel="0" collapsed="false">
      <c r="A1459" s="5" t="s">
        <v>1593</v>
      </c>
      <c r="B1459" s="5" t="s">
        <v>79</v>
      </c>
      <c r="C1459" s="7" t="n">
        <v>45316</v>
      </c>
      <c r="D1459" s="8" t="str">
        <f aca="false">INDEX(Dim_Supplier!$C$2:$C$21,MATCH(B1459,Dim_Supplier!$A$2:$A$21,0))</f>
        <v>Logistics</v>
      </c>
      <c r="E1459" s="8" t="str">
        <f aca="false">INDEX(Dim_Supplier!$B$2:$B$21,MATCH(B1459,Dim_Supplier!$A$2:$A$21,0))</f>
        <v>Niagara Freight Solutions</v>
      </c>
      <c r="F1459" s="5" t="s">
        <v>146</v>
      </c>
      <c r="G1459" s="5" t="s">
        <v>112</v>
      </c>
      <c r="H1459" s="8" t="n">
        <f aca="false">INDEX(Lookup_Tables!$B$2:$B$5,MATCH(D1459,Lookup_Tables!$A$2:$A$5,0))</f>
        <v>5</v>
      </c>
      <c r="I1459" s="9" t="n">
        <f aca="false">C1459+H1459</f>
        <v>45321</v>
      </c>
      <c r="J1459" s="5" t="n">
        <v>-2</v>
      </c>
      <c r="K1459" s="9" t="n">
        <f aca="false">I1459+J1459</f>
        <v>45319</v>
      </c>
      <c r="L1459" s="5" t="n">
        <v>1</v>
      </c>
      <c r="M1459" s="10" t="n">
        <f aca="false">INDEX(Dim_Supplier!$F$2:$F$21,MATCH(B1459,Dim_Supplier!$A$2:$A$21,0))</f>
        <v>340</v>
      </c>
      <c r="N1459" s="11" t="n">
        <v>0.0317</v>
      </c>
      <c r="O1459" s="10" t="n">
        <f aca="false">M1459*(1+N1459)</f>
        <v>350.778</v>
      </c>
      <c r="P1459" s="10" t="n">
        <f aca="false">O1459*L1459</f>
        <v>350.778</v>
      </c>
      <c r="Q1459" s="5" t="s">
        <v>133</v>
      </c>
      <c r="R1459" s="5" t="n">
        <v>0</v>
      </c>
      <c r="S1459" s="5" t="n">
        <v>45</v>
      </c>
      <c r="T1459" s="12" t="n">
        <f aca="false">(O1459-M1459)/M1459</f>
        <v>0.0317000000000001</v>
      </c>
      <c r="U1459" s="8" t="n">
        <f aca="false">IF(AND(K1459&lt;=I1459,R1459=0),1,0)</f>
        <v>1</v>
      </c>
      <c r="V1459" s="10" t="n">
        <f aca="false">IF(Q1459="No",P1459,0)</f>
        <v>350.778</v>
      </c>
    </row>
    <row r="1460" customFormat="false" ht="15" hidden="false" customHeight="false" outlineLevel="0" collapsed="false">
      <c r="A1460" s="5" t="s">
        <v>1594</v>
      </c>
      <c r="B1460" s="5" t="s">
        <v>82</v>
      </c>
      <c r="C1460" s="7" t="n">
        <v>45864</v>
      </c>
      <c r="D1460" s="8" t="str">
        <f aca="false">INDEX(Dim_Supplier!$C$2:$C$21,MATCH(B1460,Dim_Supplier!$A$2:$A$21,0))</f>
        <v>Logistics</v>
      </c>
      <c r="E1460" s="8" t="str">
        <f aca="false">INDEX(Dim_Supplier!$B$2:$B$21,MATCH(B1460,Dim_Supplier!$A$2:$A$21,0))</f>
        <v>Maple Route Logistics</v>
      </c>
      <c r="F1460" s="5" t="s">
        <v>237</v>
      </c>
      <c r="G1460" s="5" t="s">
        <v>112</v>
      </c>
      <c r="H1460" s="8" t="n">
        <f aca="false">INDEX(Lookup_Tables!$B$2:$B$5,MATCH(D1460,Lookup_Tables!$A$2:$A$5,0))</f>
        <v>5</v>
      </c>
      <c r="I1460" s="9" t="n">
        <f aca="false">C1460+H1460</f>
        <v>45869</v>
      </c>
      <c r="J1460" s="5" t="n">
        <v>-2</v>
      </c>
      <c r="K1460" s="9" t="n">
        <f aca="false">I1460+J1460</f>
        <v>45867</v>
      </c>
      <c r="L1460" s="5" t="n">
        <v>19</v>
      </c>
      <c r="M1460" s="10" t="n">
        <f aca="false">INDEX(Dim_Supplier!$F$2:$F$21,MATCH(B1460,Dim_Supplier!$A$2:$A$21,0))</f>
        <v>285</v>
      </c>
      <c r="N1460" s="11" t="n">
        <v>-0.0022</v>
      </c>
      <c r="O1460" s="10" t="n">
        <f aca="false">M1460*(1+N1460)</f>
        <v>284.373</v>
      </c>
      <c r="P1460" s="10" t="n">
        <f aca="false">O1460*L1460</f>
        <v>5403.087</v>
      </c>
      <c r="Q1460" s="5" t="s">
        <v>113</v>
      </c>
      <c r="R1460" s="5" t="n">
        <v>0</v>
      </c>
      <c r="S1460" s="5" t="n">
        <v>30</v>
      </c>
      <c r="T1460" s="12" t="n">
        <f aca="false">(O1460-M1460)/M1460</f>
        <v>-0.00220000000000003</v>
      </c>
      <c r="U1460" s="8" t="n">
        <f aca="false">IF(AND(K1460&lt;=I1460,R1460=0),1,0)</f>
        <v>1</v>
      </c>
      <c r="V1460" s="10" t="n">
        <f aca="false">IF(Q1460="No",P1460,0)</f>
        <v>0</v>
      </c>
    </row>
    <row r="1461" customFormat="false" ht="15" hidden="false" customHeight="false" outlineLevel="0" collapsed="false">
      <c r="A1461" s="5" t="s">
        <v>1595</v>
      </c>
      <c r="B1461" s="5" t="s">
        <v>64</v>
      </c>
      <c r="C1461" s="7" t="n">
        <v>45459</v>
      </c>
      <c r="D1461" s="8" t="str">
        <f aca="false">INDEX(Dim_Supplier!$C$2:$C$21,MATCH(B1461,Dim_Supplier!$A$2:$A$21,0))</f>
        <v>Packaging</v>
      </c>
      <c r="E1461" s="8" t="str">
        <f aca="false">INDEX(Dim_Supplier!$B$2:$B$21,MATCH(B1461,Dim_Supplier!$A$2:$A$21,0))</f>
        <v>Huron Pallet Works</v>
      </c>
      <c r="F1461" s="5" t="s">
        <v>119</v>
      </c>
      <c r="G1461" s="5" t="s">
        <v>120</v>
      </c>
      <c r="H1461" s="8" t="n">
        <f aca="false">INDEX(Lookup_Tables!$B$2:$B$5,MATCH(D1461,Lookup_Tables!$A$2:$A$5,0))</f>
        <v>14</v>
      </c>
      <c r="I1461" s="9" t="n">
        <f aca="false">C1461+H1461</f>
        <v>45473</v>
      </c>
      <c r="J1461" s="5" t="n">
        <v>5</v>
      </c>
      <c r="K1461" s="9" t="n">
        <f aca="false">I1461+J1461</f>
        <v>45478</v>
      </c>
      <c r="L1461" s="5" t="n">
        <v>3127</v>
      </c>
      <c r="M1461" s="10" t="n">
        <f aca="false">INDEX(Dim_Supplier!$F$2:$F$21,MATCH(B1461,Dim_Supplier!$A$2:$A$21,0))</f>
        <v>2.25</v>
      </c>
      <c r="N1461" s="11" t="n">
        <v>0.1153</v>
      </c>
      <c r="O1461" s="10" t="n">
        <f aca="false">M1461*(1+N1461)</f>
        <v>2.509425</v>
      </c>
      <c r="P1461" s="10" t="n">
        <f aca="false">O1461*L1461</f>
        <v>7846.971975</v>
      </c>
      <c r="Q1461" s="5" t="s">
        <v>133</v>
      </c>
      <c r="R1461" s="5" t="n">
        <v>0</v>
      </c>
      <c r="S1461" s="5" t="n">
        <v>30</v>
      </c>
      <c r="T1461" s="12" t="n">
        <f aca="false">(O1461-M1461)/M1461</f>
        <v>0.1153</v>
      </c>
      <c r="U1461" s="8" t="n">
        <f aca="false">IF(AND(K1461&lt;=I1461,R1461=0),1,0)</f>
        <v>0</v>
      </c>
      <c r="V1461" s="10" t="n">
        <f aca="false">IF(Q1461="No",P1461,0)</f>
        <v>7846.971975</v>
      </c>
    </row>
    <row r="1462" customFormat="false" ht="15" hidden="false" customHeight="false" outlineLevel="0" collapsed="false">
      <c r="A1462" s="5" t="s">
        <v>1596</v>
      </c>
      <c r="B1462" s="5" t="s">
        <v>60</v>
      </c>
      <c r="C1462" s="7" t="n">
        <v>45770</v>
      </c>
      <c r="D1462" s="8" t="str">
        <f aca="false">INDEX(Dim_Supplier!$C$2:$C$21,MATCH(B1462,Dim_Supplier!$A$2:$A$21,0))</f>
        <v>Packaging</v>
      </c>
      <c r="E1462" s="8" t="str">
        <f aca="false">INDEX(Dim_Supplier!$B$2:$B$21,MATCH(B1462,Dim_Supplier!$A$2:$A$21,0))</f>
        <v>Maple Leaf Box &amp; Crate</v>
      </c>
      <c r="F1462" s="5" t="s">
        <v>119</v>
      </c>
      <c r="G1462" s="5" t="s">
        <v>120</v>
      </c>
      <c r="H1462" s="8" t="n">
        <f aca="false">INDEX(Lookup_Tables!$B$2:$B$5,MATCH(D1462,Lookup_Tables!$A$2:$A$5,0))</f>
        <v>14</v>
      </c>
      <c r="I1462" s="9" t="n">
        <f aca="false">C1462+H1462</f>
        <v>45784</v>
      </c>
      <c r="J1462" s="5" t="n">
        <v>1</v>
      </c>
      <c r="K1462" s="9" t="n">
        <f aca="false">I1462+J1462</f>
        <v>45785</v>
      </c>
      <c r="L1462" s="5" t="n">
        <v>4551</v>
      </c>
      <c r="M1462" s="10" t="n">
        <f aca="false">INDEX(Dim_Supplier!$F$2:$F$21,MATCH(B1462,Dim_Supplier!$A$2:$A$21,0))</f>
        <v>3.1</v>
      </c>
      <c r="N1462" s="11" t="n">
        <v>0.0639</v>
      </c>
      <c r="O1462" s="10" t="n">
        <f aca="false">M1462*(1+N1462)</f>
        <v>3.29809</v>
      </c>
      <c r="P1462" s="10" t="n">
        <f aca="false">O1462*L1462</f>
        <v>15009.60759</v>
      </c>
      <c r="Q1462" s="5" t="s">
        <v>113</v>
      </c>
      <c r="R1462" s="5" t="n">
        <v>0</v>
      </c>
      <c r="S1462" s="5" t="n">
        <v>60</v>
      </c>
      <c r="T1462" s="12" t="n">
        <f aca="false">(O1462-M1462)/M1462</f>
        <v>0.0639</v>
      </c>
      <c r="U1462" s="8" t="n">
        <f aca="false">IF(AND(K1462&lt;=I1462,R1462=0),1,0)</f>
        <v>0</v>
      </c>
      <c r="V1462" s="10" t="n">
        <f aca="false">IF(Q1462="No",P1462,0)</f>
        <v>0</v>
      </c>
    </row>
    <row r="1463" customFormat="false" ht="15" hidden="false" customHeight="false" outlineLevel="0" collapsed="false">
      <c r="A1463" s="5" t="s">
        <v>1597</v>
      </c>
      <c r="B1463" s="5" t="s">
        <v>46</v>
      </c>
      <c r="C1463" s="7" t="n">
        <v>45551</v>
      </c>
      <c r="D1463" s="8" t="str">
        <f aca="false">INDEX(Dim_Supplier!$C$2:$C$21,MATCH(B1463,Dim_Supplier!$A$2:$A$21,0))</f>
        <v>Raw Materials</v>
      </c>
      <c r="E1463" s="8" t="str">
        <f aca="false">INDEX(Dim_Supplier!$B$2:$B$21,MATCH(B1463,Dim_Supplier!$A$2:$A$21,0))</f>
        <v>Niagara Alloy Supply</v>
      </c>
      <c r="F1463" s="5" t="s">
        <v>115</v>
      </c>
      <c r="G1463" s="5" t="s">
        <v>120</v>
      </c>
      <c r="H1463" s="8" t="n">
        <f aca="false">INDEX(Lookup_Tables!$B$2:$B$5,MATCH(D1463,Lookup_Tables!$A$2:$A$5,0))</f>
        <v>21</v>
      </c>
      <c r="I1463" s="9" t="n">
        <f aca="false">C1463+H1463</f>
        <v>45572</v>
      </c>
      <c r="J1463" s="5" t="n">
        <v>2</v>
      </c>
      <c r="K1463" s="9" t="n">
        <f aca="false">I1463+J1463</f>
        <v>45574</v>
      </c>
      <c r="L1463" s="5" t="n">
        <v>1023</v>
      </c>
      <c r="M1463" s="10" t="n">
        <f aca="false">INDEX(Dim_Supplier!$F$2:$F$21,MATCH(B1463,Dim_Supplier!$A$2:$A$21,0))</f>
        <v>46.5</v>
      </c>
      <c r="N1463" s="11" t="n">
        <v>0.0169</v>
      </c>
      <c r="O1463" s="10" t="n">
        <f aca="false">M1463*(1+N1463)</f>
        <v>47.28585</v>
      </c>
      <c r="P1463" s="10" t="n">
        <f aca="false">O1463*L1463</f>
        <v>48373.42455</v>
      </c>
      <c r="Q1463" s="5" t="s">
        <v>113</v>
      </c>
      <c r="R1463" s="5" t="n">
        <v>0</v>
      </c>
      <c r="S1463" s="5" t="n">
        <v>30</v>
      </c>
      <c r="T1463" s="12" t="n">
        <f aca="false">(O1463-M1463)/M1463</f>
        <v>0.0168999999999999</v>
      </c>
      <c r="U1463" s="8" t="n">
        <f aca="false">IF(AND(K1463&lt;=I1463,R1463=0),1,0)</f>
        <v>0</v>
      </c>
      <c r="V1463" s="10" t="n">
        <f aca="false">IF(Q1463="No",P1463,0)</f>
        <v>0</v>
      </c>
    </row>
    <row r="1464" customFormat="false" ht="15" hidden="false" customHeight="false" outlineLevel="0" collapsed="false">
      <c r="A1464" s="5" t="s">
        <v>1598</v>
      </c>
      <c r="B1464" s="5" t="s">
        <v>41</v>
      </c>
      <c r="C1464" s="7" t="n">
        <v>45810</v>
      </c>
      <c r="D1464" s="8" t="str">
        <f aca="false">INDEX(Dim_Supplier!$C$2:$C$21,MATCH(B1464,Dim_Supplier!$A$2:$A$21,0))</f>
        <v>Raw Materials</v>
      </c>
      <c r="E1464" s="8" t="str">
        <f aca="false">INDEX(Dim_Supplier!$B$2:$B$21,MATCH(B1464,Dim_Supplier!$A$2:$A$21,0))</f>
        <v>Ontario Steel Partners</v>
      </c>
      <c r="F1464" s="5" t="s">
        <v>115</v>
      </c>
      <c r="G1464" s="5" t="s">
        <v>120</v>
      </c>
      <c r="H1464" s="8" t="n">
        <f aca="false">INDEX(Lookup_Tables!$B$2:$B$5,MATCH(D1464,Lookup_Tables!$A$2:$A$5,0))</f>
        <v>21</v>
      </c>
      <c r="I1464" s="9" t="n">
        <f aca="false">C1464+H1464</f>
        <v>45831</v>
      </c>
      <c r="J1464" s="5" t="n">
        <v>-4</v>
      </c>
      <c r="K1464" s="9" t="n">
        <f aca="false">I1464+J1464</f>
        <v>45827</v>
      </c>
      <c r="L1464" s="5" t="n">
        <v>426</v>
      </c>
      <c r="M1464" s="10" t="n">
        <f aca="false">INDEX(Dim_Supplier!$F$2:$F$21,MATCH(B1464,Dim_Supplier!$A$2:$A$21,0))</f>
        <v>58</v>
      </c>
      <c r="N1464" s="11" t="n">
        <v>0.0006</v>
      </c>
      <c r="O1464" s="10" t="n">
        <f aca="false">M1464*(1+N1464)</f>
        <v>58.0348</v>
      </c>
      <c r="P1464" s="10" t="n">
        <f aca="false">O1464*L1464</f>
        <v>24722.8248</v>
      </c>
      <c r="Q1464" s="5" t="s">
        <v>113</v>
      </c>
      <c r="R1464" s="5" t="n">
        <v>0</v>
      </c>
      <c r="S1464" s="5" t="n">
        <v>60</v>
      </c>
      <c r="T1464" s="12" t="n">
        <f aca="false">(O1464-M1464)/M1464</f>
        <v>0.000599999999999949</v>
      </c>
      <c r="U1464" s="8" t="n">
        <f aca="false">IF(AND(K1464&lt;=I1464,R1464=0),1,0)</f>
        <v>1</v>
      </c>
      <c r="V1464" s="10" t="n">
        <f aca="false">IF(Q1464="No",P1464,0)</f>
        <v>0</v>
      </c>
    </row>
    <row r="1465" customFormat="false" ht="15" hidden="false" customHeight="false" outlineLevel="0" collapsed="false">
      <c r="A1465" s="5" t="s">
        <v>1599</v>
      </c>
      <c r="B1465" s="5" t="s">
        <v>79</v>
      </c>
      <c r="C1465" s="7" t="n">
        <v>46136</v>
      </c>
      <c r="D1465" s="8" t="str">
        <f aca="false">INDEX(Dim_Supplier!$C$2:$C$21,MATCH(B1465,Dim_Supplier!$A$2:$A$21,0))</f>
        <v>Logistics</v>
      </c>
      <c r="E1465" s="8" t="str">
        <f aca="false">INDEX(Dim_Supplier!$B$2:$B$21,MATCH(B1465,Dim_Supplier!$A$2:$A$21,0))</f>
        <v>Niagara Freight Solutions</v>
      </c>
      <c r="F1465" s="5" t="s">
        <v>237</v>
      </c>
      <c r="G1465" s="5" t="s">
        <v>129</v>
      </c>
      <c r="H1465" s="8" t="n">
        <f aca="false">INDEX(Lookup_Tables!$B$2:$B$5,MATCH(D1465,Lookup_Tables!$A$2:$A$5,0))</f>
        <v>5</v>
      </c>
      <c r="I1465" s="9" t="n">
        <f aca="false">C1465+H1465</f>
        <v>46141</v>
      </c>
      <c r="J1465" s="5" t="n">
        <v>0</v>
      </c>
      <c r="K1465" s="9" t="n">
        <f aca="false">I1465+J1465</f>
        <v>46141</v>
      </c>
      <c r="L1465" s="5" t="n">
        <v>33</v>
      </c>
      <c r="M1465" s="10" t="n">
        <f aca="false">INDEX(Dim_Supplier!$F$2:$F$21,MATCH(B1465,Dim_Supplier!$A$2:$A$21,0))</f>
        <v>340</v>
      </c>
      <c r="N1465" s="11" t="n">
        <v>-0.0269</v>
      </c>
      <c r="O1465" s="10" t="n">
        <f aca="false">M1465*(1+N1465)</f>
        <v>330.854</v>
      </c>
      <c r="P1465" s="10" t="n">
        <f aca="false">O1465*L1465</f>
        <v>10918.182</v>
      </c>
      <c r="Q1465" s="5" t="s">
        <v>113</v>
      </c>
      <c r="R1465" s="5" t="n">
        <v>0</v>
      </c>
      <c r="S1465" s="5" t="n">
        <v>45</v>
      </c>
      <c r="T1465" s="12" t="n">
        <f aca="false">(O1465-M1465)/M1465</f>
        <v>-0.0269</v>
      </c>
      <c r="U1465" s="8" t="n">
        <f aca="false">IF(AND(K1465&lt;=I1465,R1465=0),1,0)</f>
        <v>1</v>
      </c>
      <c r="V1465" s="10" t="n">
        <f aca="false">IF(Q1465="No",P1465,0)</f>
        <v>0</v>
      </c>
    </row>
    <row r="1466" customFormat="false" ht="15" hidden="false" customHeight="false" outlineLevel="0" collapsed="false">
      <c r="A1466" s="5" t="s">
        <v>1600</v>
      </c>
      <c r="B1466" s="5" t="s">
        <v>52</v>
      </c>
      <c r="C1466" s="7" t="n">
        <v>45855</v>
      </c>
      <c r="D1466" s="8" t="str">
        <f aca="false">INDEX(Dim_Supplier!$C$2:$C$21,MATCH(B1466,Dim_Supplier!$A$2:$A$21,0))</f>
        <v>Raw Materials</v>
      </c>
      <c r="E1466" s="8" t="str">
        <f aca="false">INDEX(Dim_Supplier!$B$2:$B$21,MATCH(B1466,Dim_Supplier!$A$2:$A$21,0))</f>
        <v>Laurentian Metals Inc.</v>
      </c>
      <c r="F1466" s="5" t="s">
        <v>115</v>
      </c>
      <c r="G1466" s="5" t="s">
        <v>112</v>
      </c>
      <c r="H1466" s="8" t="n">
        <f aca="false">INDEX(Lookup_Tables!$B$2:$B$5,MATCH(D1466,Lookup_Tables!$A$2:$A$5,0))</f>
        <v>21</v>
      </c>
      <c r="I1466" s="9" t="n">
        <f aca="false">C1466+H1466</f>
        <v>45876</v>
      </c>
      <c r="J1466" s="5" t="n">
        <v>-4</v>
      </c>
      <c r="K1466" s="9" t="n">
        <f aca="false">I1466+J1466</f>
        <v>45872</v>
      </c>
      <c r="L1466" s="5" t="n">
        <v>1101</v>
      </c>
      <c r="M1466" s="10" t="n">
        <f aca="false">INDEX(Dim_Supplier!$F$2:$F$21,MATCH(B1466,Dim_Supplier!$A$2:$A$21,0))</f>
        <v>61.2</v>
      </c>
      <c r="N1466" s="11" t="n">
        <v>-0.0122</v>
      </c>
      <c r="O1466" s="10" t="n">
        <f aca="false">M1466*(1+N1466)</f>
        <v>60.45336</v>
      </c>
      <c r="P1466" s="10" t="n">
        <f aca="false">O1466*L1466</f>
        <v>66559.14936</v>
      </c>
      <c r="Q1466" s="5" t="s">
        <v>113</v>
      </c>
      <c r="R1466" s="5" t="n">
        <v>0</v>
      </c>
      <c r="S1466" s="5" t="n">
        <v>45</v>
      </c>
      <c r="T1466" s="12" t="n">
        <f aca="false">(O1466-M1466)/M1466</f>
        <v>-0.0122</v>
      </c>
      <c r="U1466" s="8" t="n">
        <f aca="false">IF(AND(K1466&lt;=I1466,R1466=0),1,0)</f>
        <v>1</v>
      </c>
      <c r="V1466" s="10" t="n">
        <f aca="false">IF(Q1466="No",P1466,0)</f>
        <v>0</v>
      </c>
    </row>
    <row r="1467" customFormat="false" ht="15" hidden="false" customHeight="false" outlineLevel="0" collapsed="false">
      <c r="A1467" s="5" t="s">
        <v>1601</v>
      </c>
      <c r="B1467" s="5" t="s">
        <v>68</v>
      </c>
      <c r="C1467" s="7" t="n">
        <v>45696</v>
      </c>
      <c r="D1467" s="8" t="str">
        <f aca="false">INDEX(Dim_Supplier!$C$2:$C$21,MATCH(B1467,Dim_Supplier!$A$2:$A$21,0))</f>
        <v>MRO</v>
      </c>
      <c r="E1467" s="8" t="str">
        <f aca="false">INDEX(Dim_Supplier!$B$2:$B$21,MATCH(B1467,Dim_Supplier!$A$2:$A$21,0))</f>
        <v>Precision Tool &amp; Supply</v>
      </c>
      <c r="F1467" s="5" t="s">
        <v>132</v>
      </c>
      <c r="G1467" s="5" t="s">
        <v>125</v>
      </c>
      <c r="H1467" s="8" t="n">
        <f aca="false">INDEX(Lookup_Tables!$B$2:$B$5,MATCH(D1467,Lookup_Tables!$A$2:$A$5,0))</f>
        <v>10</v>
      </c>
      <c r="I1467" s="9" t="n">
        <f aca="false">C1467+H1467</f>
        <v>45706</v>
      </c>
      <c r="J1467" s="5" t="n">
        <v>-3</v>
      </c>
      <c r="K1467" s="9" t="n">
        <f aca="false">I1467+J1467</f>
        <v>45703</v>
      </c>
      <c r="L1467" s="5" t="n">
        <v>109</v>
      </c>
      <c r="M1467" s="10" t="n">
        <f aca="false">INDEX(Dim_Supplier!$F$2:$F$21,MATCH(B1467,Dim_Supplier!$A$2:$A$21,0))</f>
        <v>22.4</v>
      </c>
      <c r="N1467" s="11" t="n">
        <v>0.0283</v>
      </c>
      <c r="O1467" s="10" t="n">
        <f aca="false">M1467*(1+N1467)</f>
        <v>23.03392</v>
      </c>
      <c r="P1467" s="10" t="n">
        <f aca="false">O1467*L1467</f>
        <v>2510.69728</v>
      </c>
      <c r="Q1467" s="5" t="s">
        <v>113</v>
      </c>
      <c r="R1467" s="5" t="n">
        <v>0</v>
      </c>
      <c r="S1467" s="5" t="n">
        <v>30</v>
      </c>
      <c r="T1467" s="12" t="n">
        <f aca="false">(O1467-M1467)/M1467</f>
        <v>0.0283</v>
      </c>
      <c r="U1467" s="8" t="n">
        <f aca="false">IF(AND(K1467&lt;=I1467,R1467=0),1,0)</f>
        <v>1</v>
      </c>
      <c r="V1467" s="10" t="n">
        <f aca="false">IF(Q1467="No",P1467,0)</f>
        <v>0</v>
      </c>
    </row>
    <row r="1468" customFormat="false" ht="15" hidden="false" customHeight="false" outlineLevel="0" collapsed="false">
      <c r="A1468" s="5" t="s">
        <v>1602</v>
      </c>
      <c r="B1468" s="5" t="s">
        <v>73</v>
      </c>
      <c r="C1468" s="7" t="n">
        <v>45451</v>
      </c>
      <c r="D1468" s="8" t="str">
        <f aca="false">INDEX(Dim_Supplier!$C$2:$C$21,MATCH(B1468,Dim_Supplier!$A$2:$A$21,0))</f>
        <v>MRO</v>
      </c>
      <c r="E1468" s="8" t="str">
        <f aca="false">INDEX(Dim_Supplier!$B$2:$B$21,MATCH(B1468,Dim_Supplier!$A$2:$A$21,0))</f>
        <v>Frontier MRO Solutions</v>
      </c>
      <c r="F1468" s="5" t="s">
        <v>164</v>
      </c>
      <c r="G1468" s="5" t="s">
        <v>129</v>
      </c>
      <c r="H1468" s="8" t="n">
        <f aca="false">INDEX(Lookup_Tables!$B$2:$B$5,MATCH(D1468,Lookup_Tables!$A$2:$A$5,0))</f>
        <v>10</v>
      </c>
      <c r="I1468" s="9" t="n">
        <f aca="false">C1468+H1468</f>
        <v>45461</v>
      </c>
      <c r="J1468" s="5" t="n">
        <v>9</v>
      </c>
      <c r="K1468" s="9" t="n">
        <f aca="false">I1468+J1468</f>
        <v>45470</v>
      </c>
      <c r="L1468" s="5" t="n">
        <v>32</v>
      </c>
      <c r="M1468" s="10" t="n">
        <f aca="false">INDEX(Dim_Supplier!$F$2:$F$21,MATCH(B1468,Dim_Supplier!$A$2:$A$21,0))</f>
        <v>15.9</v>
      </c>
      <c r="N1468" s="11" t="n">
        <v>0.1172</v>
      </c>
      <c r="O1468" s="10" t="n">
        <f aca="false">M1468*(1+N1468)</f>
        <v>17.76348</v>
      </c>
      <c r="P1468" s="10" t="n">
        <f aca="false">O1468*L1468</f>
        <v>568.43136</v>
      </c>
      <c r="Q1468" s="5" t="s">
        <v>133</v>
      </c>
      <c r="R1468" s="5" t="n">
        <v>0</v>
      </c>
      <c r="S1468" s="5" t="n">
        <v>45</v>
      </c>
      <c r="T1468" s="12" t="n">
        <f aca="false">(O1468-M1468)/M1468</f>
        <v>0.1172</v>
      </c>
      <c r="U1468" s="8" t="n">
        <f aca="false">IF(AND(K1468&lt;=I1468,R1468=0),1,0)</f>
        <v>0</v>
      </c>
      <c r="V1468" s="10" t="n">
        <f aca="false">IF(Q1468="No",P1468,0)</f>
        <v>568.43136</v>
      </c>
    </row>
    <row r="1469" customFormat="false" ht="15" hidden="false" customHeight="false" outlineLevel="0" collapsed="false">
      <c r="A1469" s="5" t="s">
        <v>1603</v>
      </c>
      <c r="B1469" s="5" t="s">
        <v>57</v>
      </c>
      <c r="C1469" s="7" t="n">
        <v>46065</v>
      </c>
      <c r="D1469" s="8" t="str">
        <f aca="false">INDEX(Dim_Supplier!$C$2:$C$21,MATCH(B1469,Dim_Supplier!$A$2:$A$21,0))</f>
        <v>Packaging</v>
      </c>
      <c r="E1469" s="8" t="str">
        <f aca="false">INDEX(Dim_Supplier!$B$2:$B$21,MATCH(B1469,Dim_Supplier!$A$2:$A$21,0))</f>
        <v>Great Lakes Packaging Co.</v>
      </c>
      <c r="F1469" s="5" t="s">
        <v>137</v>
      </c>
      <c r="G1469" s="5" t="s">
        <v>120</v>
      </c>
      <c r="H1469" s="8" t="n">
        <f aca="false">INDEX(Lookup_Tables!$B$2:$B$5,MATCH(D1469,Lookup_Tables!$A$2:$A$5,0))</f>
        <v>14</v>
      </c>
      <c r="I1469" s="9" t="n">
        <f aca="false">C1469+H1469</f>
        <v>46079</v>
      </c>
      <c r="J1469" s="5" t="n">
        <v>-2</v>
      </c>
      <c r="K1469" s="9" t="n">
        <f aca="false">I1469+J1469</f>
        <v>46077</v>
      </c>
      <c r="L1469" s="5" t="n">
        <v>1291</v>
      </c>
      <c r="M1469" s="10" t="n">
        <f aca="false">INDEX(Dim_Supplier!$F$2:$F$21,MATCH(B1469,Dim_Supplier!$A$2:$A$21,0))</f>
        <v>4.35</v>
      </c>
      <c r="N1469" s="11" t="n">
        <v>-0.0123</v>
      </c>
      <c r="O1469" s="10" t="n">
        <f aca="false">M1469*(1+N1469)</f>
        <v>4.296495</v>
      </c>
      <c r="P1469" s="10" t="n">
        <f aca="false">O1469*L1469</f>
        <v>5546.775045</v>
      </c>
      <c r="Q1469" s="5" t="s">
        <v>133</v>
      </c>
      <c r="R1469" s="5" t="n">
        <v>0</v>
      </c>
      <c r="S1469" s="5" t="n">
        <v>30</v>
      </c>
      <c r="T1469" s="12" t="n">
        <f aca="false">(O1469-M1469)/M1469</f>
        <v>-0.0122999999999999</v>
      </c>
      <c r="U1469" s="8" t="n">
        <f aca="false">IF(AND(K1469&lt;=I1469,R1469=0),1,0)</f>
        <v>1</v>
      </c>
      <c r="V1469" s="10" t="n">
        <f aca="false">IF(Q1469="No",P1469,0)</f>
        <v>5546.775045</v>
      </c>
    </row>
    <row r="1470" customFormat="false" ht="15" hidden="false" customHeight="false" outlineLevel="0" collapsed="false">
      <c r="A1470" s="5" t="s">
        <v>1604</v>
      </c>
      <c r="B1470" s="5" t="s">
        <v>57</v>
      </c>
      <c r="C1470" s="7" t="n">
        <v>45504</v>
      </c>
      <c r="D1470" s="8" t="str">
        <f aca="false">INDEX(Dim_Supplier!$C$2:$C$21,MATCH(B1470,Dim_Supplier!$A$2:$A$21,0))</f>
        <v>Packaging</v>
      </c>
      <c r="E1470" s="8" t="str">
        <f aca="false">INDEX(Dim_Supplier!$B$2:$B$21,MATCH(B1470,Dim_Supplier!$A$2:$A$21,0))</f>
        <v>Great Lakes Packaging Co.</v>
      </c>
      <c r="F1470" s="5" t="s">
        <v>158</v>
      </c>
      <c r="G1470" s="5" t="s">
        <v>129</v>
      </c>
      <c r="H1470" s="8" t="n">
        <f aca="false">INDEX(Lookup_Tables!$B$2:$B$5,MATCH(D1470,Lookup_Tables!$A$2:$A$5,0))</f>
        <v>14</v>
      </c>
      <c r="I1470" s="9" t="n">
        <f aca="false">C1470+H1470</f>
        <v>45518</v>
      </c>
      <c r="J1470" s="5" t="n">
        <v>-1</v>
      </c>
      <c r="K1470" s="9" t="n">
        <f aca="false">I1470+J1470</f>
        <v>45517</v>
      </c>
      <c r="L1470" s="5" t="n">
        <v>1474</v>
      </c>
      <c r="M1470" s="10" t="n">
        <f aca="false">INDEX(Dim_Supplier!$F$2:$F$21,MATCH(B1470,Dim_Supplier!$A$2:$A$21,0))</f>
        <v>4.35</v>
      </c>
      <c r="N1470" s="11" t="n">
        <v>0.019</v>
      </c>
      <c r="O1470" s="10" t="n">
        <f aca="false">M1470*(1+N1470)</f>
        <v>4.43265</v>
      </c>
      <c r="P1470" s="10" t="n">
        <f aca="false">O1470*L1470</f>
        <v>6533.7261</v>
      </c>
      <c r="Q1470" s="5" t="s">
        <v>113</v>
      </c>
      <c r="R1470" s="5" t="n">
        <v>0</v>
      </c>
      <c r="S1470" s="5" t="n">
        <v>30</v>
      </c>
      <c r="T1470" s="12" t="n">
        <f aca="false">(O1470-M1470)/M1470</f>
        <v>0.0189999999999998</v>
      </c>
      <c r="U1470" s="8" t="n">
        <f aca="false">IF(AND(K1470&lt;=I1470,R1470=0),1,0)</f>
        <v>1</v>
      </c>
      <c r="V1470" s="10" t="n">
        <f aca="false">IF(Q1470="No",P1470,0)</f>
        <v>0</v>
      </c>
    </row>
    <row r="1471" customFormat="false" ht="15" hidden="false" customHeight="false" outlineLevel="0" collapsed="false">
      <c r="A1471" s="5" t="s">
        <v>1605</v>
      </c>
      <c r="B1471" s="5" t="s">
        <v>75</v>
      </c>
      <c r="C1471" s="7" t="n">
        <v>45599</v>
      </c>
      <c r="D1471" s="8" t="str">
        <f aca="false">INDEX(Dim_Supplier!$C$2:$C$21,MATCH(B1471,Dim_Supplier!$A$2:$A$21,0))</f>
        <v>MRO</v>
      </c>
      <c r="E1471" s="8" t="str">
        <f aca="false">INDEX(Dim_Supplier!$B$2:$B$21,MATCH(B1471,Dim_Supplier!$A$2:$A$21,0))</f>
        <v>Sterling Lubricants Inc.</v>
      </c>
      <c r="F1471" s="5" t="s">
        <v>111</v>
      </c>
      <c r="G1471" s="5" t="s">
        <v>125</v>
      </c>
      <c r="H1471" s="8" t="n">
        <f aca="false">INDEX(Lookup_Tables!$B$2:$B$5,MATCH(D1471,Lookup_Tables!$A$2:$A$5,0))</f>
        <v>10</v>
      </c>
      <c r="I1471" s="9" t="n">
        <f aca="false">C1471+H1471</f>
        <v>45609</v>
      </c>
      <c r="J1471" s="5" t="n">
        <v>-4</v>
      </c>
      <c r="K1471" s="9" t="n">
        <f aca="false">I1471+J1471</f>
        <v>45605</v>
      </c>
      <c r="L1471" s="5" t="n">
        <v>163</v>
      </c>
      <c r="M1471" s="10" t="n">
        <f aca="false">INDEX(Dim_Supplier!$F$2:$F$21,MATCH(B1471,Dim_Supplier!$A$2:$A$21,0))</f>
        <v>27.1</v>
      </c>
      <c r="N1471" s="11" t="n">
        <v>0.032</v>
      </c>
      <c r="O1471" s="10" t="n">
        <f aca="false">M1471*(1+N1471)</f>
        <v>27.9672</v>
      </c>
      <c r="P1471" s="10" t="n">
        <f aca="false">O1471*L1471</f>
        <v>4558.6536</v>
      </c>
      <c r="Q1471" s="5" t="s">
        <v>113</v>
      </c>
      <c r="R1471" s="5" t="n">
        <v>0</v>
      </c>
      <c r="S1471" s="5" t="n">
        <v>45</v>
      </c>
      <c r="T1471" s="12" t="n">
        <f aca="false">(O1471-M1471)/M1471</f>
        <v>0.032</v>
      </c>
      <c r="U1471" s="8" t="n">
        <f aca="false">IF(AND(K1471&lt;=I1471,R1471=0),1,0)</f>
        <v>1</v>
      </c>
      <c r="V1471" s="10" t="n">
        <f aca="false">IF(Q1471="No",P1471,0)</f>
        <v>0</v>
      </c>
    </row>
    <row r="1472" customFormat="false" ht="15" hidden="false" customHeight="false" outlineLevel="0" collapsed="false">
      <c r="A1472" s="5" t="s">
        <v>1606</v>
      </c>
      <c r="B1472" s="5" t="s">
        <v>41</v>
      </c>
      <c r="C1472" s="7" t="n">
        <v>45795</v>
      </c>
      <c r="D1472" s="8" t="str">
        <f aca="false">INDEX(Dim_Supplier!$C$2:$C$21,MATCH(B1472,Dim_Supplier!$A$2:$A$21,0))</f>
        <v>Raw Materials</v>
      </c>
      <c r="E1472" s="8" t="str">
        <f aca="false">INDEX(Dim_Supplier!$B$2:$B$21,MATCH(B1472,Dim_Supplier!$A$2:$A$21,0))</f>
        <v>Ontario Steel Partners</v>
      </c>
      <c r="F1472" s="5" t="s">
        <v>148</v>
      </c>
      <c r="G1472" s="5" t="s">
        <v>125</v>
      </c>
      <c r="H1472" s="8" t="n">
        <f aca="false">INDEX(Lookup_Tables!$B$2:$B$5,MATCH(D1472,Lookup_Tables!$A$2:$A$5,0))</f>
        <v>21</v>
      </c>
      <c r="I1472" s="9" t="n">
        <f aca="false">C1472+H1472</f>
        <v>45816</v>
      </c>
      <c r="J1472" s="5" t="n">
        <v>-3</v>
      </c>
      <c r="K1472" s="9" t="n">
        <f aca="false">I1472+J1472</f>
        <v>45813</v>
      </c>
      <c r="L1472" s="5" t="n">
        <v>1534</v>
      </c>
      <c r="M1472" s="10" t="n">
        <f aca="false">INDEX(Dim_Supplier!$F$2:$F$21,MATCH(B1472,Dim_Supplier!$A$2:$A$21,0))</f>
        <v>58</v>
      </c>
      <c r="N1472" s="11" t="n">
        <v>0.0145</v>
      </c>
      <c r="O1472" s="10" t="n">
        <f aca="false">M1472*(1+N1472)</f>
        <v>58.841</v>
      </c>
      <c r="P1472" s="10" t="n">
        <f aca="false">O1472*L1472</f>
        <v>90262.094</v>
      </c>
      <c r="Q1472" s="5" t="s">
        <v>113</v>
      </c>
      <c r="R1472" s="5" t="n">
        <v>0</v>
      </c>
      <c r="S1472" s="5" t="n">
        <v>45</v>
      </c>
      <c r="T1472" s="12" t="n">
        <f aca="false">(O1472-M1472)/M1472</f>
        <v>0.0144999999999999</v>
      </c>
      <c r="U1472" s="8" t="n">
        <f aca="false">IF(AND(K1472&lt;=I1472,R1472=0),1,0)</f>
        <v>1</v>
      </c>
      <c r="V1472" s="10" t="n">
        <f aca="false">IF(Q1472="No",P1472,0)</f>
        <v>0</v>
      </c>
    </row>
    <row r="1473" customFormat="false" ht="15" hidden="false" customHeight="false" outlineLevel="0" collapsed="false">
      <c r="A1473" s="5" t="s">
        <v>1607</v>
      </c>
      <c r="B1473" s="5" t="s">
        <v>79</v>
      </c>
      <c r="C1473" s="7" t="n">
        <v>45724</v>
      </c>
      <c r="D1473" s="8" t="str">
        <f aca="false">INDEX(Dim_Supplier!$C$2:$C$21,MATCH(B1473,Dim_Supplier!$A$2:$A$21,0))</f>
        <v>Logistics</v>
      </c>
      <c r="E1473" s="8" t="str">
        <f aca="false">INDEX(Dim_Supplier!$B$2:$B$21,MATCH(B1473,Dim_Supplier!$A$2:$A$21,0))</f>
        <v>Niagara Freight Solutions</v>
      </c>
      <c r="F1473" s="5" t="s">
        <v>185</v>
      </c>
      <c r="G1473" s="5" t="s">
        <v>120</v>
      </c>
      <c r="H1473" s="8" t="n">
        <f aca="false">INDEX(Lookup_Tables!$B$2:$B$5,MATCH(D1473,Lookup_Tables!$A$2:$A$5,0))</f>
        <v>5</v>
      </c>
      <c r="I1473" s="9" t="n">
        <f aca="false">C1473+H1473</f>
        <v>45729</v>
      </c>
      <c r="J1473" s="5" t="n">
        <v>1</v>
      </c>
      <c r="K1473" s="9" t="n">
        <f aca="false">I1473+J1473</f>
        <v>45730</v>
      </c>
      <c r="L1473" s="5" t="n">
        <v>2</v>
      </c>
      <c r="M1473" s="10" t="n">
        <f aca="false">INDEX(Dim_Supplier!$F$2:$F$21,MATCH(B1473,Dim_Supplier!$A$2:$A$21,0))</f>
        <v>340</v>
      </c>
      <c r="N1473" s="11" t="n">
        <v>0.0004</v>
      </c>
      <c r="O1473" s="10" t="n">
        <f aca="false">M1473*(1+N1473)</f>
        <v>340.136</v>
      </c>
      <c r="P1473" s="10" t="n">
        <f aca="false">O1473*L1473</f>
        <v>680.272</v>
      </c>
      <c r="Q1473" s="5" t="s">
        <v>113</v>
      </c>
      <c r="R1473" s="5" t="n">
        <v>0</v>
      </c>
      <c r="S1473" s="5" t="n">
        <v>45</v>
      </c>
      <c r="T1473" s="12" t="n">
        <f aca="false">(O1473-M1473)/M1473</f>
        <v>0.000399999999999904</v>
      </c>
      <c r="U1473" s="8" t="n">
        <f aca="false">IF(AND(K1473&lt;=I1473,R1473=0),1,0)</f>
        <v>0</v>
      </c>
      <c r="V1473" s="10" t="n">
        <f aca="false">IF(Q1473="No",P1473,0)</f>
        <v>0</v>
      </c>
    </row>
    <row r="1474" customFormat="false" ht="15" hidden="false" customHeight="false" outlineLevel="0" collapsed="false">
      <c r="A1474" s="5" t="s">
        <v>1608</v>
      </c>
      <c r="B1474" s="5" t="s">
        <v>46</v>
      </c>
      <c r="C1474" s="7" t="n">
        <v>45550</v>
      </c>
      <c r="D1474" s="8" t="str">
        <f aca="false">INDEX(Dim_Supplier!$C$2:$C$21,MATCH(B1474,Dim_Supplier!$A$2:$A$21,0))</f>
        <v>Raw Materials</v>
      </c>
      <c r="E1474" s="8" t="str">
        <f aca="false">INDEX(Dim_Supplier!$B$2:$B$21,MATCH(B1474,Dim_Supplier!$A$2:$A$21,0))</f>
        <v>Niagara Alloy Supply</v>
      </c>
      <c r="F1474" s="5" t="s">
        <v>144</v>
      </c>
      <c r="G1474" s="5" t="s">
        <v>129</v>
      </c>
      <c r="H1474" s="8" t="n">
        <f aca="false">INDEX(Lookup_Tables!$B$2:$B$5,MATCH(D1474,Lookup_Tables!$A$2:$A$5,0))</f>
        <v>21</v>
      </c>
      <c r="I1474" s="9" t="n">
        <f aca="false">C1474+H1474</f>
        <v>45571</v>
      </c>
      <c r="J1474" s="5" t="n">
        <v>2</v>
      </c>
      <c r="K1474" s="9" t="n">
        <f aca="false">I1474+J1474</f>
        <v>45573</v>
      </c>
      <c r="L1474" s="5" t="n">
        <v>1565</v>
      </c>
      <c r="M1474" s="10" t="n">
        <f aca="false">INDEX(Dim_Supplier!$F$2:$F$21,MATCH(B1474,Dim_Supplier!$A$2:$A$21,0))</f>
        <v>46.5</v>
      </c>
      <c r="N1474" s="11" t="n">
        <v>0.046</v>
      </c>
      <c r="O1474" s="10" t="n">
        <f aca="false">M1474*(1+N1474)</f>
        <v>48.639</v>
      </c>
      <c r="P1474" s="10" t="n">
        <f aca="false">O1474*L1474</f>
        <v>76120.035</v>
      </c>
      <c r="Q1474" s="5" t="s">
        <v>113</v>
      </c>
      <c r="R1474" s="5" t="n">
        <v>0</v>
      </c>
      <c r="S1474" s="5" t="n">
        <v>30</v>
      </c>
      <c r="T1474" s="12" t="n">
        <f aca="false">(O1474-M1474)/M1474</f>
        <v>0.0460000000000001</v>
      </c>
      <c r="U1474" s="8" t="n">
        <f aca="false">IF(AND(K1474&lt;=I1474,R1474=0),1,0)</f>
        <v>0</v>
      </c>
      <c r="V1474" s="10" t="n">
        <f aca="false">IF(Q1474="No",P1474,0)</f>
        <v>0</v>
      </c>
    </row>
    <row r="1475" customFormat="false" ht="15" hidden="false" customHeight="false" outlineLevel="0" collapsed="false">
      <c r="A1475" s="5" t="s">
        <v>1609</v>
      </c>
      <c r="B1475" s="5" t="s">
        <v>57</v>
      </c>
      <c r="C1475" s="7" t="n">
        <v>45910</v>
      </c>
      <c r="D1475" s="8" t="str">
        <f aca="false">INDEX(Dim_Supplier!$C$2:$C$21,MATCH(B1475,Dim_Supplier!$A$2:$A$21,0))</f>
        <v>Packaging</v>
      </c>
      <c r="E1475" s="8" t="str">
        <f aca="false">INDEX(Dim_Supplier!$B$2:$B$21,MATCH(B1475,Dim_Supplier!$A$2:$A$21,0))</f>
        <v>Great Lakes Packaging Co.</v>
      </c>
      <c r="F1475" s="5" t="s">
        <v>137</v>
      </c>
      <c r="G1475" s="5" t="s">
        <v>129</v>
      </c>
      <c r="H1475" s="8" t="n">
        <f aca="false">INDEX(Lookup_Tables!$B$2:$B$5,MATCH(D1475,Lookup_Tables!$A$2:$A$5,0))</f>
        <v>14</v>
      </c>
      <c r="I1475" s="9" t="n">
        <f aca="false">C1475+H1475</f>
        <v>45924</v>
      </c>
      <c r="J1475" s="5" t="n">
        <v>-4</v>
      </c>
      <c r="K1475" s="9" t="n">
        <f aca="false">I1475+J1475</f>
        <v>45920</v>
      </c>
      <c r="L1475" s="5" t="n">
        <v>4196</v>
      </c>
      <c r="M1475" s="10" t="n">
        <f aca="false">INDEX(Dim_Supplier!$F$2:$F$21,MATCH(B1475,Dim_Supplier!$A$2:$A$21,0))</f>
        <v>4.35</v>
      </c>
      <c r="N1475" s="11" t="n">
        <v>0.0328</v>
      </c>
      <c r="O1475" s="10" t="n">
        <f aca="false">M1475*(1+N1475)</f>
        <v>4.49268</v>
      </c>
      <c r="P1475" s="10" t="n">
        <f aca="false">O1475*L1475</f>
        <v>18851.28528</v>
      </c>
      <c r="Q1475" s="5" t="s">
        <v>113</v>
      </c>
      <c r="R1475" s="5" t="n">
        <v>0</v>
      </c>
      <c r="S1475" s="5" t="n">
        <v>30</v>
      </c>
      <c r="T1475" s="12" t="n">
        <f aca="false">(O1475-M1475)/M1475</f>
        <v>0.0327999999999999</v>
      </c>
      <c r="U1475" s="8" t="n">
        <f aca="false">IF(AND(K1475&lt;=I1475,R1475=0),1,0)</f>
        <v>1</v>
      </c>
      <c r="V1475" s="10" t="n">
        <f aca="false">IF(Q1475="No",P1475,0)</f>
        <v>0</v>
      </c>
    </row>
    <row r="1476" customFormat="false" ht="15" hidden="false" customHeight="false" outlineLevel="0" collapsed="false">
      <c r="A1476" s="5" t="s">
        <v>1610</v>
      </c>
      <c r="B1476" s="5" t="s">
        <v>46</v>
      </c>
      <c r="C1476" s="7" t="n">
        <v>46175</v>
      </c>
      <c r="D1476" s="8" t="str">
        <f aca="false">INDEX(Dim_Supplier!$C$2:$C$21,MATCH(B1476,Dim_Supplier!$A$2:$A$21,0))</f>
        <v>Raw Materials</v>
      </c>
      <c r="E1476" s="8" t="str">
        <f aca="false">INDEX(Dim_Supplier!$B$2:$B$21,MATCH(B1476,Dim_Supplier!$A$2:$A$21,0))</f>
        <v>Niagara Alloy Supply</v>
      </c>
      <c r="F1476" s="5" t="s">
        <v>148</v>
      </c>
      <c r="G1476" s="5" t="s">
        <v>125</v>
      </c>
      <c r="H1476" s="8" t="n">
        <f aca="false">INDEX(Lookup_Tables!$B$2:$B$5,MATCH(D1476,Lookup_Tables!$A$2:$A$5,0))</f>
        <v>21</v>
      </c>
      <c r="I1476" s="9" t="n">
        <f aca="false">C1476+H1476</f>
        <v>46196</v>
      </c>
      <c r="J1476" s="5" t="n">
        <v>0</v>
      </c>
      <c r="K1476" s="9" t="n">
        <f aca="false">I1476+J1476</f>
        <v>46196</v>
      </c>
      <c r="L1476" s="5" t="n">
        <v>662</v>
      </c>
      <c r="M1476" s="10" t="n">
        <f aca="false">INDEX(Dim_Supplier!$F$2:$F$21,MATCH(B1476,Dim_Supplier!$A$2:$A$21,0))</f>
        <v>46.5</v>
      </c>
      <c r="N1476" s="11" t="n">
        <v>0.0353</v>
      </c>
      <c r="O1476" s="10" t="n">
        <f aca="false">M1476*(1+N1476)</f>
        <v>48.14145</v>
      </c>
      <c r="P1476" s="10" t="n">
        <f aca="false">O1476*L1476</f>
        <v>31869.6399</v>
      </c>
      <c r="Q1476" s="5" t="s">
        <v>113</v>
      </c>
      <c r="R1476" s="5" t="n">
        <v>0</v>
      </c>
      <c r="S1476" s="5" t="n">
        <v>60</v>
      </c>
      <c r="T1476" s="12" t="n">
        <f aca="false">(O1476-M1476)/M1476</f>
        <v>0.0352999999999998</v>
      </c>
      <c r="U1476" s="8" t="n">
        <f aca="false">IF(AND(K1476&lt;=I1476,R1476=0),1,0)</f>
        <v>1</v>
      </c>
      <c r="V1476" s="10" t="n">
        <f aca="false">IF(Q1476="No",P1476,0)</f>
        <v>0</v>
      </c>
    </row>
    <row r="1477" customFormat="false" ht="15" hidden="false" customHeight="false" outlineLevel="0" collapsed="false">
      <c r="A1477" s="5" t="s">
        <v>1611</v>
      </c>
      <c r="B1477" s="5" t="s">
        <v>73</v>
      </c>
      <c r="C1477" s="7" t="n">
        <v>45341</v>
      </c>
      <c r="D1477" s="8" t="str">
        <f aca="false">INDEX(Dim_Supplier!$C$2:$C$21,MATCH(B1477,Dim_Supplier!$A$2:$A$21,0))</f>
        <v>MRO</v>
      </c>
      <c r="E1477" s="8" t="str">
        <f aca="false">INDEX(Dim_Supplier!$B$2:$B$21,MATCH(B1477,Dim_Supplier!$A$2:$A$21,0))</f>
        <v>Frontier MRO Solutions</v>
      </c>
      <c r="F1477" s="5" t="s">
        <v>111</v>
      </c>
      <c r="G1477" s="5" t="s">
        <v>129</v>
      </c>
      <c r="H1477" s="8" t="n">
        <f aca="false">INDEX(Lookup_Tables!$B$2:$B$5,MATCH(D1477,Lookup_Tables!$A$2:$A$5,0))</f>
        <v>10</v>
      </c>
      <c r="I1477" s="9" t="n">
        <f aca="false">C1477+H1477</f>
        <v>45351</v>
      </c>
      <c r="J1477" s="5" t="n">
        <v>4</v>
      </c>
      <c r="K1477" s="9" t="n">
        <f aca="false">I1477+J1477</f>
        <v>45355</v>
      </c>
      <c r="L1477" s="5" t="n">
        <v>120</v>
      </c>
      <c r="M1477" s="10" t="n">
        <f aca="false">INDEX(Dim_Supplier!$F$2:$F$21,MATCH(B1477,Dim_Supplier!$A$2:$A$21,0))</f>
        <v>15.9</v>
      </c>
      <c r="N1477" s="11" t="n">
        <v>0.128</v>
      </c>
      <c r="O1477" s="10" t="n">
        <f aca="false">M1477*(1+N1477)</f>
        <v>17.9352</v>
      </c>
      <c r="P1477" s="10" t="n">
        <f aca="false">O1477*L1477</f>
        <v>2152.224</v>
      </c>
      <c r="Q1477" s="5" t="s">
        <v>113</v>
      </c>
      <c r="R1477" s="5" t="n">
        <v>0</v>
      </c>
      <c r="S1477" s="5" t="n">
        <v>30</v>
      </c>
      <c r="T1477" s="12" t="n">
        <f aca="false">(O1477-M1477)/M1477</f>
        <v>0.128</v>
      </c>
      <c r="U1477" s="8" t="n">
        <f aca="false">IF(AND(K1477&lt;=I1477,R1477=0),1,0)</f>
        <v>0</v>
      </c>
      <c r="V1477" s="10" t="n">
        <f aca="false">IF(Q1477="No",P1477,0)</f>
        <v>0</v>
      </c>
    </row>
    <row r="1478" customFormat="false" ht="15" hidden="false" customHeight="false" outlineLevel="0" collapsed="false">
      <c r="A1478" s="5" t="s">
        <v>1612</v>
      </c>
      <c r="B1478" s="5" t="s">
        <v>57</v>
      </c>
      <c r="C1478" s="7" t="n">
        <v>45404</v>
      </c>
      <c r="D1478" s="8" t="str">
        <f aca="false">INDEX(Dim_Supplier!$C$2:$C$21,MATCH(B1478,Dim_Supplier!$A$2:$A$21,0))</f>
        <v>Packaging</v>
      </c>
      <c r="E1478" s="8" t="str">
        <f aca="false">INDEX(Dim_Supplier!$B$2:$B$21,MATCH(B1478,Dim_Supplier!$A$2:$A$21,0))</f>
        <v>Great Lakes Packaging Co.</v>
      </c>
      <c r="F1478" s="5" t="s">
        <v>158</v>
      </c>
      <c r="G1478" s="5" t="s">
        <v>129</v>
      </c>
      <c r="H1478" s="8" t="n">
        <f aca="false">INDEX(Lookup_Tables!$B$2:$B$5,MATCH(D1478,Lookup_Tables!$A$2:$A$5,0))</f>
        <v>14</v>
      </c>
      <c r="I1478" s="9" t="n">
        <f aca="false">C1478+H1478</f>
        <v>45418</v>
      </c>
      <c r="J1478" s="5" t="n">
        <v>-2</v>
      </c>
      <c r="K1478" s="9" t="n">
        <f aca="false">I1478+J1478</f>
        <v>45416</v>
      </c>
      <c r="L1478" s="5" t="n">
        <v>546</v>
      </c>
      <c r="M1478" s="10" t="n">
        <f aca="false">INDEX(Dim_Supplier!$F$2:$F$21,MATCH(B1478,Dim_Supplier!$A$2:$A$21,0))</f>
        <v>4.35</v>
      </c>
      <c r="N1478" s="11" t="n">
        <v>0.0319</v>
      </c>
      <c r="O1478" s="10" t="n">
        <f aca="false">M1478*(1+N1478)</f>
        <v>4.488765</v>
      </c>
      <c r="P1478" s="10" t="n">
        <f aca="false">O1478*L1478</f>
        <v>2450.86569</v>
      </c>
      <c r="Q1478" s="5" t="s">
        <v>113</v>
      </c>
      <c r="R1478" s="5" t="n">
        <v>0</v>
      </c>
      <c r="S1478" s="5" t="n">
        <v>45</v>
      </c>
      <c r="T1478" s="12" t="n">
        <f aca="false">(O1478-M1478)/M1478</f>
        <v>0.0319000000000001</v>
      </c>
      <c r="U1478" s="8" t="n">
        <f aca="false">IF(AND(K1478&lt;=I1478,R1478=0),1,0)</f>
        <v>1</v>
      </c>
      <c r="V1478" s="10" t="n">
        <f aca="false">IF(Q1478="No",P1478,0)</f>
        <v>0</v>
      </c>
    </row>
    <row r="1479" customFormat="false" ht="15" hidden="false" customHeight="false" outlineLevel="0" collapsed="false">
      <c r="A1479" s="5" t="s">
        <v>1613</v>
      </c>
      <c r="B1479" s="5" t="s">
        <v>49</v>
      </c>
      <c r="C1479" s="7" t="n">
        <v>45677</v>
      </c>
      <c r="D1479" s="8" t="str">
        <f aca="false">INDEX(Dim_Supplier!$C$2:$C$21,MATCH(B1479,Dim_Supplier!$A$2:$A$21,0))</f>
        <v>Raw Materials</v>
      </c>
      <c r="E1479" s="8" t="str">
        <f aca="false">INDEX(Dim_Supplier!$B$2:$B$21,MATCH(B1479,Dim_Supplier!$A$2:$A$21,0))</f>
        <v>Great Lakes Polymer Co.</v>
      </c>
      <c r="F1479" s="5" t="s">
        <v>148</v>
      </c>
      <c r="G1479" s="5" t="s">
        <v>120</v>
      </c>
      <c r="H1479" s="8" t="n">
        <f aca="false">INDEX(Lookup_Tables!$B$2:$B$5,MATCH(D1479,Lookup_Tables!$A$2:$A$5,0))</f>
        <v>21</v>
      </c>
      <c r="I1479" s="9" t="n">
        <f aca="false">C1479+H1479</f>
        <v>45698</v>
      </c>
      <c r="J1479" s="5" t="n">
        <v>5</v>
      </c>
      <c r="K1479" s="9" t="n">
        <f aca="false">I1479+J1479</f>
        <v>45703</v>
      </c>
      <c r="L1479" s="5" t="n">
        <v>1498</v>
      </c>
      <c r="M1479" s="10" t="n">
        <f aca="false">INDEX(Dim_Supplier!$F$2:$F$21,MATCH(B1479,Dim_Supplier!$A$2:$A$21,0))</f>
        <v>32.75</v>
      </c>
      <c r="N1479" s="11" t="n">
        <v>0.1366</v>
      </c>
      <c r="O1479" s="10" t="n">
        <f aca="false">M1479*(1+N1479)</f>
        <v>37.22365</v>
      </c>
      <c r="P1479" s="10" t="n">
        <f aca="false">O1479*L1479</f>
        <v>55761.0277</v>
      </c>
      <c r="Q1479" s="5" t="s">
        <v>133</v>
      </c>
      <c r="R1479" s="5" t="n">
        <v>0</v>
      </c>
      <c r="S1479" s="5" t="n">
        <v>45</v>
      </c>
      <c r="T1479" s="12" t="n">
        <f aca="false">(O1479-M1479)/M1479</f>
        <v>0.1366</v>
      </c>
      <c r="U1479" s="8" t="n">
        <f aca="false">IF(AND(K1479&lt;=I1479,R1479=0),1,0)</f>
        <v>0</v>
      </c>
      <c r="V1479" s="10" t="n">
        <f aca="false">IF(Q1479="No",P1479,0)</f>
        <v>55761.0277</v>
      </c>
    </row>
    <row r="1480" customFormat="false" ht="15" hidden="false" customHeight="false" outlineLevel="0" collapsed="false">
      <c r="A1480" s="5" t="s">
        <v>1614</v>
      </c>
      <c r="B1480" s="5" t="s">
        <v>79</v>
      </c>
      <c r="C1480" s="7" t="n">
        <v>45410</v>
      </c>
      <c r="D1480" s="8" t="str">
        <f aca="false">INDEX(Dim_Supplier!$C$2:$C$21,MATCH(B1480,Dim_Supplier!$A$2:$A$21,0))</f>
        <v>Logistics</v>
      </c>
      <c r="E1480" s="8" t="str">
        <f aca="false">INDEX(Dim_Supplier!$B$2:$B$21,MATCH(B1480,Dim_Supplier!$A$2:$A$21,0))</f>
        <v>Niagara Freight Solutions</v>
      </c>
      <c r="F1480" s="5" t="s">
        <v>124</v>
      </c>
      <c r="G1480" s="5" t="s">
        <v>112</v>
      </c>
      <c r="H1480" s="8" t="n">
        <f aca="false">INDEX(Lookup_Tables!$B$2:$B$5,MATCH(D1480,Lookup_Tables!$A$2:$A$5,0))</f>
        <v>5</v>
      </c>
      <c r="I1480" s="9" t="n">
        <f aca="false">C1480+H1480</f>
        <v>45415</v>
      </c>
      <c r="J1480" s="5" t="n">
        <v>0</v>
      </c>
      <c r="K1480" s="9" t="n">
        <f aca="false">I1480+J1480</f>
        <v>45415</v>
      </c>
      <c r="L1480" s="5" t="n">
        <v>39</v>
      </c>
      <c r="M1480" s="10" t="n">
        <f aca="false">INDEX(Dim_Supplier!$F$2:$F$21,MATCH(B1480,Dim_Supplier!$A$2:$A$21,0))</f>
        <v>340</v>
      </c>
      <c r="N1480" s="11" t="n">
        <v>0.0352</v>
      </c>
      <c r="O1480" s="10" t="n">
        <f aca="false">M1480*(1+N1480)</f>
        <v>351.968</v>
      </c>
      <c r="P1480" s="10" t="n">
        <f aca="false">O1480*L1480</f>
        <v>13726.752</v>
      </c>
      <c r="Q1480" s="5" t="s">
        <v>113</v>
      </c>
      <c r="R1480" s="5" t="n">
        <v>0</v>
      </c>
      <c r="S1480" s="5" t="n">
        <v>30</v>
      </c>
      <c r="T1480" s="12" t="n">
        <f aca="false">(O1480-M1480)/M1480</f>
        <v>0.0351999999999999</v>
      </c>
      <c r="U1480" s="8" t="n">
        <f aca="false">IF(AND(K1480&lt;=I1480,R1480=0),1,0)</f>
        <v>1</v>
      </c>
      <c r="V1480" s="10" t="n">
        <f aca="false">IF(Q1480="No",P1480,0)</f>
        <v>0</v>
      </c>
    </row>
    <row r="1481" customFormat="false" ht="15" hidden="false" customHeight="false" outlineLevel="0" collapsed="false">
      <c r="A1481" s="5" t="s">
        <v>1615</v>
      </c>
      <c r="B1481" s="5" t="s">
        <v>75</v>
      </c>
      <c r="C1481" s="7" t="n">
        <v>45313</v>
      </c>
      <c r="D1481" s="8" t="str">
        <f aca="false">INDEX(Dim_Supplier!$C$2:$C$21,MATCH(B1481,Dim_Supplier!$A$2:$A$21,0))</f>
        <v>MRO</v>
      </c>
      <c r="E1481" s="8" t="str">
        <f aca="false">INDEX(Dim_Supplier!$B$2:$B$21,MATCH(B1481,Dim_Supplier!$A$2:$A$21,0))</f>
        <v>Sterling Lubricants Inc.</v>
      </c>
      <c r="F1481" s="5" t="s">
        <v>132</v>
      </c>
      <c r="G1481" s="5" t="s">
        <v>120</v>
      </c>
      <c r="H1481" s="8" t="n">
        <f aca="false">INDEX(Lookup_Tables!$B$2:$B$5,MATCH(D1481,Lookup_Tables!$A$2:$A$5,0))</f>
        <v>10</v>
      </c>
      <c r="I1481" s="9" t="n">
        <f aca="false">C1481+H1481</f>
        <v>45323</v>
      </c>
      <c r="J1481" s="5" t="n">
        <v>-4</v>
      </c>
      <c r="K1481" s="9" t="n">
        <f aca="false">I1481+J1481</f>
        <v>45319</v>
      </c>
      <c r="L1481" s="5" t="n">
        <v>126</v>
      </c>
      <c r="M1481" s="10" t="n">
        <f aca="false">INDEX(Dim_Supplier!$F$2:$F$21,MATCH(B1481,Dim_Supplier!$A$2:$A$21,0))</f>
        <v>27.1</v>
      </c>
      <c r="N1481" s="11" t="n">
        <v>0.0129</v>
      </c>
      <c r="O1481" s="10" t="n">
        <f aca="false">M1481*(1+N1481)</f>
        <v>27.44959</v>
      </c>
      <c r="P1481" s="10" t="n">
        <f aca="false">O1481*L1481</f>
        <v>3458.64834</v>
      </c>
      <c r="Q1481" s="5" t="s">
        <v>113</v>
      </c>
      <c r="R1481" s="5" t="n">
        <v>0</v>
      </c>
      <c r="S1481" s="5" t="n">
        <v>45</v>
      </c>
      <c r="T1481" s="12" t="n">
        <f aca="false">(O1481-M1481)/M1481</f>
        <v>0.0129</v>
      </c>
      <c r="U1481" s="8" t="n">
        <f aca="false">IF(AND(K1481&lt;=I1481,R1481=0),1,0)</f>
        <v>1</v>
      </c>
      <c r="V1481" s="10" t="n">
        <f aca="false">IF(Q1481="No",P1481,0)</f>
        <v>0</v>
      </c>
    </row>
    <row r="1482" customFormat="false" ht="15" hidden="false" customHeight="false" outlineLevel="0" collapsed="false">
      <c r="A1482" s="5" t="s">
        <v>1616</v>
      </c>
      <c r="B1482" s="5" t="s">
        <v>41</v>
      </c>
      <c r="C1482" s="7" t="n">
        <v>45381</v>
      </c>
      <c r="D1482" s="8" t="str">
        <f aca="false">INDEX(Dim_Supplier!$C$2:$C$21,MATCH(B1482,Dim_Supplier!$A$2:$A$21,0))</f>
        <v>Raw Materials</v>
      </c>
      <c r="E1482" s="8" t="str">
        <f aca="false">INDEX(Dim_Supplier!$B$2:$B$21,MATCH(B1482,Dim_Supplier!$A$2:$A$21,0))</f>
        <v>Ontario Steel Partners</v>
      </c>
      <c r="F1482" s="5" t="s">
        <v>139</v>
      </c>
      <c r="G1482" s="5" t="s">
        <v>120</v>
      </c>
      <c r="H1482" s="8" t="n">
        <f aca="false">INDEX(Lookup_Tables!$B$2:$B$5,MATCH(D1482,Lookup_Tables!$A$2:$A$5,0))</f>
        <v>21</v>
      </c>
      <c r="I1482" s="9" t="n">
        <f aca="false">C1482+H1482</f>
        <v>45402</v>
      </c>
      <c r="J1482" s="5" t="n">
        <v>-4</v>
      </c>
      <c r="K1482" s="9" t="n">
        <f aca="false">I1482+J1482</f>
        <v>45398</v>
      </c>
      <c r="L1482" s="5" t="n">
        <v>598</v>
      </c>
      <c r="M1482" s="10" t="n">
        <f aca="false">INDEX(Dim_Supplier!$F$2:$F$21,MATCH(B1482,Dim_Supplier!$A$2:$A$21,0))</f>
        <v>58</v>
      </c>
      <c r="N1482" s="11" t="n">
        <v>0.0138</v>
      </c>
      <c r="O1482" s="10" t="n">
        <f aca="false">M1482*(1+N1482)</f>
        <v>58.8004</v>
      </c>
      <c r="P1482" s="10" t="n">
        <f aca="false">O1482*L1482</f>
        <v>35162.6392</v>
      </c>
      <c r="Q1482" s="5" t="s">
        <v>113</v>
      </c>
      <c r="R1482" s="5" t="n">
        <v>0</v>
      </c>
      <c r="S1482" s="5" t="n">
        <v>30</v>
      </c>
      <c r="T1482" s="12" t="n">
        <f aca="false">(O1482-M1482)/M1482</f>
        <v>0.0138000000000001</v>
      </c>
      <c r="U1482" s="8" t="n">
        <f aca="false">IF(AND(K1482&lt;=I1482,R1482=0),1,0)</f>
        <v>1</v>
      </c>
      <c r="V1482" s="10" t="n">
        <f aca="false">IF(Q1482="No",P1482,0)</f>
        <v>0</v>
      </c>
    </row>
    <row r="1483" customFormat="false" ht="15" hidden="false" customHeight="false" outlineLevel="0" collapsed="false">
      <c r="A1483" s="5" t="s">
        <v>1617</v>
      </c>
      <c r="B1483" s="5" t="s">
        <v>49</v>
      </c>
      <c r="C1483" s="7" t="n">
        <v>45876</v>
      </c>
      <c r="D1483" s="8" t="str">
        <f aca="false">INDEX(Dim_Supplier!$C$2:$C$21,MATCH(B1483,Dim_Supplier!$A$2:$A$21,0))</f>
        <v>Raw Materials</v>
      </c>
      <c r="E1483" s="8" t="str">
        <f aca="false">INDEX(Dim_Supplier!$B$2:$B$21,MATCH(B1483,Dim_Supplier!$A$2:$A$21,0))</f>
        <v>Great Lakes Polymer Co.</v>
      </c>
      <c r="F1483" s="5" t="s">
        <v>115</v>
      </c>
      <c r="G1483" s="5" t="s">
        <v>112</v>
      </c>
      <c r="H1483" s="8" t="n">
        <f aca="false">INDEX(Lookup_Tables!$B$2:$B$5,MATCH(D1483,Lookup_Tables!$A$2:$A$5,0))</f>
        <v>21</v>
      </c>
      <c r="I1483" s="9" t="n">
        <f aca="false">C1483+H1483</f>
        <v>45897</v>
      </c>
      <c r="J1483" s="5" t="n">
        <v>-2</v>
      </c>
      <c r="K1483" s="9" t="n">
        <f aca="false">I1483+J1483</f>
        <v>45895</v>
      </c>
      <c r="L1483" s="5" t="n">
        <v>864</v>
      </c>
      <c r="M1483" s="10" t="n">
        <f aca="false">INDEX(Dim_Supplier!$F$2:$F$21,MATCH(B1483,Dim_Supplier!$A$2:$A$21,0))</f>
        <v>32.75</v>
      </c>
      <c r="N1483" s="11" t="n">
        <v>0.1424</v>
      </c>
      <c r="O1483" s="10" t="n">
        <f aca="false">M1483*(1+N1483)</f>
        <v>37.4136</v>
      </c>
      <c r="P1483" s="10" t="n">
        <f aca="false">O1483*L1483</f>
        <v>32325.3504</v>
      </c>
      <c r="Q1483" s="5" t="s">
        <v>133</v>
      </c>
      <c r="R1483" s="5" t="n">
        <v>0</v>
      </c>
      <c r="S1483" s="5" t="n">
        <v>60</v>
      </c>
      <c r="T1483" s="12" t="n">
        <f aca="false">(O1483-M1483)/M1483</f>
        <v>0.1424</v>
      </c>
      <c r="U1483" s="8" t="n">
        <f aca="false">IF(AND(K1483&lt;=I1483,R1483=0),1,0)</f>
        <v>1</v>
      </c>
      <c r="V1483" s="10" t="n">
        <f aca="false">IF(Q1483="No",P1483,0)</f>
        <v>32325.3504</v>
      </c>
    </row>
    <row r="1484" customFormat="false" ht="15" hidden="false" customHeight="false" outlineLevel="0" collapsed="false">
      <c r="A1484" s="5" t="s">
        <v>1618</v>
      </c>
      <c r="B1484" s="5" t="s">
        <v>73</v>
      </c>
      <c r="C1484" s="7" t="n">
        <v>45888</v>
      </c>
      <c r="D1484" s="8" t="str">
        <f aca="false">INDEX(Dim_Supplier!$C$2:$C$21,MATCH(B1484,Dim_Supplier!$A$2:$A$21,0))</f>
        <v>MRO</v>
      </c>
      <c r="E1484" s="8" t="str">
        <f aca="false">INDEX(Dim_Supplier!$B$2:$B$21,MATCH(B1484,Dim_Supplier!$A$2:$A$21,0))</f>
        <v>Frontier MRO Solutions</v>
      </c>
      <c r="F1484" s="5" t="s">
        <v>179</v>
      </c>
      <c r="G1484" s="5" t="s">
        <v>129</v>
      </c>
      <c r="H1484" s="8" t="n">
        <f aca="false">INDEX(Lookup_Tables!$B$2:$B$5,MATCH(D1484,Lookup_Tables!$A$2:$A$5,0))</f>
        <v>10</v>
      </c>
      <c r="I1484" s="9" t="n">
        <f aca="false">C1484+H1484</f>
        <v>45898</v>
      </c>
      <c r="J1484" s="5" t="n">
        <v>4</v>
      </c>
      <c r="K1484" s="9" t="n">
        <f aca="false">I1484+J1484</f>
        <v>45902</v>
      </c>
      <c r="L1484" s="5" t="n">
        <v>42</v>
      </c>
      <c r="M1484" s="10" t="n">
        <f aca="false">INDEX(Dim_Supplier!$F$2:$F$21,MATCH(B1484,Dim_Supplier!$A$2:$A$21,0))</f>
        <v>15.9</v>
      </c>
      <c r="N1484" s="11" t="n">
        <v>0.1447</v>
      </c>
      <c r="O1484" s="10" t="n">
        <f aca="false">M1484*(1+N1484)</f>
        <v>18.20073</v>
      </c>
      <c r="P1484" s="10" t="n">
        <f aca="false">O1484*L1484</f>
        <v>764.43066</v>
      </c>
      <c r="Q1484" s="5" t="s">
        <v>113</v>
      </c>
      <c r="R1484" s="5" t="n">
        <v>0</v>
      </c>
      <c r="S1484" s="5" t="n">
        <v>30</v>
      </c>
      <c r="T1484" s="12" t="n">
        <f aca="false">(O1484-M1484)/M1484</f>
        <v>0.1447</v>
      </c>
      <c r="U1484" s="8" t="n">
        <f aca="false">IF(AND(K1484&lt;=I1484,R1484=0),1,0)</f>
        <v>0</v>
      </c>
      <c r="V1484" s="10" t="n">
        <f aca="false">IF(Q1484="No",P1484,0)</f>
        <v>0</v>
      </c>
    </row>
    <row r="1485" customFormat="false" ht="15" hidden="false" customHeight="false" outlineLevel="0" collapsed="false">
      <c r="A1485" s="5" t="s">
        <v>1619</v>
      </c>
      <c r="B1485" s="5" t="s">
        <v>60</v>
      </c>
      <c r="C1485" s="7" t="n">
        <v>45814</v>
      </c>
      <c r="D1485" s="8" t="str">
        <f aca="false">INDEX(Dim_Supplier!$C$2:$C$21,MATCH(B1485,Dim_Supplier!$A$2:$A$21,0))</f>
        <v>Packaging</v>
      </c>
      <c r="E1485" s="8" t="str">
        <f aca="false">INDEX(Dim_Supplier!$B$2:$B$21,MATCH(B1485,Dim_Supplier!$A$2:$A$21,0))</f>
        <v>Maple Leaf Box &amp; Crate</v>
      </c>
      <c r="F1485" s="5" t="s">
        <v>117</v>
      </c>
      <c r="G1485" s="5" t="s">
        <v>129</v>
      </c>
      <c r="H1485" s="8" t="n">
        <f aca="false">INDEX(Lookup_Tables!$B$2:$B$5,MATCH(D1485,Lookup_Tables!$A$2:$A$5,0))</f>
        <v>14</v>
      </c>
      <c r="I1485" s="9" t="n">
        <f aca="false">C1485+H1485</f>
        <v>45828</v>
      </c>
      <c r="J1485" s="5" t="n">
        <v>-3</v>
      </c>
      <c r="K1485" s="9" t="n">
        <f aca="false">I1485+J1485</f>
        <v>45825</v>
      </c>
      <c r="L1485" s="5" t="n">
        <v>4846</v>
      </c>
      <c r="M1485" s="10" t="n">
        <f aca="false">INDEX(Dim_Supplier!$F$2:$F$21,MATCH(B1485,Dim_Supplier!$A$2:$A$21,0))</f>
        <v>3.1</v>
      </c>
      <c r="N1485" s="11" t="n">
        <v>0.0376</v>
      </c>
      <c r="O1485" s="10" t="n">
        <f aca="false">M1485*(1+N1485)</f>
        <v>3.21656</v>
      </c>
      <c r="P1485" s="10" t="n">
        <f aca="false">O1485*L1485</f>
        <v>15587.44976</v>
      </c>
      <c r="Q1485" s="5" t="s">
        <v>113</v>
      </c>
      <c r="R1485" s="5" t="n">
        <v>0</v>
      </c>
      <c r="S1485" s="5" t="n">
        <v>30</v>
      </c>
      <c r="T1485" s="12" t="n">
        <f aca="false">(O1485-M1485)/M1485</f>
        <v>0.0376000000000001</v>
      </c>
      <c r="U1485" s="8" t="n">
        <f aca="false">IF(AND(K1485&lt;=I1485,R1485=0),1,0)</f>
        <v>1</v>
      </c>
      <c r="V1485" s="10" t="n">
        <f aca="false">IF(Q1485="No",P1485,0)</f>
        <v>0</v>
      </c>
    </row>
    <row r="1486" customFormat="false" ht="15" hidden="false" customHeight="false" outlineLevel="0" collapsed="false">
      <c r="A1486" s="5" t="s">
        <v>1620</v>
      </c>
      <c r="B1486" s="5" t="s">
        <v>86</v>
      </c>
      <c r="C1486" s="7" t="n">
        <v>46173</v>
      </c>
      <c r="D1486" s="8" t="str">
        <f aca="false">INDEX(Dim_Supplier!$C$2:$C$21,MATCH(B1486,Dim_Supplier!$A$2:$A$21,0))</f>
        <v>Logistics</v>
      </c>
      <c r="E1486" s="8" t="str">
        <f aca="false">INDEX(Dim_Supplier!$B$2:$B$21,MATCH(B1486,Dim_Supplier!$A$2:$A$21,0))</f>
        <v>Blue Water Customs Brokerage</v>
      </c>
      <c r="F1486" s="5" t="s">
        <v>237</v>
      </c>
      <c r="G1486" s="5" t="s">
        <v>112</v>
      </c>
      <c r="H1486" s="8" t="n">
        <f aca="false">INDEX(Lookup_Tables!$B$2:$B$5,MATCH(D1486,Lookup_Tables!$A$2:$A$5,0))</f>
        <v>5</v>
      </c>
      <c r="I1486" s="9" t="n">
        <f aca="false">C1486+H1486</f>
        <v>46178</v>
      </c>
      <c r="J1486" s="5" t="n">
        <v>-1</v>
      </c>
      <c r="K1486" s="9" t="n">
        <f aca="false">I1486+J1486</f>
        <v>46177</v>
      </c>
      <c r="L1486" s="5" t="n">
        <v>31</v>
      </c>
      <c r="M1486" s="10" t="n">
        <f aca="false">INDEX(Dim_Supplier!$F$2:$F$21,MATCH(B1486,Dim_Supplier!$A$2:$A$21,0))</f>
        <v>175</v>
      </c>
      <c r="N1486" s="11" t="n">
        <v>0.031</v>
      </c>
      <c r="O1486" s="10" t="n">
        <f aca="false">M1486*(1+N1486)</f>
        <v>180.425</v>
      </c>
      <c r="P1486" s="10" t="n">
        <f aca="false">O1486*L1486</f>
        <v>5593.175</v>
      </c>
      <c r="Q1486" s="5" t="s">
        <v>113</v>
      </c>
      <c r="R1486" s="5" t="n">
        <v>0</v>
      </c>
      <c r="S1486" s="5" t="n">
        <v>45</v>
      </c>
      <c r="T1486" s="12" t="n">
        <f aca="false">(O1486-M1486)/M1486</f>
        <v>0.0309999999999999</v>
      </c>
      <c r="U1486" s="8" t="n">
        <f aca="false">IF(AND(K1486&lt;=I1486,R1486=0),1,0)</f>
        <v>1</v>
      </c>
      <c r="V1486" s="10" t="n">
        <f aca="false">IF(Q1486="No",P1486,0)</f>
        <v>0</v>
      </c>
    </row>
    <row r="1487" customFormat="false" ht="15" hidden="false" customHeight="false" outlineLevel="0" collapsed="false">
      <c r="A1487" s="5" t="s">
        <v>1621</v>
      </c>
      <c r="B1487" s="5" t="s">
        <v>71</v>
      </c>
      <c r="C1487" s="7" t="n">
        <v>46171</v>
      </c>
      <c r="D1487" s="8" t="str">
        <f aca="false">INDEX(Dim_Supplier!$C$2:$C$21,MATCH(B1487,Dim_Supplier!$A$2:$A$21,0))</f>
        <v>MRO</v>
      </c>
      <c r="E1487" s="8" t="str">
        <f aca="false">INDEX(Dim_Supplier!$B$2:$B$21,MATCH(B1487,Dim_Supplier!$A$2:$A$21,0))</f>
        <v>CanSafe Equipment Ltd.</v>
      </c>
      <c r="F1487" s="5" t="s">
        <v>127</v>
      </c>
      <c r="G1487" s="5" t="s">
        <v>112</v>
      </c>
      <c r="H1487" s="8" t="n">
        <f aca="false">INDEX(Lookup_Tables!$B$2:$B$5,MATCH(D1487,Lookup_Tables!$A$2:$A$5,0))</f>
        <v>10</v>
      </c>
      <c r="I1487" s="9" t="n">
        <f aca="false">C1487+H1487</f>
        <v>46181</v>
      </c>
      <c r="J1487" s="5" t="n">
        <v>-3</v>
      </c>
      <c r="K1487" s="9" t="n">
        <f aca="false">I1487+J1487</f>
        <v>46178</v>
      </c>
      <c r="L1487" s="5" t="n">
        <v>42</v>
      </c>
      <c r="M1487" s="10" t="n">
        <f aca="false">INDEX(Dim_Supplier!$F$2:$F$21,MATCH(B1487,Dim_Supplier!$A$2:$A$21,0))</f>
        <v>18.75</v>
      </c>
      <c r="N1487" s="11" t="n">
        <v>-0.0043</v>
      </c>
      <c r="O1487" s="10" t="n">
        <f aca="false">M1487*(1+N1487)</f>
        <v>18.669375</v>
      </c>
      <c r="P1487" s="10" t="n">
        <f aca="false">O1487*L1487</f>
        <v>784.11375</v>
      </c>
      <c r="Q1487" s="5" t="s">
        <v>133</v>
      </c>
      <c r="R1487" s="5" t="n">
        <v>0</v>
      </c>
      <c r="S1487" s="5" t="n">
        <v>45</v>
      </c>
      <c r="T1487" s="12" t="n">
        <f aca="false">(O1487-M1487)/M1487</f>
        <v>-0.00429999999999988</v>
      </c>
      <c r="U1487" s="8" t="n">
        <f aca="false">IF(AND(K1487&lt;=I1487,R1487=0),1,0)</f>
        <v>1</v>
      </c>
      <c r="V1487" s="10" t="n">
        <f aca="false">IF(Q1487="No",P1487,0)</f>
        <v>784.11375</v>
      </c>
    </row>
    <row r="1488" customFormat="false" ht="15" hidden="false" customHeight="false" outlineLevel="0" collapsed="false">
      <c r="A1488" s="5" t="s">
        <v>1622</v>
      </c>
      <c r="B1488" s="5" t="s">
        <v>88</v>
      </c>
      <c r="C1488" s="7" t="n">
        <v>45871</v>
      </c>
      <c r="D1488" s="8" t="str">
        <f aca="false">INDEX(Dim_Supplier!$C$2:$C$21,MATCH(B1488,Dim_Supplier!$A$2:$A$21,0))</f>
        <v>Logistics</v>
      </c>
      <c r="E1488" s="8" t="str">
        <f aca="false">INDEX(Dim_Supplier!$B$2:$B$21,MATCH(B1488,Dim_Supplier!$A$2:$A$21,0))</f>
        <v>Summit Last-Mile Delivery</v>
      </c>
      <c r="F1488" s="5" t="s">
        <v>154</v>
      </c>
      <c r="G1488" s="5" t="s">
        <v>112</v>
      </c>
      <c r="H1488" s="8" t="n">
        <f aca="false">INDEX(Lookup_Tables!$B$2:$B$5,MATCH(D1488,Lookup_Tables!$A$2:$A$5,0))</f>
        <v>5</v>
      </c>
      <c r="I1488" s="9" t="n">
        <f aca="false">C1488+H1488</f>
        <v>45876</v>
      </c>
      <c r="J1488" s="5" t="n">
        <v>-2</v>
      </c>
      <c r="K1488" s="9" t="n">
        <f aca="false">I1488+J1488</f>
        <v>45874</v>
      </c>
      <c r="L1488" s="5" t="n">
        <v>41</v>
      </c>
      <c r="M1488" s="10" t="n">
        <f aca="false">INDEX(Dim_Supplier!$F$2:$F$21,MATCH(B1488,Dim_Supplier!$A$2:$A$21,0))</f>
        <v>95</v>
      </c>
      <c r="N1488" s="11" t="n">
        <v>0.0252</v>
      </c>
      <c r="O1488" s="10" t="n">
        <f aca="false">M1488*(1+N1488)</f>
        <v>97.394</v>
      </c>
      <c r="P1488" s="10" t="n">
        <f aca="false">O1488*L1488</f>
        <v>3993.154</v>
      </c>
      <c r="Q1488" s="5" t="s">
        <v>113</v>
      </c>
      <c r="R1488" s="5" t="n">
        <v>0</v>
      </c>
      <c r="S1488" s="5" t="n">
        <v>30</v>
      </c>
      <c r="T1488" s="12" t="n">
        <f aca="false">(O1488-M1488)/M1488</f>
        <v>0.0251999999999999</v>
      </c>
      <c r="U1488" s="8" t="n">
        <f aca="false">IF(AND(K1488&lt;=I1488,R1488=0),1,0)</f>
        <v>1</v>
      </c>
      <c r="V1488" s="10" t="n">
        <f aca="false">IF(Q1488="No",P1488,0)</f>
        <v>0</v>
      </c>
    </row>
    <row r="1489" customFormat="false" ht="15" hidden="false" customHeight="false" outlineLevel="0" collapsed="false">
      <c r="A1489" s="5" t="s">
        <v>1623</v>
      </c>
      <c r="B1489" s="5" t="s">
        <v>41</v>
      </c>
      <c r="C1489" s="7" t="n">
        <v>45734</v>
      </c>
      <c r="D1489" s="8" t="str">
        <f aca="false">INDEX(Dim_Supplier!$C$2:$C$21,MATCH(B1489,Dim_Supplier!$A$2:$A$21,0))</f>
        <v>Raw Materials</v>
      </c>
      <c r="E1489" s="8" t="str">
        <f aca="false">INDEX(Dim_Supplier!$B$2:$B$21,MATCH(B1489,Dim_Supplier!$A$2:$A$21,0))</f>
        <v>Ontario Steel Partners</v>
      </c>
      <c r="F1489" s="5" t="s">
        <v>148</v>
      </c>
      <c r="G1489" s="5" t="s">
        <v>120</v>
      </c>
      <c r="H1489" s="8" t="n">
        <f aca="false">INDEX(Lookup_Tables!$B$2:$B$5,MATCH(D1489,Lookup_Tables!$A$2:$A$5,0))</f>
        <v>21</v>
      </c>
      <c r="I1489" s="9" t="n">
        <f aca="false">C1489+H1489</f>
        <v>45755</v>
      </c>
      <c r="J1489" s="5" t="n">
        <v>-3</v>
      </c>
      <c r="K1489" s="9" t="n">
        <f aca="false">I1489+J1489</f>
        <v>45752</v>
      </c>
      <c r="L1489" s="5" t="n">
        <v>1475</v>
      </c>
      <c r="M1489" s="10" t="n">
        <f aca="false">INDEX(Dim_Supplier!$F$2:$F$21,MATCH(B1489,Dim_Supplier!$A$2:$A$21,0))</f>
        <v>58</v>
      </c>
      <c r="N1489" s="11" t="n">
        <v>0.0053</v>
      </c>
      <c r="O1489" s="10" t="n">
        <f aca="false">M1489*(1+N1489)</f>
        <v>58.3074</v>
      </c>
      <c r="P1489" s="10" t="n">
        <f aca="false">O1489*L1489</f>
        <v>86003.415</v>
      </c>
      <c r="Q1489" s="5" t="s">
        <v>113</v>
      </c>
      <c r="R1489" s="5" t="n">
        <v>0</v>
      </c>
      <c r="S1489" s="5" t="n">
        <v>30</v>
      </c>
      <c r="T1489" s="12" t="n">
        <f aca="false">(O1489-M1489)/M1489</f>
        <v>0.00530000000000002</v>
      </c>
      <c r="U1489" s="8" t="n">
        <f aca="false">IF(AND(K1489&lt;=I1489,R1489=0),1,0)</f>
        <v>1</v>
      </c>
      <c r="V1489" s="10" t="n">
        <f aca="false">IF(Q1489="No",P1489,0)</f>
        <v>0</v>
      </c>
    </row>
    <row r="1490" customFormat="false" ht="15" hidden="false" customHeight="false" outlineLevel="0" collapsed="false">
      <c r="A1490" s="5" t="s">
        <v>1624</v>
      </c>
      <c r="B1490" s="5" t="s">
        <v>82</v>
      </c>
      <c r="C1490" s="7" t="n">
        <v>45522</v>
      </c>
      <c r="D1490" s="8" t="str">
        <f aca="false">INDEX(Dim_Supplier!$C$2:$C$21,MATCH(B1490,Dim_Supplier!$A$2:$A$21,0))</f>
        <v>Logistics</v>
      </c>
      <c r="E1490" s="8" t="str">
        <f aca="false">INDEX(Dim_Supplier!$B$2:$B$21,MATCH(B1490,Dim_Supplier!$A$2:$A$21,0))</f>
        <v>Maple Route Logistics</v>
      </c>
      <c r="F1490" s="5" t="s">
        <v>154</v>
      </c>
      <c r="G1490" s="5" t="s">
        <v>125</v>
      </c>
      <c r="H1490" s="8" t="n">
        <f aca="false">INDEX(Lookup_Tables!$B$2:$B$5,MATCH(D1490,Lookup_Tables!$A$2:$A$5,0))</f>
        <v>5</v>
      </c>
      <c r="I1490" s="9" t="n">
        <f aca="false">C1490+H1490</f>
        <v>45527</v>
      </c>
      <c r="J1490" s="5" t="n">
        <v>-4</v>
      </c>
      <c r="K1490" s="9" t="n">
        <f aca="false">I1490+J1490</f>
        <v>45523</v>
      </c>
      <c r="L1490" s="5" t="n">
        <v>27</v>
      </c>
      <c r="M1490" s="10" t="n">
        <f aca="false">INDEX(Dim_Supplier!$F$2:$F$21,MATCH(B1490,Dim_Supplier!$A$2:$A$21,0))</f>
        <v>285</v>
      </c>
      <c r="N1490" s="11" t="n">
        <v>0.0066</v>
      </c>
      <c r="O1490" s="10" t="n">
        <f aca="false">M1490*(1+N1490)</f>
        <v>286.881</v>
      </c>
      <c r="P1490" s="10" t="n">
        <f aca="false">O1490*L1490</f>
        <v>7745.787</v>
      </c>
      <c r="Q1490" s="5" t="s">
        <v>113</v>
      </c>
      <c r="R1490" s="5" t="n">
        <v>0</v>
      </c>
      <c r="S1490" s="5" t="n">
        <v>30</v>
      </c>
      <c r="T1490" s="12" t="n">
        <f aca="false">(O1490-M1490)/M1490</f>
        <v>0.0065999999999999</v>
      </c>
      <c r="U1490" s="8" t="n">
        <f aca="false">IF(AND(K1490&lt;=I1490,R1490=0),1,0)</f>
        <v>1</v>
      </c>
      <c r="V1490" s="10" t="n">
        <f aca="false">IF(Q1490="No",P1490,0)</f>
        <v>0</v>
      </c>
    </row>
    <row r="1491" customFormat="false" ht="15" hidden="false" customHeight="false" outlineLevel="0" collapsed="false">
      <c r="A1491" s="5" t="s">
        <v>1625</v>
      </c>
      <c r="B1491" s="5" t="s">
        <v>71</v>
      </c>
      <c r="C1491" s="7" t="n">
        <v>45586</v>
      </c>
      <c r="D1491" s="8" t="str">
        <f aca="false">INDEX(Dim_Supplier!$C$2:$C$21,MATCH(B1491,Dim_Supplier!$A$2:$A$21,0))</f>
        <v>MRO</v>
      </c>
      <c r="E1491" s="8" t="str">
        <f aca="false">INDEX(Dim_Supplier!$B$2:$B$21,MATCH(B1491,Dim_Supplier!$A$2:$A$21,0))</f>
        <v>CanSafe Equipment Ltd.</v>
      </c>
      <c r="F1491" s="5" t="s">
        <v>179</v>
      </c>
      <c r="G1491" s="5" t="s">
        <v>129</v>
      </c>
      <c r="H1491" s="8" t="n">
        <f aca="false">INDEX(Lookup_Tables!$B$2:$B$5,MATCH(D1491,Lookup_Tables!$A$2:$A$5,0))</f>
        <v>10</v>
      </c>
      <c r="I1491" s="9" t="n">
        <f aca="false">C1491+H1491</f>
        <v>45596</v>
      </c>
      <c r="J1491" s="5" t="n">
        <v>-1</v>
      </c>
      <c r="K1491" s="9" t="n">
        <f aca="false">I1491+J1491</f>
        <v>45595</v>
      </c>
      <c r="L1491" s="5" t="n">
        <v>21</v>
      </c>
      <c r="M1491" s="10" t="n">
        <f aca="false">INDEX(Dim_Supplier!$F$2:$F$21,MATCH(B1491,Dim_Supplier!$A$2:$A$21,0))</f>
        <v>18.75</v>
      </c>
      <c r="N1491" s="11" t="n">
        <v>0.0321</v>
      </c>
      <c r="O1491" s="10" t="n">
        <f aca="false">M1491*(1+N1491)</f>
        <v>19.351875</v>
      </c>
      <c r="P1491" s="10" t="n">
        <f aca="false">O1491*L1491</f>
        <v>406.389375</v>
      </c>
      <c r="Q1491" s="5" t="s">
        <v>113</v>
      </c>
      <c r="R1491" s="5" t="n">
        <v>0</v>
      </c>
      <c r="S1491" s="5" t="n">
        <v>45</v>
      </c>
      <c r="T1491" s="12" t="n">
        <f aca="false">(O1491-M1491)/M1491</f>
        <v>0.0321</v>
      </c>
      <c r="U1491" s="8" t="n">
        <f aca="false">IF(AND(K1491&lt;=I1491,R1491=0),1,0)</f>
        <v>1</v>
      </c>
      <c r="V1491" s="10" t="n">
        <f aca="false">IF(Q1491="No",P1491,0)</f>
        <v>0</v>
      </c>
    </row>
    <row r="1492" customFormat="false" ht="15" hidden="false" customHeight="false" outlineLevel="0" collapsed="false">
      <c r="A1492" s="5" t="s">
        <v>1626</v>
      </c>
      <c r="B1492" s="5" t="s">
        <v>79</v>
      </c>
      <c r="C1492" s="7" t="n">
        <v>45332</v>
      </c>
      <c r="D1492" s="8" t="str">
        <f aca="false">INDEX(Dim_Supplier!$C$2:$C$21,MATCH(B1492,Dim_Supplier!$A$2:$A$21,0))</f>
        <v>Logistics</v>
      </c>
      <c r="E1492" s="8" t="str">
        <f aca="false">INDEX(Dim_Supplier!$B$2:$B$21,MATCH(B1492,Dim_Supplier!$A$2:$A$21,0))</f>
        <v>Niagara Freight Solutions</v>
      </c>
      <c r="F1492" s="5" t="s">
        <v>146</v>
      </c>
      <c r="G1492" s="5" t="s">
        <v>120</v>
      </c>
      <c r="H1492" s="8" t="n">
        <f aca="false">INDEX(Lookup_Tables!$B$2:$B$5,MATCH(D1492,Lookup_Tables!$A$2:$A$5,0))</f>
        <v>5</v>
      </c>
      <c r="I1492" s="9" t="n">
        <f aca="false">C1492+H1492</f>
        <v>45337</v>
      </c>
      <c r="J1492" s="5" t="n">
        <v>-4</v>
      </c>
      <c r="K1492" s="9" t="n">
        <f aca="false">I1492+J1492</f>
        <v>45333</v>
      </c>
      <c r="L1492" s="5" t="n">
        <v>22</v>
      </c>
      <c r="M1492" s="10" t="n">
        <f aca="false">INDEX(Dim_Supplier!$F$2:$F$21,MATCH(B1492,Dim_Supplier!$A$2:$A$21,0))</f>
        <v>340</v>
      </c>
      <c r="N1492" s="11" t="n">
        <v>0.0239</v>
      </c>
      <c r="O1492" s="10" t="n">
        <f aca="false">M1492*(1+N1492)</f>
        <v>348.126</v>
      </c>
      <c r="P1492" s="10" t="n">
        <f aca="false">O1492*L1492</f>
        <v>7658.772</v>
      </c>
      <c r="Q1492" s="5" t="s">
        <v>113</v>
      </c>
      <c r="R1492" s="5" t="n">
        <v>0</v>
      </c>
      <c r="S1492" s="5" t="n">
        <v>30</v>
      </c>
      <c r="T1492" s="12" t="n">
        <f aca="false">(O1492-M1492)/M1492</f>
        <v>0.0239000000000001</v>
      </c>
      <c r="U1492" s="8" t="n">
        <f aca="false">IF(AND(K1492&lt;=I1492,R1492=0),1,0)</f>
        <v>1</v>
      </c>
      <c r="V1492" s="10" t="n">
        <f aca="false">IF(Q1492="No",P1492,0)</f>
        <v>0</v>
      </c>
    </row>
    <row r="1493" customFormat="false" ht="15" hidden="false" customHeight="false" outlineLevel="0" collapsed="false">
      <c r="A1493" s="5" t="s">
        <v>1627</v>
      </c>
      <c r="B1493" s="5" t="s">
        <v>57</v>
      </c>
      <c r="C1493" s="7" t="n">
        <v>45773</v>
      </c>
      <c r="D1493" s="8" t="str">
        <f aca="false">INDEX(Dim_Supplier!$C$2:$C$21,MATCH(B1493,Dim_Supplier!$A$2:$A$21,0))</f>
        <v>Packaging</v>
      </c>
      <c r="E1493" s="8" t="str">
        <f aca="false">INDEX(Dim_Supplier!$B$2:$B$21,MATCH(B1493,Dim_Supplier!$A$2:$A$21,0))</f>
        <v>Great Lakes Packaging Co.</v>
      </c>
      <c r="F1493" s="5" t="s">
        <v>122</v>
      </c>
      <c r="G1493" s="5" t="s">
        <v>125</v>
      </c>
      <c r="H1493" s="8" t="n">
        <f aca="false">INDEX(Lookup_Tables!$B$2:$B$5,MATCH(D1493,Lookup_Tables!$A$2:$A$5,0))</f>
        <v>14</v>
      </c>
      <c r="I1493" s="9" t="n">
        <f aca="false">C1493+H1493</f>
        <v>45787</v>
      </c>
      <c r="J1493" s="5" t="n">
        <v>-4</v>
      </c>
      <c r="K1493" s="9" t="n">
        <f aca="false">I1493+J1493</f>
        <v>45783</v>
      </c>
      <c r="L1493" s="5" t="n">
        <v>1624</v>
      </c>
      <c r="M1493" s="10" t="n">
        <f aca="false">INDEX(Dim_Supplier!$F$2:$F$21,MATCH(B1493,Dim_Supplier!$A$2:$A$21,0))</f>
        <v>4.35</v>
      </c>
      <c r="N1493" s="11" t="n">
        <v>0.0366</v>
      </c>
      <c r="O1493" s="10" t="n">
        <f aca="false">M1493*(1+N1493)</f>
        <v>4.50921</v>
      </c>
      <c r="P1493" s="10" t="n">
        <f aca="false">O1493*L1493</f>
        <v>7322.95704</v>
      </c>
      <c r="Q1493" s="5" t="s">
        <v>113</v>
      </c>
      <c r="R1493" s="5" t="n">
        <v>0</v>
      </c>
      <c r="S1493" s="5" t="n">
        <v>30</v>
      </c>
      <c r="T1493" s="12" t="n">
        <f aca="false">(O1493-M1493)/M1493</f>
        <v>0.0366</v>
      </c>
      <c r="U1493" s="8" t="n">
        <f aca="false">IF(AND(K1493&lt;=I1493,R1493=0),1,0)</f>
        <v>1</v>
      </c>
      <c r="V1493" s="10" t="n">
        <f aca="false">IF(Q1493="No",P1493,0)</f>
        <v>0</v>
      </c>
    </row>
    <row r="1494" customFormat="false" ht="15" hidden="false" customHeight="false" outlineLevel="0" collapsed="false">
      <c r="A1494" s="5" t="s">
        <v>1628</v>
      </c>
      <c r="B1494" s="5" t="s">
        <v>57</v>
      </c>
      <c r="C1494" s="7" t="n">
        <v>45821</v>
      </c>
      <c r="D1494" s="8" t="str">
        <f aca="false">INDEX(Dim_Supplier!$C$2:$C$21,MATCH(B1494,Dim_Supplier!$A$2:$A$21,0))</f>
        <v>Packaging</v>
      </c>
      <c r="E1494" s="8" t="str">
        <f aca="false">INDEX(Dim_Supplier!$B$2:$B$21,MATCH(B1494,Dim_Supplier!$A$2:$A$21,0))</f>
        <v>Great Lakes Packaging Co.</v>
      </c>
      <c r="F1494" s="5" t="s">
        <v>122</v>
      </c>
      <c r="G1494" s="5" t="s">
        <v>129</v>
      </c>
      <c r="H1494" s="8" t="n">
        <f aca="false">INDEX(Lookup_Tables!$B$2:$B$5,MATCH(D1494,Lookup_Tables!$A$2:$A$5,0))</f>
        <v>14</v>
      </c>
      <c r="I1494" s="9" t="n">
        <f aca="false">C1494+H1494</f>
        <v>45835</v>
      </c>
      <c r="J1494" s="5" t="n">
        <v>-3</v>
      </c>
      <c r="K1494" s="9" t="n">
        <f aca="false">I1494+J1494</f>
        <v>45832</v>
      </c>
      <c r="L1494" s="5" t="n">
        <v>2722</v>
      </c>
      <c r="M1494" s="10" t="n">
        <f aca="false">INDEX(Dim_Supplier!$F$2:$F$21,MATCH(B1494,Dim_Supplier!$A$2:$A$21,0))</f>
        <v>4.35</v>
      </c>
      <c r="N1494" s="11" t="n">
        <v>0.0258</v>
      </c>
      <c r="O1494" s="10" t="n">
        <f aca="false">M1494*(1+N1494)</f>
        <v>4.46223</v>
      </c>
      <c r="P1494" s="10" t="n">
        <f aca="false">O1494*L1494</f>
        <v>12146.19006</v>
      </c>
      <c r="Q1494" s="5" t="s">
        <v>113</v>
      </c>
      <c r="R1494" s="5" t="n">
        <v>0</v>
      </c>
      <c r="S1494" s="5" t="n">
        <v>30</v>
      </c>
      <c r="T1494" s="12" t="n">
        <f aca="false">(O1494-M1494)/M1494</f>
        <v>0.0258000000000001</v>
      </c>
      <c r="U1494" s="8" t="n">
        <f aca="false">IF(AND(K1494&lt;=I1494,R1494=0),1,0)</f>
        <v>1</v>
      </c>
      <c r="V1494" s="10" t="n">
        <f aca="false">IF(Q1494="No",P1494,0)</f>
        <v>0</v>
      </c>
    </row>
    <row r="1495" customFormat="false" ht="15" hidden="false" customHeight="false" outlineLevel="0" collapsed="false">
      <c r="A1495" s="5" t="s">
        <v>1629</v>
      </c>
      <c r="B1495" s="5" t="s">
        <v>86</v>
      </c>
      <c r="C1495" s="7" t="n">
        <v>45623</v>
      </c>
      <c r="D1495" s="8" t="str">
        <f aca="false">INDEX(Dim_Supplier!$C$2:$C$21,MATCH(B1495,Dim_Supplier!$A$2:$A$21,0))</f>
        <v>Logistics</v>
      </c>
      <c r="E1495" s="8" t="str">
        <f aca="false">INDEX(Dim_Supplier!$B$2:$B$21,MATCH(B1495,Dim_Supplier!$A$2:$A$21,0))</f>
        <v>Blue Water Customs Brokerage</v>
      </c>
      <c r="F1495" s="5" t="s">
        <v>154</v>
      </c>
      <c r="G1495" s="5" t="s">
        <v>112</v>
      </c>
      <c r="H1495" s="8" t="n">
        <f aca="false">INDEX(Lookup_Tables!$B$2:$B$5,MATCH(D1495,Lookup_Tables!$A$2:$A$5,0))</f>
        <v>5</v>
      </c>
      <c r="I1495" s="9" t="n">
        <f aca="false">C1495+H1495</f>
        <v>45628</v>
      </c>
      <c r="J1495" s="5" t="n">
        <v>-3</v>
      </c>
      <c r="K1495" s="9" t="n">
        <f aca="false">I1495+J1495</f>
        <v>45625</v>
      </c>
      <c r="L1495" s="5" t="n">
        <v>22</v>
      </c>
      <c r="M1495" s="10" t="n">
        <f aca="false">INDEX(Dim_Supplier!$F$2:$F$21,MATCH(B1495,Dim_Supplier!$A$2:$A$21,0))</f>
        <v>175</v>
      </c>
      <c r="N1495" s="11" t="n">
        <v>0.0239</v>
      </c>
      <c r="O1495" s="10" t="n">
        <f aca="false">M1495*(1+N1495)</f>
        <v>179.1825</v>
      </c>
      <c r="P1495" s="10" t="n">
        <f aca="false">O1495*L1495</f>
        <v>3942.015</v>
      </c>
      <c r="Q1495" s="5" t="s">
        <v>113</v>
      </c>
      <c r="R1495" s="5" t="n">
        <v>0</v>
      </c>
      <c r="S1495" s="5" t="n">
        <v>30</v>
      </c>
      <c r="T1495" s="12" t="n">
        <f aca="false">(O1495-M1495)/M1495</f>
        <v>0.0239</v>
      </c>
      <c r="U1495" s="8" t="n">
        <f aca="false">IF(AND(K1495&lt;=I1495,R1495=0),1,0)</f>
        <v>1</v>
      </c>
      <c r="V1495" s="10" t="n">
        <f aca="false">IF(Q1495="No",P1495,0)</f>
        <v>0</v>
      </c>
    </row>
    <row r="1496" customFormat="false" ht="15" hidden="false" customHeight="false" outlineLevel="0" collapsed="false">
      <c r="A1496" s="5" t="s">
        <v>1630</v>
      </c>
      <c r="B1496" s="5" t="s">
        <v>62</v>
      </c>
      <c r="C1496" s="7" t="n">
        <v>45966</v>
      </c>
      <c r="D1496" s="8" t="str">
        <f aca="false">INDEX(Dim_Supplier!$C$2:$C$21,MATCH(B1496,Dim_Supplier!$A$2:$A$21,0))</f>
        <v>Packaging</v>
      </c>
      <c r="E1496" s="8" t="str">
        <f aca="false">INDEX(Dim_Supplier!$B$2:$B$21,MATCH(B1496,Dim_Supplier!$A$2:$A$21,0))</f>
        <v>Trillium Packaging Solutions</v>
      </c>
      <c r="F1496" s="5" t="s">
        <v>158</v>
      </c>
      <c r="G1496" s="5" t="s">
        <v>112</v>
      </c>
      <c r="H1496" s="8" t="n">
        <f aca="false">INDEX(Lookup_Tables!$B$2:$B$5,MATCH(D1496,Lookup_Tables!$A$2:$A$5,0))</f>
        <v>14</v>
      </c>
      <c r="I1496" s="9" t="n">
        <f aca="false">C1496+H1496</f>
        <v>45980</v>
      </c>
      <c r="J1496" s="5" t="n">
        <v>-2</v>
      </c>
      <c r="K1496" s="9" t="n">
        <f aca="false">I1496+J1496</f>
        <v>45978</v>
      </c>
      <c r="L1496" s="5" t="n">
        <v>2056</v>
      </c>
      <c r="M1496" s="10" t="n">
        <f aca="false">INDEX(Dim_Supplier!$F$2:$F$21,MATCH(B1496,Dim_Supplier!$A$2:$A$21,0))</f>
        <v>5.6</v>
      </c>
      <c r="N1496" s="11" t="n">
        <v>-0.0089</v>
      </c>
      <c r="O1496" s="10" t="n">
        <f aca="false">M1496*(1+N1496)</f>
        <v>5.55016</v>
      </c>
      <c r="P1496" s="10" t="n">
        <f aca="false">O1496*L1496</f>
        <v>11411.12896</v>
      </c>
      <c r="Q1496" s="5" t="s">
        <v>113</v>
      </c>
      <c r="R1496" s="5" t="n">
        <v>0</v>
      </c>
      <c r="S1496" s="5" t="n">
        <v>45</v>
      </c>
      <c r="T1496" s="12" t="n">
        <f aca="false">(O1496-M1496)/M1496</f>
        <v>-0.00889999999999994</v>
      </c>
      <c r="U1496" s="8" t="n">
        <f aca="false">IF(AND(K1496&lt;=I1496,R1496=0),1,0)</f>
        <v>1</v>
      </c>
      <c r="V1496" s="10" t="n">
        <f aca="false">IF(Q1496="No",P1496,0)</f>
        <v>0</v>
      </c>
    </row>
    <row r="1497" customFormat="false" ht="15" hidden="false" customHeight="false" outlineLevel="0" collapsed="false">
      <c r="A1497" s="5" t="s">
        <v>1631</v>
      </c>
      <c r="B1497" s="5" t="s">
        <v>57</v>
      </c>
      <c r="C1497" s="7" t="n">
        <v>46109</v>
      </c>
      <c r="D1497" s="8" t="str">
        <f aca="false">INDEX(Dim_Supplier!$C$2:$C$21,MATCH(B1497,Dim_Supplier!$A$2:$A$21,0))</f>
        <v>Packaging</v>
      </c>
      <c r="E1497" s="8" t="str">
        <f aca="false">INDEX(Dim_Supplier!$B$2:$B$21,MATCH(B1497,Dim_Supplier!$A$2:$A$21,0))</f>
        <v>Great Lakes Packaging Co.</v>
      </c>
      <c r="F1497" s="5" t="s">
        <v>137</v>
      </c>
      <c r="G1497" s="5" t="s">
        <v>112</v>
      </c>
      <c r="H1497" s="8" t="n">
        <f aca="false">INDEX(Lookup_Tables!$B$2:$B$5,MATCH(D1497,Lookup_Tables!$A$2:$A$5,0))</f>
        <v>14</v>
      </c>
      <c r="I1497" s="9" t="n">
        <f aca="false">C1497+H1497</f>
        <v>46123</v>
      </c>
      <c r="J1497" s="5" t="n">
        <v>-1</v>
      </c>
      <c r="K1497" s="9" t="n">
        <f aca="false">I1497+J1497</f>
        <v>46122</v>
      </c>
      <c r="L1497" s="5" t="n">
        <v>2887</v>
      </c>
      <c r="M1497" s="10" t="n">
        <f aca="false">INDEX(Dim_Supplier!$F$2:$F$21,MATCH(B1497,Dim_Supplier!$A$2:$A$21,0))</f>
        <v>4.35</v>
      </c>
      <c r="N1497" s="11" t="n">
        <v>0.0315</v>
      </c>
      <c r="O1497" s="10" t="n">
        <f aca="false">M1497*(1+N1497)</f>
        <v>4.487025</v>
      </c>
      <c r="P1497" s="10" t="n">
        <f aca="false">O1497*L1497</f>
        <v>12954.041175</v>
      </c>
      <c r="Q1497" s="5" t="s">
        <v>113</v>
      </c>
      <c r="R1497" s="5" t="n">
        <v>0</v>
      </c>
      <c r="S1497" s="5" t="n">
        <v>45</v>
      </c>
      <c r="T1497" s="12" t="n">
        <f aca="false">(O1497-M1497)/M1497</f>
        <v>0.0315000000000001</v>
      </c>
      <c r="U1497" s="8" t="n">
        <f aca="false">IF(AND(K1497&lt;=I1497,R1497=0),1,0)</f>
        <v>1</v>
      </c>
      <c r="V1497" s="10" t="n">
        <f aca="false">IF(Q1497="No",P1497,0)</f>
        <v>0</v>
      </c>
    </row>
    <row r="1498" customFormat="false" ht="15" hidden="false" customHeight="false" outlineLevel="0" collapsed="false">
      <c r="A1498" s="5" t="s">
        <v>1632</v>
      </c>
      <c r="B1498" s="5" t="s">
        <v>82</v>
      </c>
      <c r="C1498" s="7" t="n">
        <v>45479</v>
      </c>
      <c r="D1498" s="8" t="str">
        <f aca="false">INDEX(Dim_Supplier!$C$2:$C$21,MATCH(B1498,Dim_Supplier!$A$2:$A$21,0))</f>
        <v>Logistics</v>
      </c>
      <c r="E1498" s="8" t="str">
        <f aca="false">INDEX(Dim_Supplier!$B$2:$B$21,MATCH(B1498,Dim_Supplier!$A$2:$A$21,0))</f>
        <v>Maple Route Logistics</v>
      </c>
      <c r="F1498" s="5" t="s">
        <v>237</v>
      </c>
      <c r="G1498" s="5" t="s">
        <v>120</v>
      </c>
      <c r="H1498" s="8" t="n">
        <f aca="false">INDEX(Lookup_Tables!$B$2:$B$5,MATCH(D1498,Lookup_Tables!$A$2:$A$5,0))</f>
        <v>5</v>
      </c>
      <c r="I1498" s="9" t="n">
        <f aca="false">C1498+H1498</f>
        <v>45484</v>
      </c>
      <c r="J1498" s="5" t="n">
        <v>-1</v>
      </c>
      <c r="K1498" s="9" t="n">
        <f aca="false">I1498+J1498</f>
        <v>45483</v>
      </c>
      <c r="L1498" s="5" t="n">
        <v>18</v>
      </c>
      <c r="M1498" s="10" t="n">
        <f aca="false">INDEX(Dim_Supplier!$F$2:$F$21,MATCH(B1498,Dim_Supplier!$A$2:$A$21,0))</f>
        <v>285</v>
      </c>
      <c r="N1498" s="11" t="n">
        <v>0.053</v>
      </c>
      <c r="O1498" s="10" t="n">
        <f aca="false">M1498*(1+N1498)</f>
        <v>300.105</v>
      </c>
      <c r="P1498" s="10" t="n">
        <f aca="false">O1498*L1498</f>
        <v>5401.89</v>
      </c>
      <c r="Q1498" s="5" t="s">
        <v>133</v>
      </c>
      <c r="R1498" s="5" t="n">
        <v>0</v>
      </c>
      <c r="S1498" s="5" t="n">
        <v>30</v>
      </c>
      <c r="T1498" s="12" t="n">
        <f aca="false">(O1498-M1498)/M1498</f>
        <v>0.0529999999999999</v>
      </c>
      <c r="U1498" s="8" t="n">
        <f aca="false">IF(AND(K1498&lt;=I1498,R1498=0),1,0)</f>
        <v>1</v>
      </c>
      <c r="V1498" s="10" t="n">
        <f aca="false">IF(Q1498="No",P1498,0)</f>
        <v>5401.89</v>
      </c>
    </row>
    <row r="1499" customFormat="false" ht="15" hidden="false" customHeight="false" outlineLevel="0" collapsed="false">
      <c r="A1499" s="5" t="s">
        <v>1633</v>
      </c>
      <c r="B1499" s="5" t="s">
        <v>52</v>
      </c>
      <c r="C1499" s="7" t="n">
        <v>45365</v>
      </c>
      <c r="D1499" s="8" t="str">
        <f aca="false">INDEX(Dim_Supplier!$C$2:$C$21,MATCH(B1499,Dim_Supplier!$A$2:$A$21,0))</f>
        <v>Raw Materials</v>
      </c>
      <c r="E1499" s="8" t="str">
        <f aca="false">INDEX(Dim_Supplier!$B$2:$B$21,MATCH(B1499,Dim_Supplier!$A$2:$A$21,0))</f>
        <v>Laurentian Metals Inc.</v>
      </c>
      <c r="F1499" s="5" t="s">
        <v>139</v>
      </c>
      <c r="G1499" s="5" t="s">
        <v>129</v>
      </c>
      <c r="H1499" s="8" t="n">
        <f aca="false">INDEX(Lookup_Tables!$B$2:$B$5,MATCH(D1499,Lookup_Tables!$A$2:$A$5,0))</f>
        <v>21</v>
      </c>
      <c r="I1499" s="9" t="n">
        <f aca="false">C1499+H1499</f>
        <v>45386</v>
      </c>
      <c r="J1499" s="5" t="n">
        <v>1</v>
      </c>
      <c r="K1499" s="9" t="n">
        <f aca="false">I1499+J1499</f>
        <v>45387</v>
      </c>
      <c r="L1499" s="5" t="n">
        <v>905</v>
      </c>
      <c r="M1499" s="10" t="n">
        <f aca="false">INDEX(Dim_Supplier!$F$2:$F$21,MATCH(B1499,Dim_Supplier!$A$2:$A$21,0))</f>
        <v>61.2</v>
      </c>
      <c r="N1499" s="11" t="n">
        <v>0.0123</v>
      </c>
      <c r="O1499" s="10" t="n">
        <f aca="false">M1499*(1+N1499)</f>
        <v>61.95276</v>
      </c>
      <c r="P1499" s="10" t="n">
        <f aca="false">O1499*L1499</f>
        <v>56067.2478</v>
      </c>
      <c r="Q1499" s="5" t="s">
        <v>113</v>
      </c>
      <c r="R1499" s="5" t="n">
        <v>0</v>
      </c>
      <c r="S1499" s="5" t="n">
        <v>60</v>
      </c>
      <c r="T1499" s="12" t="n">
        <f aca="false">(O1499-M1499)/M1499</f>
        <v>0.0123</v>
      </c>
      <c r="U1499" s="8" t="n">
        <f aca="false">IF(AND(K1499&lt;=I1499,R1499=0),1,0)</f>
        <v>0</v>
      </c>
      <c r="V1499" s="10" t="n">
        <f aca="false">IF(Q1499="No",P1499,0)</f>
        <v>0</v>
      </c>
    </row>
    <row r="1500" customFormat="false" ht="15" hidden="false" customHeight="false" outlineLevel="0" collapsed="false">
      <c r="A1500" s="5" t="s">
        <v>1634</v>
      </c>
      <c r="B1500" s="5" t="s">
        <v>86</v>
      </c>
      <c r="C1500" s="7" t="n">
        <v>45757</v>
      </c>
      <c r="D1500" s="8" t="str">
        <f aca="false">INDEX(Dim_Supplier!$C$2:$C$21,MATCH(B1500,Dim_Supplier!$A$2:$A$21,0))</f>
        <v>Logistics</v>
      </c>
      <c r="E1500" s="8" t="str">
        <f aca="false">INDEX(Dim_Supplier!$B$2:$B$21,MATCH(B1500,Dim_Supplier!$A$2:$A$21,0))</f>
        <v>Blue Water Customs Brokerage</v>
      </c>
      <c r="F1500" s="5" t="s">
        <v>185</v>
      </c>
      <c r="G1500" s="5" t="s">
        <v>120</v>
      </c>
      <c r="H1500" s="8" t="n">
        <f aca="false">INDEX(Lookup_Tables!$B$2:$B$5,MATCH(D1500,Lookup_Tables!$A$2:$A$5,0))</f>
        <v>5</v>
      </c>
      <c r="I1500" s="9" t="n">
        <f aca="false">C1500+H1500</f>
        <v>45762</v>
      </c>
      <c r="J1500" s="5" t="n">
        <v>-4</v>
      </c>
      <c r="K1500" s="9" t="n">
        <f aca="false">I1500+J1500</f>
        <v>45758</v>
      </c>
      <c r="L1500" s="5" t="n">
        <v>18</v>
      </c>
      <c r="M1500" s="10" t="n">
        <f aca="false">INDEX(Dim_Supplier!$F$2:$F$21,MATCH(B1500,Dim_Supplier!$A$2:$A$21,0))</f>
        <v>175</v>
      </c>
      <c r="N1500" s="11" t="n">
        <v>0.0085</v>
      </c>
      <c r="O1500" s="10" t="n">
        <f aca="false">M1500*(1+N1500)</f>
        <v>176.4875</v>
      </c>
      <c r="P1500" s="10" t="n">
        <f aca="false">O1500*L1500</f>
        <v>3176.775</v>
      </c>
      <c r="Q1500" s="5" t="s">
        <v>113</v>
      </c>
      <c r="R1500" s="5" t="n">
        <v>0</v>
      </c>
      <c r="S1500" s="5" t="n">
        <v>60</v>
      </c>
      <c r="T1500" s="12" t="n">
        <f aca="false">(O1500-M1500)/M1500</f>
        <v>0.0084999999999999</v>
      </c>
      <c r="U1500" s="8" t="n">
        <f aca="false">IF(AND(K1500&lt;=I1500,R1500=0),1,0)</f>
        <v>1</v>
      </c>
      <c r="V1500" s="10" t="n">
        <f aca="false">IF(Q1500="No",P1500,0)</f>
        <v>0</v>
      </c>
    </row>
    <row r="1501" customFormat="false" ht="15" hidden="false" customHeight="false" outlineLevel="0" collapsed="false">
      <c r="A1501" s="5" t="s">
        <v>1635</v>
      </c>
      <c r="B1501" s="5" t="s">
        <v>71</v>
      </c>
      <c r="C1501" s="7" t="n">
        <v>45779</v>
      </c>
      <c r="D1501" s="8" t="str">
        <f aca="false">INDEX(Dim_Supplier!$C$2:$C$21,MATCH(B1501,Dim_Supplier!$A$2:$A$21,0))</f>
        <v>MRO</v>
      </c>
      <c r="E1501" s="8" t="str">
        <f aca="false">INDEX(Dim_Supplier!$B$2:$B$21,MATCH(B1501,Dim_Supplier!$A$2:$A$21,0))</f>
        <v>CanSafe Equipment Ltd.</v>
      </c>
      <c r="F1501" s="5" t="s">
        <v>179</v>
      </c>
      <c r="G1501" s="5" t="s">
        <v>125</v>
      </c>
      <c r="H1501" s="8" t="n">
        <f aca="false">INDEX(Lookup_Tables!$B$2:$B$5,MATCH(D1501,Lookup_Tables!$A$2:$A$5,0))</f>
        <v>10</v>
      </c>
      <c r="I1501" s="9" t="n">
        <f aca="false">C1501+H1501</f>
        <v>45789</v>
      </c>
      <c r="J1501" s="5" t="n">
        <v>-1</v>
      </c>
      <c r="K1501" s="9" t="n">
        <f aca="false">I1501+J1501</f>
        <v>45788</v>
      </c>
      <c r="L1501" s="5" t="n">
        <v>36</v>
      </c>
      <c r="M1501" s="10" t="n">
        <f aca="false">INDEX(Dim_Supplier!$F$2:$F$21,MATCH(B1501,Dim_Supplier!$A$2:$A$21,0))</f>
        <v>18.75</v>
      </c>
      <c r="N1501" s="11" t="n">
        <v>0.0401</v>
      </c>
      <c r="O1501" s="10" t="n">
        <f aca="false">M1501*(1+N1501)</f>
        <v>19.501875</v>
      </c>
      <c r="P1501" s="10" t="n">
        <f aca="false">O1501*L1501</f>
        <v>702.0675</v>
      </c>
      <c r="Q1501" s="5" t="s">
        <v>113</v>
      </c>
      <c r="R1501" s="5" t="n">
        <v>0</v>
      </c>
      <c r="S1501" s="5" t="n">
        <v>30</v>
      </c>
      <c r="T1501" s="12" t="n">
        <f aca="false">(O1501-M1501)/M1501</f>
        <v>0.0401000000000001</v>
      </c>
      <c r="U1501" s="8" t="n">
        <f aca="false">IF(AND(K1501&lt;=I1501,R1501=0),1,0)</f>
        <v>1</v>
      </c>
      <c r="V1501" s="10" t="n">
        <f aca="false">IF(Q1501="No",P1501,0)</f>
        <v>0</v>
      </c>
    </row>
  </sheetData>
  <autoFilter ref="A1:V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2026-09-12T21:22:54Z</dcterms:created>
  <dc:creator>openpyxl</dc:creator>
  <dc:description/>
  <dc:language>en-US</dc:language>
  <cp:lastModifiedBy/>
  <dcterms:modified xsi:type="dcterms:W3CDTF">2026-09-12T21:22:55Z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